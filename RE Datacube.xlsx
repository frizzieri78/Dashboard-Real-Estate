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drawings/drawing2.xml" ContentType="application/vnd.openxmlformats-officedocument.drawing+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Override PartName="/xl/threadedComments/threadedComment11.xml" ContentType="application/vnd.ms-excel.threadedcomments+xml"/>
  <Override PartName="/xl/threadedComments/threadedComment12.xml" ContentType="application/vnd.ms-excel.threadedcomments+xml"/>
  <Override PartName="/xl/threadedComments/threadedComment13.xml" ContentType="application/vnd.ms-excel.threadedcomments+xml"/>
  <Override PartName="/xl/threadedComments/threadedComment14.xml" ContentType="application/vnd.ms-excel.threadedcomments+xml"/>
  <Override PartName="/xl/threadedComments/threadedComment15.xml" ContentType="application/vnd.ms-excel.threadedcomments+xml"/>
  <Override PartName="/xl/threadedComments/threadedComment16.xml" ContentType="application/vnd.ms-excel.threadedcomments+xml"/>
  <Override PartName="/xl/threadedComments/threadedComment17.xml" ContentType="application/vnd.ms-excel.threadedcomments+xml"/>
  <Override PartName="/xl/threadedComments/threadedComment18.xml" ContentType="application/vnd.ms-excel.threadedcomments+xml"/>
  <Override PartName="/xl/threadedComments/threadedComment19.xml" ContentType="application/vnd.ms-excel.threadedcomments+xml"/>
  <Override PartName="/xl/threadedComments/threadedComment20.xml" ContentType="application/vnd.ms-excel.threadedcomments+xml"/>
  <Override PartName="/xl/threadedComments/threadedComment21.xml" ContentType="application/vnd.ms-excel.threadedcomments+xml"/>
  <Override PartName="/xl/threadedComments/threadedComment22.xml" ContentType="application/vnd.ms-excel.threadedcomments+xml"/>
  <Override PartName="/xl/threadedComments/threadedComment23.xml" ContentType="application/vnd.ms-excel.threadedcomments+xml"/>
  <Override PartName="/xl/threadedComments/threadedComment24.xml" ContentType="application/vnd.ms-excel.threadedcomments+xml"/>
  <Override PartName="/xl/threadedComments/threadedComment25.xml" ContentType="application/vnd.ms-excel.threadedcomments+xml"/>
  <Override PartName="/xl/threadedComments/threadedComment26.xml" ContentType="application/vnd.ms-excel.threadedcomments+xml"/>
  <Override PartName="/xl/threadedComments/threadedComment27.xml" ContentType="application/vnd.ms-excel.threadedcomments+xml"/>
  <Override PartName="/xl/threadedComments/threadedComment28.xml" ContentType="application/vnd.ms-excel.threadedcomments+xml"/>
  <Override PartName="/xl/threadedComments/threadedComment29.xml" ContentType="application/vnd.ms-excel.threadedcomments+xml"/>
  <Override PartName="/xl/threadedComments/threadedComment30.xml" ContentType="application/vnd.ms-excel.threadedcomments+xml"/>
  <Override PartName="/xl/threadedComments/threadedComment31.xml" ContentType="application/vnd.ms-excel.threadedcomments+xml"/>
  <Override PartName="/xl/threadedComments/threadedComment3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codeName="ThisWorkbook"/>
  <mc:AlternateContent xmlns:mc="http://schemas.openxmlformats.org/markup-compatibility/2006">
    <mc:Choice Requires="x15">
      <x15ac:absPath xmlns:x15ac="http://schemas.microsoft.com/office/spreadsheetml/2010/11/ac" url="/Users/francescorizzieri/Documents/Dashboard RE/"/>
    </mc:Choice>
  </mc:AlternateContent>
  <xr:revisionPtr revIDLastSave="0" documentId="13_ncr:1_{2C103B9A-DAE1-DB4F-8F74-2507173EE807}" xr6:coauthVersionLast="36" xr6:coauthVersionMax="47" xr10:uidLastSave="{00000000-0000-0000-0000-000000000000}"/>
  <bookViews>
    <workbookView xWindow="1100" yWindow="600" windowWidth="49260" windowHeight="18820" firstSheet="1" activeTab="1" xr2:uid="{F06B5C89-3252-4F6B-911E-7997AAD0A464}"/>
  </bookViews>
  <sheets>
    <sheet name="End dates" sheetId="70" r:id="rId1"/>
    <sheet name="DataCube" sheetId="4" r:id="rId2"/>
    <sheet name="Details--&gt;&gt;&gt;" sheetId="63" r:id="rId3"/>
    <sheet name="Australia" sheetId="14" r:id="rId4"/>
    <sheet name="Austria" sheetId="27" r:id="rId5"/>
    <sheet name="Bahrain" sheetId="52" r:id="rId6"/>
    <sheet name="Belgium" sheetId="41" r:id="rId7"/>
    <sheet name="Bulgaria" sheetId="45" r:id="rId8"/>
    <sheet name="Brazil" sheetId="9" r:id="rId9"/>
    <sheet name="Canada" sheetId="10" r:id="rId10"/>
    <sheet name="Colombia" sheetId="11" r:id="rId11"/>
    <sheet name="China" sheetId="15" r:id="rId12"/>
    <sheet name="CzechRepublic" sheetId="28" r:id="rId13"/>
    <sheet name="Egypt" sheetId="42" r:id="rId14"/>
    <sheet name="France" sheetId="54" r:id="rId15"/>
    <sheet name="Germany" sheetId="53" r:id="rId16"/>
    <sheet name="Greece" sheetId="29" r:id="rId17"/>
    <sheet name="Hongkong" sheetId="16" r:id="rId18"/>
    <sheet name="Hungary" sheetId="46" r:id="rId19"/>
    <sheet name="India" sheetId="17" r:id="rId20"/>
    <sheet name="Indonesia" sheetId="19" r:id="rId21"/>
    <sheet name="Ireland" sheetId="8" r:id="rId22"/>
    <sheet name="Italy" sheetId="30" r:id="rId23"/>
    <sheet name="Japan" sheetId="20" r:id="rId24"/>
    <sheet name="LaReunion" sheetId="57" r:id="rId25"/>
    <sheet name="Lebanon" sheetId="44" r:id="rId26"/>
    <sheet name="Libya" sheetId="40" r:id="rId27"/>
    <sheet name="Malaysia" sheetId="21" r:id="rId28"/>
    <sheet name="Mexico" sheetId="12" r:id="rId29"/>
    <sheet name="Netherlands" sheetId="59" r:id="rId30"/>
    <sheet name="NewZealand" sheetId="22" r:id="rId31"/>
    <sheet name="Oman" sheetId="51" r:id="rId32"/>
    <sheet name="Philippines" sheetId="23" r:id="rId33"/>
    <sheet name="Poland" sheetId="32" r:id="rId34"/>
    <sheet name="Portugal" sheetId="33" r:id="rId35"/>
    <sheet name="Qatar" sheetId="43" r:id="rId36"/>
    <sheet name="Romania" sheetId="34" r:id="rId37"/>
    <sheet name="SaudiArabia" sheetId="49" r:id="rId38"/>
    <sheet name="Singapore" sheetId="24" r:id="rId39"/>
    <sheet name="Spain" sheetId="35" r:id="rId40"/>
    <sheet name="Switzerland" sheetId="36" r:id="rId41"/>
    <sheet name="Thailand" sheetId="25" r:id="rId42"/>
    <sheet name="Tunisia" sheetId="50" r:id="rId43"/>
    <sheet name="Turkey" sheetId="37" r:id="rId44"/>
    <sheet name="UnitesArabEmirates" sheetId="48" r:id="rId45"/>
    <sheet name="UK" sheetId="38" r:id="rId46"/>
    <sheet name="US" sheetId="13" r:id="rId47"/>
    <sheet name="Template" sheetId="2" r:id="rId48"/>
    <sheet name="Lease end" sheetId="67" r:id="rId49"/>
    <sheet name="Lease end réunion" sheetId="68" r:id="rId50"/>
    <sheet name="Lease end Americas" sheetId="64" r:id="rId51"/>
    <sheet name="Lease end MEA APAC" sheetId="65" r:id="rId52"/>
    <sheet name="Lease end Europe" sheetId="66" r:id="rId53"/>
  </sheets>
  <externalReferences>
    <externalReference r:id="rId54"/>
  </externalReferences>
  <definedNames>
    <definedName name="_xlnm._FilterDatabase" localSheetId="1" hidden="1">DataCube!$A$2:$AD$131</definedName>
    <definedName name="_xlnm._FilterDatabase" localSheetId="48" hidden="1">'Lease end'!$A$2:$H$130</definedName>
    <definedName name="Cost_Lever" localSheetId="3">[1]Segmentation2!#REF!</definedName>
    <definedName name="Cost_Lever" localSheetId="8">[1]Segmentation2!#REF!</definedName>
    <definedName name="Cost_Lever" localSheetId="9">[1]Segmentation2!#REF!</definedName>
    <definedName name="Cost_Lever" localSheetId="11">[1]Segmentation2!#REF!</definedName>
    <definedName name="Cost_Lever" localSheetId="10">[1]Segmentation2!#REF!</definedName>
    <definedName name="Cost_Lever" localSheetId="12">#REF!</definedName>
    <definedName name="Cost_Lever" localSheetId="15">#REF!</definedName>
    <definedName name="Cost_Lever" localSheetId="17">[1]Segmentation2!#REF!</definedName>
    <definedName name="Cost_Lever" localSheetId="19">[1]Segmentation2!#REF!</definedName>
    <definedName name="Cost_Lever" localSheetId="20">[1]Segmentation2!#REF!</definedName>
    <definedName name="Cost_Lever" localSheetId="21">#REF!</definedName>
    <definedName name="Cost_Lever" localSheetId="22">#REF!</definedName>
    <definedName name="Cost_Lever" localSheetId="23">[1]Segmentation2!#REF!</definedName>
    <definedName name="Cost_Lever" localSheetId="24">#REF!</definedName>
    <definedName name="Cost_Lever" localSheetId="27">[1]Segmentation2!#REF!</definedName>
    <definedName name="Cost_Lever" localSheetId="28">[1]Segmentation2!#REF!</definedName>
    <definedName name="Cost_Lever" localSheetId="29">#REF!</definedName>
    <definedName name="Cost_Lever" localSheetId="30">[1]Segmentation2!#REF!</definedName>
    <definedName name="Cost_Lever" localSheetId="33">#REF!</definedName>
    <definedName name="Cost_Lever" localSheetId="34">#REF!</definedName>
    <definedName name="Cost_Lever" localSheetId="36">#REF!</definedName>
    <definedName name="Cost_Lever" localSheetId="38">[1]Segmentation2!#REF!</definedName>
    <definedName name="Cost_Lever" localSheetId="39">#REF!</definedName>
    <definedName name="Cost_Lever" localSheetId="40">#REF!</definedName>
    <definedName name="Cost_Lever" localSheetId="41">[1]Segmentation2!#REF!</definedName>
    <definedName name="Cost_Lever" localSheetId="43">#REF!</definedName>
    <definedName name="Cost_Lever" localSheetId="45">#REF!</definedName>
    <definedName name="Cost_Lever" localSheetId="46">[1]Segmentation2!#REF!</definedName>
    <definedName name="Cost_Lever">[1]Segmentation2!#REF!</definedName>
    <definedName name="DOA" localSheetId="4">#REF!</definedName>
    <definedName name="DOA" localSheetId="12">#REF!</definedName>
    <definedName name="DOA" localSheetId="15">#REF!</definedName>
    <definedName name="DOA" localSheetId="16">#REF!</definedName>
    <definedName name="DOA" localSheetId="21">#REF!</definedName>
    <definedName name="DOA" localSheetId="22">#REF!</definedName>
    <definedName name="DOA" localSheetId="24">#REF!</definedName>
    <definedName name="DOA" localSheetId="29">#REF!</definedName>
    <definedName name="DOA" localSheetId="33">#REF!</definedName>
    <definedName name="DOA" localSheetId="34">#REF!</definedName>
    <definedName name="DOA" localSheetId="36">#REF!</definedName>
    <definedName name="DOA" localSheetId="39">#REF!</definedName>
    <definedName name="DOA" localSheetId="40">#REF!</definedName>
    <definedName name="DOA" localSheetId="43">#REF!</definedName>
    <definedName name="DOA" localSheetId="45">#REF!</definedName>
    <definedName name="DOA">[1]references!$W$2:$W$6</definedName>
    <definedName name="Niv0" localSheetId="4">#REF!</definedName>
    <definedName name="Niv0" localSheetId="12">#REF!</definedName>
    <definedName name="Niv0" localSheetId="15">#REF!</definedName>
    <definedName name="Niv0" localSheetId="16">#REF!</definedName>
    <definedName name="Niv0" localSheetId="21">#REF!</definedName>
    <definedName name="Niv0" localSheetId="22">#REF!</definedName>
    <definedName name="Niv0" localSheetId="24">#REF!</definedName>
    <definedName name="Niv0" localSheetId="29">#REF!</definedName>
    <definedName name="Niv0" localSheetId="33">#REF!</definedName>
    <definedName name="Niv0" localSheetId="34">#REF!</definedName>
    <definedName name="Niv0" localSheetId="36">#REF!</definedName>
    <definedName name="Niv0" localSheetId="39">#REF!</definedName>
    <definedName name="Niv0" localSheetId="40">#REF!</definedName>
    <definedName name="Niv0" localSheetId="43">#REF!</definedName>
    <definedName name="Niv0" localSheetId="45">#REF!</definedName>
    <definedName name="Niv0">[1]Reference1!$A$2:$A$3</definedName>
    <definedName name="_xlnm.Print_Area" localSheetId="47">Template!$B$2:$M$58</definedName>
    <definedName name="Savings" localSheetId="4">#REF!</definedName>
    <definedName name="Savings" localSheetId="12">#REF!</definedName>
    <definedName name="Savings" localSheetId="15">#REF!</definedName>
    <definedName name="Savings" localSheetId="16">#REF!</definedName>
    <definedName name="Savings" localSheetId="21">#REF!</definedName>
    <definedName name="Savings" localSheetId="22">#REF!</definedName>
    <definedName name="Savings" localSheetId="24">#REF!</definedName>
    <definedName name="Savings" localSheetId="29">#REF!</definedName>
    <definedName name="Savings" localSheetId="33">#REF!</definedName>
    <definedName name="Savings" localSheetId="34">#REF!</definedName>
    <definedName name="Savings" localSheetId="36">#REF!</definedName>
    <definedName name="Savings" localSheetId="39">#REF!</definedName>
    <definedName name="Savings" localSheetId="40">#REF!</definedName>
    <definedName name="Savings" localSheetId="43">#REF!</definedName>
    <definedName name="Savings" localSheetId="45">#REF!</definedName>
    <definedName name="Savings">[1]references!$Y$2:$Y$6</definedName>
    <definedName name="SG_Portfolio_200402" localSheetId="3">#REF!</definedName>
    <definedName name="SG_Portfolio_200402" localSheetId="8">#REF!</definedName>
    <definedName name="SG_Portfolio_200402" localSheetId="9">#REF!</definedName>
    <definedName name="SG_Portfolio_200402" localSheetId="11">#REF!</definedName>
    <definedName name="SG_Portfolio_200402" localSheetId="10">#REF!</definedName>
    <definedName name="SG_Portfolio_200402" localSheetId="12">#REF!</definedName>
    <definedName name="SG_Portfolio_200402" localSheetId="15">#REF!</definedName>
    <definedName name="SG_Portfolio_200402" localSheetId="16">#REF!</definedName>
    <definedName name="SG_Portfolio_200402" localSheetId="17">#REF!</definedName>
    <definedName name="SG_Portfolio_200402" localSheetId="19">#REF!</definedName>
    <definedName name="SG_Portfolio_200402" localSheetId="20">#REF!</definedName>
    <definedName name="SG_Portfolio_200402" localSheetId="21">#REF!</definedName>
    <definedName name="SG_Portfolio_200402" localSheetId="22">#REF!</definedName>
    <definedName name="SG_Portfolio_200402" localSheetId="23">#REF!</definedName>
    <definedName name="SG_Portfolio_200402" localSheetId="24">#REF!</definedName>
    <definedName name="SG_Portfolio_200402" localSheetId="27">#REF!</definedName>
    <definedName name="SG_Portfolio_200402" localSheetId="28">#REF!</definedName>
    <definedName name="SG_Portfolio_200402" localSheetId="29">#REF!</definedName>
    <definedName name="SG_Portfolio_200402" localSheetId="30">#REF!</definedName>
    <definedName name="SG_Portfolio_200402" localSheetId="32">#REF!</definedName>
    <definedName name="SG_Portfolio_200402" localSheetId="33">#REF!</definedName>
    <definedName name="SG_Portfolio_200402" localSheetId="34">#REF!</definedName>
    <definedName name="SG_Portfolio_200402" localSheetId="36">#REF!</definedName>
    <definedName name="SG_Portfolio_200402" localSheetId="38">#REF!</definedName>
    <definedName name="SG_Portfolio_200402" localSheetId="39">#REF!</definedName>
    <definedName name="SG_Portfolio_200402" localSheetId="40">#REF!</definedName>
    <definedName name="SG_Portfolio_200402" localSheetId="41">#REF!</definedName>
    <definedName name="SG_Portfolio_200402" localSheetId="43">#REF!</definedName>
    <definedName name="SG_Portfolio_200402" localSheetId="45">#REF!</definedName>
    <definedName name="SG_Portfolio_200402" localSheetId="46">#REF!</definedName>
    <definedName name="SG_Portfolio_200402">#REF!</definedName>
    <definedName name="SG_Upload_191105" localSheetId="3">#REF!</definedName>
    <definedName name="SG_Upload_191105" localSheetId="8">#REF!</definedName>
    <definedName name="SG_Upload_191105" localSheetId="9">#REF!</definedName>
    <definedName name="SG_Upload_191105" localSheetId="11">#REF!</definedName>
    <definedName name="SG_Upload_191105" localSheetId="10">#REF!</definedName>
    <definedName name="SG_Upload_191105" localSheetId="12">#REF!</definedName>
    <definedName name="SG_Upload_191105" localSheetId="15">#REF!</definedName>
    <definedName name="SG_Upload_191105" localSheetId="16">#REF!</definedName>
    <definedName name="SG_Upload_191105" localSheetId="17">#REF!</definedName>
    <definedName name="SG_Upload_191105" localSheetId="19">#REF!</definedName>
    <definedName name="SG_Upload_191105" localSheetId="20">#REF!</definedName>
    <definedName name="SG_Upload_191105" localSheetId="21">#REF!</definedName>
    <definedName name="SG_Upload_191105" localSheetId="22">#REF!</definedName>
    <definedName name="SG_Upload_191105" localSheetId="23">#REF!</definedName>
    <definedName name="SG_Upload_191105" localSheetId="24">#REF!</definedName>
    <definedName name="SG_Upload_191105" localSheetId="27">#REF!</definedName>
    <definedName name="SG_Upload_191105" localSheetId="28">#REF!</definedName>
    <definedName name="SG_Upload_191105" localSheetId="29">#REF!</definedName>
    <definedName name="SG_Upload_191105" localSheetId="30">#REF!</definedName>
    <definedName name="SG_Upload_191105" localSheetId="32">#REF!</definedName>
    <definedName name="SG_Upload_191105" localSheetId="33">#REF!</definedName>
    <definedName name="SG_Upload_191105" localSheetId="34">#REF!</definedName>
    <definedName name="SG_Upload_191105" localSheetId="36">#REF!</definedName>
    <definedName name="SG_Upload_191105" localSheetId="38">#REF!</definedName>
    <definedName name="SG_Upload_191105" localSheetId="39">#REF!</definedName>
    <definedName name="SG_Upload_191105" localSheetId="40">#REF!</definedName>
    <definedName name="SG_Upload_191105" localSheetId="41">#REF!</definedName>
    <definedName name="SG_Upload_191105" localSheetId="43">#REF!</definedName>
    <definedName name="SG_Upload_191105" localSheetId="45">#REF!</definedName>
    <definedName name="SG_Upload_191105" localSheetId="46">#REF!</definedName>
    <definedName name="SG_Upload_191105">#REF!</definedName>
    <definedName name="Sub_Cost_Lever" localSheetId="4">#REF!</definedName>
    <definedName name="Sub_Cost_Lever" localSheetId="12">#REF!</definedName>
    <definedName name="Sub_Cost_Lever" localSheetId="15">#REF!</definedName>
    <definedName name="Sub_Cost_Lever" localSheetId="16">#REF!</definedName>
    <definedName name="Sub_Cost_Lever" localSheetId="21">#REF!</definedName>
    <definedName name="Sub_Cost_Lever" localSheetId="22">#REF!</definedName>
    <definedName name="Sub_Cost_Lever" localSheetId="24">#REF!</definedName>
    <definedName name="Sub_Cost_Lever" localSheetId="29">#REF!</definedName>
    <definedName name="Sub_Cost_Lever" localSheetId="33">#REF!</definedName>
    <definedName name="Sub_Cost_Lever" localSheetId="34">#REF!</definedName>
    <definedName name="Sub_Cost_Lever" localSheetId="36">#REF!</definedName>
    <definedName name="Sub_Cost_Lever" localSheetId="39">#REF!</definedName>
    <definedName name="Sub_Cost_Lever" localSheetId="40">#REF!</definedName>
    <definedName name="Sub_Cost_Lever" localSheetId="43">#REF!</definedName>
    <definedName name="Sub_Cost_Lever" localSheetId="45">#REF!</definedName>
    <definedName name="Sub_Cost_Lever">[1]Segmentation2!$D$3:$D$16</definedName>
  </definedNames>
  <calcPr calcId="181029"/>
  <pivotCaches>
    <pivotCache cacheId="0" r:id="rId5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1" i="41" l="1"/>
  <c r="D27" i="41"/>
  <c r="D28" i="42"/>
  <c r="AD31" i="53"/>
  <c r="AC31" i="53"/>
  <c r="AD27" i="53"/>
  <c r="AC27" i="53"/>
  <c r="D28" i="33" l="1"/>
  <c r="D27" i="33"/>
  <c r="D28" i="50"/>
  <c r="G49" i="68"/>
  <c r="F49" i="68"/>
  <c r="E49" i="68"/>
  <c r="D49" i="68"/>
  <c r="C49" i="68"/>
  <c r="B49" i="68"/>
  <c r="G48" i="68"/>
  <c r="F48" i="68"/>
  <c r="E48" i="68"/>
  <c r="D48" i="68"/>
  <c r="C48" i="68"/>
  <c r="B48" i="68"/>
  <c r="G47" i="68"/>
  <c r="F47" i="68"/>
  <c r="E47" i="68"/>
  <c r="D47" i="68"/>
  <c r="C47" i="68"/>
  <c r="B47" i="68"/>
  <c r="G46" i="68"/>
  <c r="F46" i="68"/>
  <c r="E46" i="68"/>
  <c r="D46" i="68"/>
  <c r="C46" i="68"/>
  <c r="B46" i="68"/>
  <c r="G50" i="68"/>
  <c r="F50" i="68"/>
  <c r="E50" i="68"/>
  <c r="D50" i="68"/>
  <c r="C50" i="68"/>
  <c r="B50" i="68"/>
  <c r="G45" i="68"/>
  <c r="F45" i="68"/>
  <c r="E45" i="68"/>
  <c r="D45" i="68"/>
  <c r="C45" i="68"/>
  <c r="B45" i="68"/>
  <c r="G44" i="68"/>
  <c r="F44" i="68"/>
  <c r="E44" i="68"/>
  <c r="D44" i="68"/>
  <c r="C44" i="68"/>
  <c r="B44" i="68"/>
  <c r="G43" i="68"/>
  <c r="F43" i="68"/>
  <c r="E43" i="68"/>
  <c r="D43" i="68"/>
  <c r="C43" i="68"/>
  <c r="B43" i="68"/>
  <c r="G42" i="68"/>
  <c r="F42" i="68"/>
  <c r="E42" i="68"/>
  <c r="D42" i="68"/>
  <c r="C42" i="68"/>
  <c r="B42" i="68"/>
  <c r="G41" i="68"/>
  <c r="F41" i="68"/>
  <c r="E41" i="68"/>
  <c r="D41" i="68"/>
  <c r="C41" i="68"/>
  <c r="B41" i="68"/>
  <c r="G40" i="68"/>
  <c r="F40" i="68"/>
  <c r="E40" i="68"/>
  <c r="D40" i="68"/>
  <c r="C40" i="68"/>
  <c r="B40" i="68"/>
  <c r="G39" i="68"/>
  <c r="F39" i="68"/>
  <c r="E39" i="68"/>
  <c r="D39" i="68"/>
  <c r="C39" i="68"/>
  <c r="B39" i="68"/>
  <c r="G38" i="68"/>
  <c r="F38" i="68"/>
  <c r="E38" i="68"/>
  <c r="D38" i="68"/>
  <c r="C38" i="68"/>
  <c r="B38" i="68"/>
  <c r="G37" i="68"/>
  <c r="F37" i="68"/>
  <c r="E37" i="68"/>
  <c r="D37" i="68"/>
  <c r="C37" i="68"/>
  <c r="B37" i="68"/>
  <c r="G36" i="68"/>
  <c r="F36" i="68"/>
  <c r="E36" i="68"/>
  <c r="D36" i="68"/>
  <c r="C36" i="68"/>
  <c r="B36" i="68"/>
  <c r="G35" i="68"/>
  <c r="F35" i="68"/>
  <c r="E35" i="68"/>
  <c r="D35" i="68"/>
  <c r="C35" i="68"/>
  <c r="B35" i="68"/>
  <c r="G34" i="68"/>
  <c r="F34" i="68"/>
  <c r="E34" i="68"/>
  <c r="D34" i="68"/>
  <c r="C34" i="68"/>
  <c r="B34" i="68"/>
  <c r="G33" i="68"/>
  <c r="F33" i="68"/>
  <c r="E33" i="68"/>
  <c r="D33" i="68"/>
  <c r="C33" i="68"/>
  <c r="B33" i="68"/>
  <c r="G32" i="68"/>
  <c r="F32" i="68"/>
  <c r="E32" i="68"/>
  <c r="D32" i="68"/>
  <c r="C32" i="68"/>
  <c r="B32" i="68"/>
  <c r="G31" i="68"/>
  <c r="F31" i="68"/>
  <c r="E31" i="68"/>
  <c r="D31" i="68"/>
  <c r="C31" i="68"/>
  <c r="B31" i="68"/>
  <c r="G30" i="68"/>
  <c r="F30" i="68"/>
  <c r="E30" i="68"/>
  <c r="D30" i="68"/>
  <c r="C30" i="68"/>
  <c r="B30" i="68"/>
  <c r="G29" i="68"/>
  <c r="F29" i="68"/>
  <c r="E29" i="68"/>
  <c r="D29" i="68"/>
  <c r="C29" i="68"/>
  <c r="B29" i="68"/>
  <c r="G28" i="68"/>
  <c r="F28" i="68"/>
  <c r="E28" i="68"/>
  <c r="D28" i="68"/>
  <c r="C28" i="68"/>
  <c r="B28" i="68"/>
  <c r="G27" i="68"/>
  <c r="F27" i="68"/>
  <c r="E27" i="68"/>
  <c r="D27" i="68"/>
  <c r="C27" i="68"/>
  <c r="B27" i="68"/>
  <c r="G26" i="68"/>
  <c r="F26" i="68"/>
  <c r="E26" i="68"/>
  <c r="D26" i="68"/>
  <c r="C26" i="68"/>
  <c r="B26" i="68"/>
  <c r="G25" i="68"/>
  <c r="F25" i="68"/>
  <c r="E25" i="68"/>
  <c r="D25" i="68"/>
  <c r="C25" i="68"/>
  <c r="B25" i="68"/>
  <c r="G24" i="68"/>
  <c r="F24" i="68"/>
  <c r="E24" i="68"/>
  <c r="D24" i="68"/>
  <c r="C24" i="68"/>
  <c r="B24" i="68"/>
  <c r="G23" i="68"/>
  <c r="F23" i="68"/>
  <c r="E23" i="68"/>
  <c r="D23" i="68"/>
  <c r="C23" i="68"/>
  <c r="B23" i="68"/>
  <c r="G22" i="68"/>
  <c r="F22" i="68"/>
  <c r="E22" i="68"/>
  <c r="D22" i="68"/>
  <c r="C22" i="68"/>
  <c r="B22" i="68"/>
  <c r="G21" i="68"/>
  <c r="F21" i="68"/>
  <c r="E21" i="68"/>
  <c r="D21" i="68"/>
  <c r="C21" i="68"/>
  <c r="B21" i="68"/>
  <c r="G20" i="68"/>
  <c r="F20" i="68"/>
  <c r="E20" i="68"/>
  <c r="D20" i="68"/>
  <c r="C20" i="68"/>
  <c r="B20" i="68"/>
  <c r="G19" i="68"/>
  <c r="F19" i="68"/>
  <c r="E19" i="68"/>
  <c r="D19" i="68"/>
  <c r="C19" i="68"/>
  <c r="B19" i="68"/>
  <c r="Q20" i="68"/>
  <c r="P20" i="68"/>
  <c r="O20" i="68"/>
  <c r="N20" i="68"/>
  <c r="M20" i="68"/>
  <c r="L20" i="68"/>
  <c r="Q19" i="68"/>
  <c r="P19" i="68"/>
  <c r="O19" i="68"/>
  <c r="N19" i="68"/>
  <c r="M19" i="68"/>
  <c r="L19" i="68"/>
  <c r="Q18" i="68"/>
  <c r="P18" i="68"/>
  <c r="O18" i="68"/>
  <c r="N18" i="68"/>
  <c r="M18" i="68"/>
  <c r="L18" i="68"/>
  <c r="Q17" i="68"/>
  <c r="P17" i="68"/>
  <c r="O17" i="68"/>
  <c r="N17" i="68"/>
  <c r="M17" i="68"/>
  <c r="L17" i="68"/>
  <c r="Q16" i="68"/>
  <c r="P16" i="68"/>
  <c r="O16" i="68"/>
  <c r="N16" i="68"/>
  <c r="M16" i="68"/>
  <c r="L16" i="68"/>
  <c r="Q15" i="68"/>
  <c r="P15" i="68"/>
  <c r="O15" i="68"/>
  <c r="N15" i="68"/>
  <c r="M15" i="68"/>
  <c r="L15" i="68"/>
  <c r="Q14" i="68"/>
  <c r="P14" i="68"/>
  <c r="O14" i="68"/>
  <c r="N14" i="68"/>
  <c r="M14" i="68"/>
  <c r="L14" i="68"/>
  <c r="Q13" i="68"/>
  <c r="P13" i="68"/>
  <c r="O13" i="68"/>
  <c r="N13" i="68"/>
  <c r="M13" i="68"/>
  <c r="L13" i="68"/>
  <c r="Q12" i="68"/>
  <c r="P12" i="68"/>
  <c r="O12" i="68"/>
  <c r="N12" i="68"/>
  <c r="M12" i="68"/>
  <c r="L12" i="68"/>
  <c r="Q10" i="68"/>
  <c r="P10" i="68"/>
  <c r="O10" i="68"/>
  <c r="N10" i="68"/>
  <c r="M10" i="68"/>
  <c r="L10" i="68"/>
  <c r="Q9" i="68"/>
  <c r="P9" i="68"/>
  <c r="O9" i="68"/>
  <c r="N9" i="68"/>
  <c r="M9" i="68"/>
  <c r="L9" i="68"/>
  <c r="Q8" i="68"/>
  <c r="P8" i="68"/>
  <c r="O8" i="68"/>
  <c r="N8" i="68"/>
  <c r="M8" i="68"/>
  <c r="L8" i="68"/>
  <c r="Q21" i="68"/>
  <c r="P21" i="68"/>
  <c r="O21" i="68"/>
  <c r="N21" i="68"/>
  <c r="M21" i="68"/>
  <c r="L21" i="68"/>
  <c r="Q7" i="68"/>
  <c r="P7" i="68"/>
  <c r="O7" i="68"/>
  <c r="N7" i="68"/>
  <c r="M7" i="68"/>
  <c r="L7" i="68"/>
  <c r="Q5" i="68"/>
  <c r="P5" i="68"/>
  <c r="O5" i="68"/>
  <c r="N5" i="68"/>
  <c r="M5" i="68"/>
  <c r="L5" i="68"/>
  <c r="Q3" i="68"/>
  <c r="P3" i="68"/>
  <c r="O3" i="68"/>
  <c r="N3" i="68"/>
  <c r="M3" i="68"/>
  <c r="L3" i="68"/>
  <c r="Q4" i="68"/>
  <c r="P4" i="68"/>
  <c r="O4" i="68"/>
  <c r="N4" i="68"/>
  <c r="M4" i="68"/>
  <c r="L4" i="68"/>
  <c r="D52" i="25"/>
  <c r="E31" i="25"/>
  <c r="D31" i="25"/>
  <c r="E27" i="25"/>
  <c r="D27" i="25"/>
  <c r="F2" i="68"/>
  <c r="F3" i="68"/>
  <c r="F4" i="68"/>
  <c r="F5" i="68"/>
  <c r="F6" i="68"/>
  <c r="F7" i="68"/>
  <c r="F8" i="68"/>
  <c r="F9" i="68"/>
  <c r="F10" i="68"/>
  <c r="F11" i="68"/>
  <c r="F12" i="68"/>
  <c r="F13" i="68"/>
  <c r="F14" i="68"/>
  <c r="B2" i="68"/>
  <c r="B3" i="68"/>
  <c r="B4" i="68"/>
  <c r="B5" i="68"/>
  <c r="B6" i="68"/>
  <c r="B7" i="68"/>
  <c r="B8" i="68"/>
  <c r="B9" i="68"/>
  <c r="B10" i="68"/>
  <c r="B11" i="68"/>
  <c r="B12" i="68"/>
  <c r="B13" i="68"/>
  <c r="B14" i="68"/>
  <c r="G14" i="68"/>
  <c r="E14" i="68"/>
  <c r="D14" i="68"/>
  <c r="C14" i="68"/>
  <c r="G13" i="68"/>
  <c r="E13" i="68"/>
  <c r="D13" i="68"/>
  <c r="C13" i="68"/>
  <c r="G12" i="68"/>
  <c r="E12" i="68"/>
  <c r="D12" i="68"/>
  <c r="C12" i="68"/>
  <c r="G11" i="68"/>
  <c r="E11" i="68"/>
  <c r="D11" i="68"/>
  <c r="C11" i="68"/>
  <c r="G10" i="68"/>
  <c r="E10" i="68"/>
  <c r="D10" i="68"/>
  <c r="C10" i="68"/>
  <c r="G9" i="68"/>
  <c r="E9" i="68"/>
  <c r="D9" i="68"/>
  <c r="C9" i="68"/>
  <c r="G8" i="68"/>
  <c r="E8" i="68"/>
  <c r="D8" i="68"/>
  <c r="C8" i="68"/>
  <c r="G7" i="68"/>
  <c r="E7" i="68"/>
  <c r="D7" i="68"/>
  <c r="C7" i="68"/>
  <c r="G6" i="68"/>
  <c r="E6" i="68"/>
  <c r="D6" i="68"/>
  <c r="C6" i="68"/>
  <c r="G5" i="68"/>
  <c r="E5" i="68"/>
  <c r="D5" i="68"/>
  <c r="C5" i="68"/>
  <c r="G4" i="68"/>
  <c r="E4" i="68"/>
  <c r="D4" i="68"/>
  <c r="C4" i="68"/>
  <c r="G3" i="68"/>
  <c r="E3" i="68"/>
  <c r="D3" i="68"/>
  <c r="C3" i="68"/>
  <c r="G2" i="68"/>
  <c r="E2" i="68"/>
  <c r="D2" i="68"/>
  <c r="C2" i="68"/>
  <c r="G98" i="67"/>
  <c r="F98" i="67"/>
  <c r="E98" i="67"/>
  <c r="D98" i="67"/>
  <c r="C98" i="67"/>
  <c r="B98" i="67"/>
  <c r="G97" i="67"/>
  <c r="F97" i="67"/>
  <c r="E97" i="67"/>
  <c r="D97" i="67"/>
  <c r="C97" i="67"/>
  <c r="B97" i="67"/>
  <c r="G68" i="67"/>
  <c r="F68" i="67"/>
  <c r="E68" i="67"/>
  <c r="D68" i="67"/>
  <c r="C68" i="67"/>
  <c r="B68" i="67"/>
  <c r="G67" i="67"/>
  <c r="F67" i="67"/>
  <c r="E67" i="67"/>
  <c r="D67" i="67"/>
  <c r="C67" i="67"/>
  <c r="B67" i="67"/>
  <c r="G103" i="67"/>
  <c r="F103" i="67"/>
  <c r="E103" i="67"/>
  <c r="D103" i="67"/>
  <c r="C103" i="67"/>
  <c r="B103" i="67"/>
  <c r="G109" i="67"/>
  <c r="F109" i="67"/>
  <c r="E109" i="67"/>
  <c r="D109" i="67"/>
  <c r="C109" i="67"/>
  <c r="B109" i="67"/>
  <c r="G108" i="67"/>
  <c r="F108" i="67"/>
  <c r="E108" i="67"/>
  <c r="D108" i="67"/>
  <c r="C108" i="67"/>
  <c r="B108" i="67"/>
  <c r="G107" i="67"/>
  <c r="F107" i="67"/>
  <c r="E107" i="67"/>
  <c r="D107" i="67"/>
  <c r="C107" i="67"/>
  <c r="B107" i="67"/>
  <c r="G112" i="67"/>
  <c r="F112" i="67"/>
  <c r="E112" i="67"/>
  <c r="D112" i="67"/>
  <c r="C112" i="67"/>
  <c r="B112" i="67"/>
  <c r="G66" i="67"/>
  <c r="F66" i="67"/>
  <c r="E66" i="67"/>
  <c r="D66" i="67"/>
  <c r="C66" i="67"/>
  <c r="B66" i="67"/>
  <c r="G65" i="67"/>
  <c r="F65" i="67"/>
  <c r="E65" i="67"/>
  <c r="D65" i="67"/>
  <c r="C65" i="67"/>
  <c r="B65" i="67"/>
  <c r="G130" i="67"/>
  <c r="F130" i="67"/>
  <c r="E130" i="67"/>
  <c r="D130" i="67"/>
  <c r="C130" i="67"/>
  <c r="B130" i="67"/>
  <c r="G69" i="67"/>
  <c r="F69" i="67"/>
  <c r="E69" i="67"/>
  <c r="D69" i="67"/>
  <c r="C69" i="67"/>
  <c r="B69" i="67"/>
  <c r="G87" i="67"/>
  <c r="F87" i="67"/>
  <c r="E87" i="67"/>
  <c r="D87" i="67"/>
  <c r="C87" i="67"/>
  <c r="B87" i="67"/>
  <c r="G64" i="67"/>
  <c r="F64" i="67"/>
  <c r="E64" i="67"/>
  <c r="D64" i="67"/>
  <c r="C64" i="67"/>
  <c r="B64" i="67"/>
  <c r="G111" i="67"/>
  <c r="F111" i="67"/>
  <c r="E111" i="67"/>
  <c r="D111" i="67"/>
  <c r="C111" i="67"/>
  <c r="B111" i="67"/>
  <c r="G110" i="67"/>
  <c r="F110" i="67"/>
  <c r="E110" i="67"/>
  <c r="D110" i="67"/>
  <c r="C110" i="67"/>
  <c r="B110" i="67"/>
  <c r="G63" i="67"/>
  <c r="F63" i="67"/>
  <c r="E63" i="67"/>
  <c r="D63" i="67"/>
  <c r="C63" i="67"/>
  <c r="B63" i="67"/>
  <c r="G62" i="67"/>
  <c r="F62" i="67"/>
  <c r="E62" i="67"/>
  <c r="D62" i="67"/>
  <c r="C62" i="67"/>
  <c r="B62" i="67"/>
  <c r="G61" i="67"/>
  <c r="F61" i="67"/>
  <c r="E61" i="67"/>
  <c r="D61" i="67"/>
  <c r="C61" i="67"/>
  <c r="B61" i="67"/>
  <c r="G60" i="67"/>
  <c r="F60" i="67"/>
  <c r="E60" i="67"/>
  <c r="D60" i="67"/>
  <c r="C60" i="67"/>
  <c r="B60" i="67"/>
  <c r="G59" i="67"/>
  <c r="F59" i="67"/>
  <c r="E59" i="67"/>
  <c r="D59" i="67"/>
  <c r="C59" i="67"/>
  <c r="B59" i="67"/>
  <c r="G58" i="67"/>
  <c r="F58" i="67"/>
  <c r="E58" i="67"/>
  <c r="D58" i="67"/>
  <c r="C58" i="67"/>
  <c r="B58" i="67"/>
  <c r="G57" i="67"/>
  <c r="F57" i="67"/>
  <c r="E57" i="67"/>
  <c r="D57" i="67"/>
  <c r="C57" i="67"/>
  <c r="B57" i="67"/>
  <c r="G79" i="67"/>
  <c r="F79" i="67"/>
  <c r="E79" i="67"/>
  <c r="D79" i="67"/>
  <c r="C79" i="67"/>
  <c r="B79" i="67"/>
  <c r="G56" i="67"/>
  <c r="F56" i="67"/>
  <c r="E56" i="67"/>
  <c r="D56" i="67"/>
  <c r="C56" i="67"/>
  <c r="B56" i="67"/>
  <c r="G102" i="67"/>
  <c r="F102" i="67"/>
  <c r="E102" i="67"/>
  <c r="D102" i="67"/>
  <c r="C102" i="67"/>
  <c r="B102" i="67"/>
  <c r="G101" i="67"/>
  <c r="F101" i="67"/>
  <c r="E101" i="67"/>
  <c r="D101" i="67"/>
  <c r="C101" i="67"/>
  <c r="B101" i="67"/>
  <c r="G55" i="67"/>
  <c r="F55" i="67"/>
  <c r="E55" i="67"/>
  <c r="D55" i="67"/>
  <c r="C55" i="67"/>
  <c r="B55" i="67"/>
  <c r="G54" i="67"/>
  <c r="F54" i="67"/>
  <c r="E54" i="67"/>
  <c r="D54" i="67"/>
  <c r="C54" i="67"/>
  <c r="B54" i="67"/>
  <c r="G53" i="67"/>
  <c r="F53" i="67"/>
  <c r="E53" i="67"/>
  <c r="D53" i="67"/>
  <c r="C53" i="67"/>
  <c r="B53" i="67"/>
  <c r="G120" i="67"/>
  <c r="F120" i="67"/>
  <c r="E120" i="67"/>
  <c r="D120" i="67"/>
  <c r="C120" i="67"/>
  <c r="B120" i="67"/>
  <c r="G85" i="67"/>
  <c r="F85" i="67"/>
  <c r="E85" i="67"/>
  <c r="D85" i="67"/>
  <c r="C85" i="67"/>
  <c r="B85" i="67"/>
  <c r="G52" i="67"/>
  <c r="F52" i="67"/>
  <c r="E52" i="67"/>
  <c r="D52" i="67"/>
  <c r="C52" i="67"/>
  <c r="B52" i="67"/>
  <c r="G96" i="67"/>
  <c r="F96" i="67"/>
  <c r="E96" i="67"/>
  <c r="D96" i="67"/>
  <c r="C96" i="67"/>
  <c r="B96" i="67"/>
  <c r="G95" i="67"/>
  <c r="F95" i="67"/>
  <c r="E95" i="67"/>
  <c r="D95" i="67"/>
  <c r="C95" i="67"/>
  <c r="B95" i="67"/>
  <c r="G94" i="67"/>
  <c r="F94" i="67"/>
  <c r="E94" i="67"/>
  <c r="D94" i="67"/>
  <c r="C94" i="67"/>
  <c r="B94" i="67"/>
  <c r="G78" i="67"/>
  <c r="F78" i="67"/>
  <c r="E78" i="67"/>
  <c r="D78" i="67"/>
  <c r="C78" i="67"/>
  <c r="B78" i="67"/>
  <c r="G77" i="67"/>
  <c r="F77" i="67"/>
  <c r="E77" i="67"/>
  <c r="D77" i="67"/>
  <c r="C77" i="67"/>
  <c r="B77" i="67"/>
  <c r="G113" i="67"/>
  <c r="F113" i="67"/>
  <c r="E113" i="67"/>
  <c r="D113" i="67"/>
  <c r="C113" i="67"/>
  <c r="B113" i="67"/>
  <c r="G118" i="67"/>
  <c r="F118" i="67"/>
  <c r="E118" i="67"/>
  <c r="D118" i="67"/>
  <c r="C118" i="67"/>
  <c r="B118" i="67"/>
  <c r="G115" i="67"/>
  <c r="F115" i="67"/>
  <c r="E115" i="67"/>
  <c r="D115" i="67"/>
  <c r="C115" i="67"/>
  <c r="B115" i="67"/>
  <c r="G114" i="67"/>
  <c r="F114" i="67"/>
  <c r="E114" i="67"/>
  <c r="D114" i="67"/>
  <c r="C114" i="67"/>
  <c r="B114" i="67"/>
  <c r="G116" i="67"/>
  <c r="F116" i="67"/>
  <c r="E116" i="67"/>
  <c r="D116" i="67"/>
  <c r="C116" i="67"/>
  <c r="B116" i="67"/>
  <c r="G99" i="67"/>
  <c r="F99" i="67"/>
  <c r="E99" i="67"/>
  <c r="D99" i="67"/>
  <c r="C99" i="67"/>
  <c r="B99" i="67"/>
  <c r="G100" i="67"/>
  <c r="F100" i="67"/>
  <c r="E100" i="67"/>
  <c r="D100" i="67"/>
  <c r="C100" i="67"/>
  <c r="B100" i="67"/>
  <c r="G126" i="67"/>
  <c r="F126" i="67"/>
  <c r="E126" i="67"/>
  <c r="D126" i="67"/>
  <c r="C126" i="67"/>
  <c r="B126" i="67"/>
  <c r="G106" i="67"/>
  <c r="F106" i="67"/>
  <c r="E106" i="67"/>
  <c r="D106" i="67"/>
  <c r="C106" i="67"/>
  <c r="B106" i="67"/>
  <c r="G70" i="67"/>
  <c r="F70" i="67"/>
  <c r="E70" i="67"/>
  <c r="D70" i="67"/>
  <c r="C70" i="67"/>
  <c r="B70" i="67"/>
  <c r="G76" i="67"/>
  <c r="F76" i="67"/>
  <c r="E76" i="67"/>
  <c r="D76" i="67"/>
  <c r="C76" i="67"/>
  <c r="B76" i="67"/>
  <c r="G51" i="67"/>
  <c r="F51" i="67"/>
  <c r="E51" i="67"/>
  <c r="D51" i="67"/>
  <c r="C51" i="67"/>
  <c r="B51" i="67"/>
  <c r="G50" i="67"/>
  <c r="F50" i="67"/>
  <c r="E50" i="67"/>
  <c r="D50" i="67"/>
  <c r="C50" i="67"/>
  <c r="B50" i="67"/>
  <c r="G49" i="67"/>
  <c r="F49" i="67"/>
  <c r="E49" i="67"/>
  <c r="D49" i="67"/>
  <c r="C49" i="67"/>
  <c r="B49" i="67"/>
  <c r="G125" i="67"/>
  <c r="F125" i="67"/>
  <c r="E125" i="67"/>
  <c r="D125" i="67"/>
  <c r="C125" i="67"/>
  <c r="B125" i="67"/>
  <c r="G129" i="67"/>
  <c r="F129" i="67"/>
  <c r="E129" i="67"/>
  <c r="D129" i="67"/>
  <c r="C129" i="67"/>
  <c r="B129" i="67"/>
  <c r="G128" i="67"/>
  <c r="F128" i="67"/>
  <c r="E128" i="67"/>
  <c r="D128" i="67"/>
  <c r="C128" i="67"/>
  <c r="B128" i="67"/>
  <c r="G127" i="67"/>
  <c r="F127" i="67"/>
  <c r="E127" i="67"/>
  <c r="D127" i="67"/>
  <c r="C127" i="67"/>
  <c r="B127" i="67"/>
  <c r="G124" i="67"/>
  <c r="F124" i="67"/>
  <c r="E124" i="67"/>
  <c r="D124" i="67"/>
  <c r="C124" i="67"/>
  <c r="B124" i="67"/>
  <c r="G123" i="67"/>
  <c r="F123" i="67"/>
  <c r="E123" i="67"/>
  <c r="D123" i="67"/>
  <c r="C123" i="67"/>
  <c r="B123" i="67"/>
  <c r="G122" i="67"/>
  <c r="F122" i="67"/>
  <c r="E122" i="67"/>
  <c r="D122" i="67"/>
  <c r="C122" i="67"/>
  <c r="B122" i="67"/>
  <c r="G121" i="67"/>
  <c r="F121" i="67"/>
  <c r="E121" i="67"/>
  <c r="D121" i="67"/>
  <c r="C121" i="67"/>
  <c r="B121" i="67"/>
  <c r="G86" i="67"/>
  <c r="F86" i="67"/>
  <c r="E86" i="67"/>
  <c r="D86" i="67"/>
  <c r="C86" i="67"/>
  <c r="B86" i="67"/>
  <c r="G71" i="67"/>
  <c r="F71" i="67"/>
  <c r="E71" i="67"/>
  <c r="D71" i="67"/>
  <c r="C71" i="67"/>
  <c r="B71" i="67"/>
  <c r="G81" i="67"/>
  <c r="F81" i="67"/>
  <c r="E81" i="67"/>
  <c r="D81" i="67"/>
  <c r="C81" i="67"/>
  <c r="B81" i="67"/>
  <c r="G84" i="67"/>
  <c r="F84" i="67"/>
  <c r="E84" i="67"/>
  <c r="D84" i="67"/>
  <c r="C84" i="67"/>
  <c r="B84" i="67"/>
  <c r="G80" i="67"/>
  <c r="F80" i="67"/>
  <c r="E80" i="67"/>
  <c r="D80" i="67"/>
  <c r="C80" i="67"/>
  <c r="B80" i="67"/>
  <c r="G48" i="67"/>
  <c r="F48" i="67"/>
  <c r="E48" i="67"/>
  <c r="D48" i="67"/>
  <c r="C48" i="67"/>
  <c r="B48" i="67"/>
  <c r="G73" i="67"/>
  <c r="F73" i="67"/>
  <c r="E73" i="67"/>
  <c r="D73" i="67"/>
  <c r="C73" i="67"/>
  <c r="B73" i="67"/>
  <c r="G47" i="67"/>
  <c r="F47" i="67"/>
  <c r="E47" i="67"/>
  <c r="D47" i="67"/>
  <c r="C47" i="67"/>
  <c r="B47" i="67"/>
  <c r="G46" i="67"/>
  <c r="F46" i="67"/>
  <c r="E46" i="67"/>
  <c r="D46" i="67"/>
  <c r="C46" i="67"/>
  <c r="B46" i="67"/>
  <c r="G45" i="67"/>
  <c r="F45" i="67"/>
  <c r="E45" i="67"/>
  <c r="D45" i="67"/>
  <c r="C45" i="67"/>
  <c r="B45" i="67"/>
  <c r="G44" i="67"/>
  <c r="F44" i="67"/>
  <c r="E44" i="67"/>
  <c r="D44" i="67"/>
  <c r="C44" i="67"/>
  <c r="B44" i="67"/>
  <c r="G43" i="67"/>
  <c r="F43" i="67"/>
  <c r="E43" i="67"/>
  <c r="D43" i="67"/>
  <c r="C43" i="67"/>
  <c r="B43" i="67"/>
  <c r="G42" i="67"/>
  <c r="F42" i="67"/>
  <c r="E42" i="67"/>
  <c r="D42" i="67"/>
  <c r="C42" i="67"/>
  <c r="B42" i="67"/>
  <c r="G41" i="67"/>
  <c r="F41" i="67"/>
  <c r="E41" i="67"/>
  <c r="D41" i="67"/>
  <c r="C41" i="67"/>
  <c r="B41" i="67"/>
  <c r="G40" i="67"/>
  <c r="F40" i="67"/>
  <c r="E40" i="67"/>
  <c r="D40" i="67"/>
  <c r="C40" i="67"/>
  <c r="B40" i="67"/>
  <c r="G39" i="67"/>
  <c r="F39" i="67"/>
  <c r="E39" i="67"/>
  <c r="D39" i="67"/>
  <c r="C39" i="67"/>
  <c r="B39" i="67"/>
  <c r="G38" i="67"/>
  <c r="F38" i="67"/>
  <c r="E38" i="67"/>
  <c r="D38" i="67"/>
  <c r="C38" i="67"/>
  <c r="B38" i="67"/>
  <c r="G37" i="67"/>
  <c r="F37" i="67"/>
  <c r="E37" i="67"/>
  <c r="D37" i="67"/>
  <c r="C37" i="67"/>
  <c r="B37" i="67"/>
  <c r="G36" i="67"/>
  <c r="F36" i="67"/>
  <c r="E36" i="67"/>
  <c r="D36" i="67"/>
  <c r="C36" i="67"/>
  <c r="B36" i="67"/>
  <c r="G35" i="67"/>
  <c r="F35" i="67"/>
  <c r="E35" i="67"/>
  <c r="D35" i="67"/>
  <c r="C35" i="67"/>
  <c r="B35" i="67"/>
  <c r="G34" i="67"/>
  <c r="F34" i="67"/>
  <c r="E34" i="67"/>
  <c r="D34" i="67"/>
  <c r="C34" i="67"/>
  <c r="B34" i="67"/>
  <c r="G33" i="67"/>
  <c r="F33" i="67"/>
  <c r="E33" i="67"/>
  <c r="D33" i="67"/>
  <c r="C33" i="67"/>
  <c r="B33" i="67"/>
  <c r="G32" i="67"/>
  <c r="F32" i="67"/>
  <c r="E32" i="67"/>
  <c r="D32" i="67"/>
  <c r="C32" i="67"/>
  <c r="B32" i="67"/>
  <c r="G31" i="67"/>
  <c r="F31" i="67"/>
  <c r="E31" i="67"/>
  <c r="D31" i="67"/>
  <c r="C31" i="67"/>
  <c r="B31" i="67"/>
  <c r="G30" i="67"/>
  <c r="F30" i="67"/>
  <c r="E30" i="67"/>
  <c r="D30" i="67"/>
  <c r="C30" i="67"/>
  <c r="B30" i="67"/>
  <c r="G29" i="67"/>
  <c r="F29" i="67"/>
  <c r="E29" i="67"/>
  <c r="D29" i="67"/>
  <c r="C29" i="67"/>
  <c r="B29" i="67"/>
  <c r="G28" i="67"/>
  <c r="F28" i="67"/>
  <c r="E28" i="67"/>
  <c r="D28" i="67"/>
  <c r="C28" i="67"/>
  <c r="B28" i="67"/>
  <c r="G27" i="67"/>
  <c r="F27" i="67"/>
  <c r="E27" i="67"/>
  <c r="D27" i="67"/>
  <c r="C27" i="67"/>
  <c r="B27" i="67"/>
  <c r="G26" i="67"/>
  <c r="F26" i="67"/>
  <c r="E26" i="67"/>
  <c r="D26" i="67"/>
  <c r="C26" i="67"/>
  <c r="B26" i="67"/>
  <c r="G25" i="67"/>
  <c r="F25" i="67"/>
  <c r="E25" i="67"/>
  <c r="D25" i="67"/>
  <c r="C25" i="67"/>
  <c r="B25" i="67"/>
  <c r="G24" i="67"/>
  <c r="F24" i="67"/>
  <c r="E24" i="67"/>
  <c r="D24" i="67"/>
  <c r="C24" i="67"/>
  <c r="B24" i="67"/>
  <c r="G23" i="67"/>
  <c r="F23" i="67"/>
  <c r="E23" i="67"/>
  <c r="D23" i="67"/>
  <c r="C23" i="67"/>
  <c r="B23" i="67"/>
  <c r="G22" i="67"/>
  <c r="F22" i="67"/>
  <c r="E22" i="67"/>
  <c r="D22" i="67"/>
  <c r="C22" i="67"/>
  <c r="B22" i="67"/>
  <c r="G21" i="67"/>
  <c r="F21" i="67"/>
  <c r="E21" i="67"/>
  <c r="D21" i="67"/>
  <c r="C21" i="67"/>
  <c r="B21" i="67"/>
  <c r="G20" i="67"/>
  <c r="F20" i="67"/>
  <c r="E20" i="67"/>
  <c r="D20" i="67"/>
  <c r="C20" i="67"/>
  <c r="B20" i="67"/>
  <c r="G19" i="67"/>
  <c r="F19" i="67"/>
  <c r="E19" i="67"/>
  <c r="D19" i="67"/>
  <c r="C19" i="67"/>
  <c r="B19" i="67"/>
  <c r="G18" i="67"/>
  <c r="F18" i="67"/>
  <c r="E18" i="67"/>
  <c r="D18" i="67"/>
  <c r="C18" i="67"/>
  <c r="B18" i="67"/>
  <c r="G17" i="67"/>
  <c r="F17" i="67"/>
  <c r="E17" i="67"/>
  <c r="D17" i="67"/>
  <c r="C17" i="67"/>
  <c r="B17" i="67"/>
  <c r="G16" i="67"/>
  <c r="F16" i="67"/>
  <c r="E16" i="67"/>
  <c r="D16" i="67"/>
  <c r="C16" i="67"/>
  <c r="B16" i="67"/>
  <c r="G15" i="67"/>
  <c r="F15" i="67"/>
  <c r="E15" i="67"/>
  <c r="D15" i="67"/>
  <c r="C15" i="67"/>
  <c r="B15" i="67"/>
  <c r="G14" i="67"/>
  <c r="F14" i="67"/>
  <c r="E14" i="67"/>
  <c r="D14" i="67"/>
  <c r="C14" i="67"/>
  <c r="B14" i="67"/>
  <c r="G13" i="67"/>
  <c r="F13" i="67"/>
  <c r="E13" i="67"/>
  <c r="D13" i="67"/>
  <c r="C13" i="67"/>
  <c r="B13" i="67"/>
  <c r="G12" i="67"/>
  <c r="F12" i="67"/>
  <c r="E12" i="67"/>
  <c r="D12" i="67"/>
  <c r="C12" i="67"/>
  <c r="B12" i="67"/>
  <c r="G11" i="67"/>
  <c r="F11" i="67"/>
  <c r="E11" i="67"/>
  <c r="D11" i="67"/>
  <c r="C11" i="67"/>
  <c r="B11" i="67"/>
  <c r="G10" i="67"/>
  <c r="F10" i="67"/>
  <c r="E10" i="67"/>
  <c r="D10" i="67"/>
  <c r="C10" i="67"/>
  <c r="B10" i="67"/>
  <c r="G9" i="67"/>
  <c r="F9" i="67"/>
  <c r="E9" i="67"/>
  <c r="D9" i="67"/>
  <c r="C9" i="67"/>
  <c r="B9" i="67"/>
  <c r="G8" i="67"/>
  <c r="F8" i="67"/>
  <c r="E8" i="67"/>
  <c r="D8" i="67"/>
  <c r="C8" i="67"/>
  <c r="B8" i="67"/>
  <c r="G7" i="67"/>
  <c r="F7" i="67"/>
  <c r="E7" i="67"/>
  <c r="D7" i="67"/>
  <c r="C7" i="67"/>
  <c r="B7" i="67"/>
  <c r="G104" i="67"/>
  <c r="F104" i="67"/>
  <c r="E104" i="67"/>
  <c r="D104" i="67"/>
  <c r="C104" i="67"/>
  <c r="B104" i="67"/>
  <c r="G105" i="67"/>
  <c r="F105" i="67"/>
  <c r="E105" i="67"/>
  <c r="D105" i="67"/>
  <c r="C105" i="67"/>
  <c r="B105" i="67"/>
  <c r="G117" i="67"/>
  <c r="F117" i="67"/>
  <c r="E117" i="67"/>
  <c r="D117" i="67"/>
  <c r="C117" i="67"/>
  <c r="B117" i="67"/>
  <c r="G6" i="67"/>
  <c r="F6" i="67"/>
  <c r="E6" i="67"/>
  <c r="D6" i="67"/>
  <c r="C6" i="67"/>
  <c r="B6" i="67"/>
  <c r="G5" i="67"/>
  <c r="F5" i="67"/>
  <c r="E5" i="67"/>
  <c r="D5" i="67"/>
  <c r="C5" i="67"/>
  <c r="B5" i="67"/>
  <c r="G93" i="67"/>
  <c r="F93" i="67"/>
  <c r="E93" i="67"/>
  <c r="D93" i="67"/>
  <c r="C93" i="67"/>
  <c r="B93" i="67"/>
  <c r="G75" i="67"/>
  <c r="F75" i="67"/>
  <c r="E75" i="67"/>
  <c r="D75" i="67"/>
  <c r="C75" i="67"/>
  <c r="B75" i="67"/>
  <c r="G82" i="67"/>
  <c r="F82" i="67"/>
  <c r="E82" i="67"/>
  <c r="D82" i="67"/>
  <c r="C82" i="67"/>
  <c r="B82" i="67"/>
  <c r="G72" i="67"/>
  <c r="F72" i="67"/>
  <c r="E72" i="67"/>
  <c r="D72" i="67"/>
  <c r="C72" i="67"/>
  <c r="B72" i="67"/>
  <c r="G92" i="67"/>
  <c r="F92" i="67"/>
  <c r="E92" i="67"/>
  <c r="D92" i="67"/>
  <c r="C92" i="67"/>
  <c r="B92" i="67"/>
  <c r="G91" i="67"/>
  <c r="F91" i="67"/>
  <c r="E91" i="67"/>
  <c r="D91" i="67"/>
  <c r="C91" i="67"/>
  <c r="B91" i="67"/>
  <c r="G90" i="67"/>
  <c r="F90" i="67"/>
  <c r="E90" i="67"/>
  <c r="D90" i="67"/>
  <c r="C90" i="67"/>
  <c r="B90" i="67"/>
  <c r="G4" i="67"/>
  <c r="F4" i="67"/>
  <c r="E4" i="67"/>
  <c r="D4" i="67"/>
  <c r="C4" i="67"/>
  <c r="B4" i="67"/>
  <c r="G89" i="67"/>
  <c r="F89" i="67"/>
  <c r="E89" i="67"/>
  <c r="D89" i="67"/>
  <c r="C89" i="67"/>
  <c r="B89" i="67"/>
  <c r="G88" i="67"/>
  <c r="F88" i="67"/>
  <c r="E88" i="67"/>
  <c r="D88" i="67"/>
  <c r="C88" i="67"/>
  <c r="B88" i="67"/>
  <c r="G119" i="67"/>
  <c r="F119" i="67"/>
  <c r="E119" i="67"/>
  <c r="D119" i="67"/>
  <c r="C119" i="67"/>
  <c r="B119" i="67"/>
  <c r="G3" i="67"/>
  <c r="F3" i="67"/>
  <c r="E3" i="67"/>
  <c r="D3" i="67"/>
  <c r="C3" i="67"/>
  <c r="B3" i="67"/>
  <c r="G74" i="67"/>
  <c r="F74" i="67"/>
  <c r="E74" i="67"/>
  <c r="D74" i="67"/>
  <c r="C74" i="67"/>
  <c r="B74" i="67"/>
  <c r="G83" i="67"/>
  <c r="F83" i="67"/>
  <c r="E83" i="67"/>
  <c r="D83" i="67"/>
  <c r="C83" i="67"/>
  <c r="B83" i="67"/>
  <c r="G11" i="64"/>
  <c r="F11" i="64"/>
  <c r="E11" i="64"/>
  <c r="D11" i="64"/>
  <c r="G10" i="64"/>
  <c r="F10" i="64"/>
  <c r="E10" i="64"/>
  <c r="D10" i="64"/>
  <c r="C11" i="64"/>
  <c r="C10" i="64"/>
  <c r="G5" i="64"/>
  <c r="F5" i="64"/>
  <c r="E5" i="64"/>
  <c r="D5" i="64"/>
  <c r="G6" i="64"/>
  <c r="F6" i="64"/>
  <c r="E6" i="64"/>
  <c r="D6" i="64"/>
  <c r="G8" i="64"/>
  <c r="F8" i="64"/>
  <c r="E8" i="64"/>
  <c r="D8" i="64"/>
  <c r="C5" i="64"/>
  <c r="C6" i="64"/>
  <c r="C8" i="64"/>
  <c r="G7" i="64"/>
  <c r="F7" i="64"/>
  <c r="E7" i="64"/>
  <c r="D7" i="64"/>
  <c r="C7" i="64"/>
  <c r="G9" i="64"/>
  <c r="F9" i="64"/>
  <c r="E9" i="64"/>
  <c r="D9" i="64"/>
  <c r="C9" i="64"/>
  <c r="C4" i="64"/>
  <c r="G4" i="64"/>
  <c r="F4" i="64"/>
  <c r="E4" i="64"/>
  <c r="D4" i="64"/>
  <c r="G3" i="64"/>
  <c r="F3" i="64"/>
  <c r="E3" i="64"/>
  <c r="D3" i="64"/>
  <c r="C3" i="64"/>
  <c r="D31" i="42" l="1"/>
  <c r="D27" i="42"/>
  <c r="D31" i="12"/>
  <c r="D27" i="12"/>
  <c r="H31" i="53"/>
  <c r="H27" i="53"/>
  <c r="M31" i="53"/>
  <c r="Y27" i="53"/>
  <c r="AC83" i="4"/>
  <c r="E30" i="20"/>
  <c r="D30" i="20"/>
  <c r="E28" i="20"/>
  <c r="D28" i="20"/>
  <c r="D28" i="43" l="1"/>
  <c r="D31" i="43"/>
  <c r="E31" i="43"/>
  <c r="E24" i="43"/>
  <c r="D24" i="43"/>
  <c r="E30" i="38"/>
  <c r="P128" i="4" s="1"/>
  <c r="D30" i="38"/>
  <c r="D30" i="43"/>
  <c r="P105" i="4" s="1"/>
  <c r="E27" i="43"/>
  <c r="D27" i="43"/>
  <c r="D30" i="11"/>
  <c r="AC131" i="4"/>
  <c r="AC128" i="4"/>
  <c r="AC122" i="4"/>
  <c r="AC120" i="4"/>
  <c r="C120" i="4"/>
  <c r="C3" i="4"/>
  <c r="D30" i="14"/>
  <c r="P83" i="4"/>
  <c r="P82" i="4"/>
  <c r="D52" i="23"/>
  <c r="E50" i="23"/>
  <c r="D48" i="23"/>
  <c r="E27" i="23"/>
  <c r="D27" i="23"/>
  <c r="D30" i="44"/>
  <c r="K5" i="4"/>
  <c r="K4" i="4"/>
  <c r="D48" i="42"/>
  <c r="D30" i="42"/>
  <c r="AC101" i="4"/>
  <c r="AC99" i="4"/>
  <c r="D31" i="22"/>
  <c r="D27" i="22"/>
  <c r="AB120" i="4"/>
  <c r="AA120" i="4"/>
  <c r="Z120" i="4"/>
  <c r="Y120" i="4"/>
  <c r="X120" i="4"/>
  <c r="W120" i="4"/>
  <c r="V120" i="4"/>
  <c r="R120" i="4"/>
  <c r="T120" i="4" s="1"/>
  <c r="Q120" i="4"/>
  <c r="P120" i="4"/>
  <c r="O120" i="4"/>
  <c r="N120" i="4"/>
  <c r="L120" i="4"/>
  <c r="K120" i="4"/>
  <c r="J120" i="4"/>
  <c r="I120" i="4"/>
  <c r="H120" i="4"/>
  <c r="G120" i="4"/>
  <c r="F120" i="4"/>
  <c r="E120" i="4"/>
  <c r="D120" i="4"/>
  <c r="B120" i="4"/>
  <c r="AC5" i="4"/>
  <c r="AC3" i="4"/>
  <c r="M120" i="4"/>
  <c r="Q45" i="4"/>
  <c r="D100" i="4"/>
  <c r="AC80" i="4"/>
  <c r="AB80" i="4"/>
  <c r="AA80" i="4"/>
  <c r="Z80" i="4"/>
  <c r="Y80" i="4"/>
  <c r="X80" i="4"/>
  <c r="W80" i="4"/>
  <c r="V80" i="4"/>
  <c r="R80" i="4"/>
  <c r="Q80" i="4"/>
  <c r="P80" i="4"/>
  <c r="O80" i="4"/>
  <c r="N80" i="4"/>
  <c r="M80" i="4"/>
  <c r="L80" i="4"/>
  <c r="K80" i="4"/>
  <c r="J80" i="4"/>
  <c r="I80" i="4"/>
  <c r="H80" i="4"/>
  <c r="G80" i="4"/>
  <c r="F80" i="4"/>
  <c r="E80" i="4"/>
  <c r="D80" i="4"/>
  <c r="C80" i="4"/>
  <c r="B80" i="4"/>
  <c r="AC79" i="4"/>
  <c r="AB79" i="4"/>
  <c r="AA79" i="4"/>
  <c r="Z79" i="4"/>
  <c r="Y79" i="4"/>
  <c r="X79" i="4"/>
  <c r="W79" i="4"/>
  <c r="V79" i="4"/>
  <c r="R79" i="4"/>
  <c r="Q79" i="4"/>
  <c r="P79" i="4"/>
  <c r="O79" i="4"/>
  <c r="N79" i="4"/>
  <c r="M79" i="4"/>
  <c r="L79" i="4"/>
  <c r="K79" i="4"/>
  <c r="J79" i="4"/>
  <c r="I79" i="4"/>
  <c r="H79" i="4"/>
  <c r="G79" i="4"/>
  <c r="F79" i="4"/>
  <c r="E79" i="4"/>
  <c r="D79" i="4"/>
  <c r="C79" i="4"/>
  <c r="B79" i="4"/>
  <c r="AC81" i="4"/>
  <c r="AB81" i="4"/>
  <c r="AA81" i="4"/>
  <c r="Z81" i="4"/>
  <c r="Y81" i="4"/>
  <c r="X81" i="4"/>
  <c r="W81" i="4"/>
  <c r="V81" i="4"/>
  <c r="R81" i="4"/>
  <c r="Q81" i="4"/>
  <c r="P81" i="4"/>
  <c r="O81" i="4"/>
  <c r="N81" i="4"/>
  <c r="M81" i="4"/>
  <c r="L81" i="4"/>
  <c r="K81" i="4"/>
  <c r="J81" i="4"/>
  <c r="I81" i="4"/>
  <c r="H81" i="4"/>
  <c r="G81" i="4"/>
  <c r="F81" i="4"/>
  <c r="E81" i="4"/>
  <c r="D81" i="4"/>
  <c r="C81" i="4"/>
  <c r="B81" i="4"/>
  <c r="AC32" i="4"/>
  <c r="AB32" i="4"/>
  <c r="AA32" i="4"/>
  <c r="Z32" i="4"/>
  <c r="Y32" i="4"/>
  <c r="X32" i="4"/>
  <c r="W32" i="4"/>
  <c r="V32" i="4"/>
  <c r="R32" i="4"/>
  <c r="Q32" i="4"/>
  <c r="P32" i="4"/>
  <c r="O32" i="4"/>
  <c r="N32" i="4"/>
  <c r="M32" i="4"/>
  <c r="L32" i="4"/>
  <c r="K32" i="4"/>
  <c r="J32" i="4"/>
  <c r="I32" i="4"/>
  <c r="H32" i="4"/>
  <c r="G32" i="4"/>
  <c r="F32" i="4"/>
  <c r="E32" i="4"/>
  <c r="D32" i="4"/>
  <c r="C32" i="4"/>
  <c r="B32" i="4"/>
  <c r="S5" i="4"/>
  <c r="Y5" i="4"/>
  <c r="R93" i="4"/>
  <c r="R94" i="4"/>
  <c r="AC93" i="4"/>
  <c r="AB93" i="4"/>
  <c r="AA93" i="4"/>
  <c r="Z93" i="4"/>
  <c r="Y93" i="4"/>
  <c r="X93" i="4"/>
  <c r="W93" i="4"/>
  <c r="V93" i="4"/>
  <c r="Q93" i="4"/>
  <c r="P93" i="4"/>
  <c r="O93" i="4"/>
  <c r="N93" i="4"/>
  <c r="M93" i="4"/>
  <c r="L93" i="4"/>
  <c r="K93" i="4"/>
  <c r="J93" i="4"/>
  <c r="I93" i="4"/>
  <c r="H93" i="4"/>
  <c r="G93" i="4"/>
  <c r="F93" i="4"/>
  <c r="E93" i="4"/>
  <c r="D93" i="4"/>
  <c r="C93" i="4"/>
  <c r="B93" i="4"/>
  <c r="AC94" i="4"/>
  <c r="AB94" i="4"/>
  <c r="AA94" i="4"/>
  <c r="Z94" i="4"/>
  <c r="Y94" i="4"/>
  <c r="X94" i="4"/>
  <c r="W94" i="4"/>
  <c r="V94" i="4"/>
  <c r="Q94" i="4"/>
  <c r="P94" i="4"/>
  <c r="O94" i="4"/>
  <c r="N94" i="4"/>
  <c r="M94" i="4"/>
  <c r="L94" i="4"/>
  <c r="K94" i="4"/>
  <c r="J94" i="4"/>
  <c r="I94" i="4"/>
  <c r="H94" i="4"/>
  <c r="G94" i="4"/>
  <c r="F94" i="4"/>
  <c r="E94" i="4"/>
  <c r="D94" i="4"/>
  <c r="C94" i="4"/>
  <c r="B94" i="4"/>
  <c r="AC106" i="4"/>
  <c r="AB106" i="4"/>
  <c r="AA106" i="4"/>
  <c r="Z106" i="4"/>
  <c r="Y106" i="4"/>
  <c r="X106" i="4"/>
  <c r="W106" i="4"/>
  <c r="V106" i="4"/>
  <c r="R106" i="4"/>
  <c r="Q106" i="4"/>
  <c r="P106" i="4"/>
  <c r="O106" i="4"/>
  <c r="N106" i="4"/>
  <c r="M106" i="4"/>
  <c r="L106" i="4"/>
  <c r="K106" i="4"/>
  <c r="J106" i="4"/>
  <c r="I106" i="4"/>
  <c r="H106" i="4"/>
  <c r="G106" i="4"/>
  <c r="F106" i="4"/>
  <c r="E106" i="4"/>
  <c r="D106" i="4"/>
  <c r="C106" i="4"/>
  <c r="B106" i="4"/>
  <c r="AC98" i="4"/>
  <c r="AB98" i="4"/>
  <c r="AA98" i="4"/>
  <c r="Z98" i="4"/>
  <c r="Y98" i="4"/>
  <c r="X98" i="4"/>
  <c r="W98" i="4"/>
  <c r="V98" i="4"/>
  <c r="R98" i="4"/>
  <c r="Q98" i="4"/>
  <c r="P98" i="4"/>
  <c r="O98" i="4"/>
  <c r="N98" i="4"/>
  <c r="M98" i="4"/>
  <c r="L98" i="4"/>
  <c r="K98" i="4"/>
  <c r="J98" i="4"/>
  <c r="I98" i="4"/>
  <c r="H98" i="4"/>
  <c r="G98" i="4"/>
  <c r="F98" i="4"/>
  <c r="E98" i="4"/>
  <c r="D98" i="4"/>
  <c r="C98" i="4"/>
  <c r="B98" i="4"/>
  <c r="AB131" i="4"/>
  <c r="AA131" i="4"/>
  <c r="Z131" i="4"/>
  <c r="Y131" i="4"/>
  <c r="X131" i="4"/>
  <c r="W131" i="4"/>
  <c r="V131" i="4"/>
  <c r="R131" i="4"/>
  <c r="Q131" i="4"/>
  <c r="P131" i="4"/>
  <c r="O131" i="4"/>
  <c r="N131" i="4"/>
  <c r="M131" i="4"/>
  <c r="L131" i="4"/>
  <c r="K131" i="4"/>
  <c r="J131" i="4"/>
  <c r="I131" i="4"/>
  <c r="H131" i="4"/>
  <c r="G131" i="4"/>
  <c r="F131" i="4"/>
  <c r="E131" i="4"/>
  <c r="D131" i="4"/>
  <c r="C131" i="4"/>
  <c r="B131" i="4"/>
  <c r="AC130" i="4"/>
  <c r="AB130" i="4"/>
  <c r="AA130" i="4"/>
  <c r="Z130" i="4"/>
  <c r="Y130" i="4"/>
  <c r="X130" i="4"/>
  <c r="W130" i="4"/>
  <c r="V130" i="4"/>
  <c r="R130" i="4"/>
  <c r="Q130" i="4"/>
  <c r="P130" i="4"/>
  <c r="O130" i="4"/>
  <c r="N130" i="4"/>
  <c r="M130" i="4"/>
  <c r="L130" i="4"/>
  <c r="K130" i="4"/>
  <c r="J130" i="4"/>
  <c r="I130" i="4"/>
  <c r="H130" i="4"/>
  <c r="G130" i="4"/>
  <c r="F130" i="4"/>
  <c r="E130" i="4"/>
  <c r="D130" i="4"/>
  <c r="C130" i="4"/>
  <c r="B130" i="4"/>
  <c r="AC23" i="4"/>
  <c r="AB23" i="4"/>
  <c r="AA23" i="4"/>
  <c r="Z23" i="4"/>
  <c r="Y23" i="4"/>
  <c r="X23" i="4"/>
  <c r="W23" i="4"/>
  <c r="V23" i="4"/>
  <c r="R23" i="4"/>
  <c r="Q23" i="4"/>
  <c r="P23" i="4"/>
  <c r="O23" i="4"/>
  <c r="N23" i="4"/>
  <c r="M23" i="4"/>
  <c r="L23" i="4"/>
  <c r="K23" i="4"/>
  <c r="J23" i="4"/>
  <c r="I23" i="4"/>
  <c r="H23" i="4"/>
  <c r="G23" i="4"/>
  <c r="F23" i="4"/>
  <c r="E23" i="4"/>
  <c r="D23" i="4"/>
  <c r="C23" i="4"/>
  <c r="B23" i="4"/>
  <c r="AB128" i="4"/>
  <c r="AA128" i="4"/>
  <c r="Z128" i="4"/>
  <c r="Y128" i="4"/>
  <c r="X128" i="4"/>
  <c r="W128" i="4"/>
  <c r="V128" i="4"/>
  <c r="R128" i="4"/>
  <c r="Q128" i="4"/>
  <c r="O128" i="4"/>
  <c r="N128" i="4"/>
  <c r="M128" i="4"/>
  <c r="L128" i="4"/>
  <c r="K128" i="4"/>
  <c r="J128" i="4"/>
  <c r="I128" i="4"/>
  <c r="H128" i="4"/>
  <c r="G128" i="4"/>
  <c r="F128" i="4"/>
  <c r="E128" i="4"/>
  <c r="D128" i="4"/>
  <c r="C128" i="4"/>
  <c r="B128" i="4"/>
  <c r="AC129" i="4"/>
  <c r="AB129" i="4"/>
  <c r="AA129" i="4"/>
  <c r="Z129" i="4"/>
  <c r="Y129" i="4"/>
  <c r="X129" i="4"/>
  <c r="W129" i="4"/>
  <c r="V129" i="4"/>
  <c r="R129" i="4"/>
  <c r="Q129" i="4"/>
  <c r="P129" i="4"/>
  <c r="O129" i="4"/>
  <c r="N129" i="4"/>
  <c r="M129" i="4"/>
  <c r="L129" i="4"/>
  <c r="K129" i="4"/>
  <c r="J129" i="4"/>
  <c r="I129" i="4"/>
  <c r="H129" i="4"/>
  <c r="G129" i="4"/>
  <c r="F129" i="4"/>
  <c r="E129" i="4"/>
  <c r="D129" i="4"/>
  <c r="C129" i="4"/>
  <c r="B129" i="4"/>
  <c r="AC126" i="4"/>
  <c r="AB126" i="4"/>
  <c r="AA126" i="4"/>
  <c r="Z126" i="4"/>
  <c r="Y126" i="4"/>
  <c r="X126" i="4"/>
  <c r="W126" i="4"/>
  <c r="V126" i="4"/>
  <c r="R126" i="4"/>
  <c r="Q126" i="4"/>
  <c r="P126" i="4"/>
  <c r="O126" i="4"/>
  <c r="N126" i="4"/>
  <c r="M126" i="4"/>
  <c r="L126" i="4"/>
  <c r="K126" i="4"/>
  <c r="J126" i="4"/>
  <c r="I126" i="4"/>
  <c r="H126" i="4"/>
  <c r="G126" i="4"/>
  <c r="F126" i="4"/>
  <c r="E126" i="4"/>
  <c r="D126" i="4"/>
  <c r="C126" i="4"/>
  <c r="B126" i="4"/>
  <c r="AC127" i="4"/>
  <c r="AB127" i="4"/>
  <c r="AA127" i="4"/>
  <c r="Z127" i="4"/>
  <c r="Y127" i="4"/>
  <c r="X127" i="4"/>
  <c r="W127" i="4"/>
  <c r="V127" i="4"/>
  <c r="R127" i="4"/>
  <c r="Q127" i="4"/>
  <c r="P127" i="4"/>
  <c r="O127" i="4"/>
  <c r="N127" i="4"/>
  <c r="M127" i="4"/>
  <c r="L127" i="4"/>
  <c r="K127" i="4"/>
  <c r="J127" i="4"/>
  <c r="I127" i="4"/>
  <c r="H127" i="4"/>
  <c r="G127" i="4"/>
  <c r="F127" i="4"/>
  <c r="E127" i="4"/>
  <c r="D127" i="4"/>
  <c r="C127" i="4"/>
  <c r="B127" i="4"/>
  <c r="AC125" i="4"/>
  <c r="AB125" i="4"/>
  <c r="AA125" i="4"/>
  <c r="Z125" i="4"/>
  <c r="Y125" i="4"/>
  <c r="X125" i="4"/>
  <c r="W125" i="4"/>
  <c r="V125" i="4"/>
  <c r="R125" i="4"/>
  <c r="Q125" i="4"/>
  <c r="P125" i="4"/>
  <c r="O125" i="4"/>
  <c r="N125" i="4"/>
  <c r="M125" i="4"/>
  <c r="L125" i="4"/>
  <c r="K125" i="4"/>
  <c r="J125" i="4"/>
  <c r="I125" i="4"/>
  <c r="H125" i="4"/>
  <c r="G125" i="4"/>
  <c r="F125" i="4"/>
  <c r="E125" i="4"/>
  <c r="D125" i="4"/>
  <c r="C125" i="4"/>
  <c r="B125" i="4"/>
  <c r="AC124" i="4"/>
  <c r="AB124" i="4"/>
  <c r="AA124" i="4"/>
  <c r="Z124" i="4"/>
  <c r="Y124" i="4"/>
  <c r="X124" i="4"/>
  <c r="W124" i="4"/>
  <c r="V124" i="4"/>
  <c r="R124" i="4"/>
  <c r="Q124" i="4"/>
  <c r="P124" i="4"/>
  <c r="O124" i="4"/>
  <c r="N124" i="4"/>
  <c r="M124" i="4"/>
  <c r="L124" i="4"/>
  <c r="K124" i="4"/>
  <c r="J124" i="4"/>
  <c r="I124" i="4"/>
  <c r="H124" i="4"/>
  <c r="G124" i="4"/>
  <c r="F124" i="4"/>
  <c r="E124" i="4"/>
  <c r="D124" i="4"/>
  <c r="C124" i="4"/>
  <c r="B124" i="4"/>
  <c r="AC123" i="4"/>
  <c r="AB123" i="4"/>
  <c r="AA123" i="4"/>
  <c r="Z123" i="4"/>
  <c r="Y123" i="4"/>
  <c r="X123" i="4"/>
  <c r="W123" i="4"/>
  <c r="V123" i="4"/>
  <c r="R123" i="4"/>
  <c r="Q123" i="4"/>
  <c r="P123" i="4"/>
  <c r="O123" i="4"/>
  <c r="N123" i="4"/>
  <c r="M123" i="4"/>
  <c r="L123" i="4"/>
  <c r="K123" i="4"/>
  <c r="J123" i="4"/>
  <c r="I123" i="4"/>
  <c r="H123" i="4"/>
  <c r="G123" i="4"/>
  <c r="F123" i="4"/>
  <c r="E123" i="4"/>
  <c r="D123" i="4"/>
  <c r="C123" i="4"/>
  <c r="B123" i="4"/>
  <c r="AB122" i="4"/>
  <c r="AA122" i="4"/>
  <c r="Z122" i="4"/>
  <c r="Y122" i="4"/>
  <c r="X122" i="4"/>
  <c r="W122" i="4"/>
  <c r="V122" i="4"/>
  <c r="R122" i="4"/>
  <c r="Q122" i="4"/>
  <c r="P122" i="4"/>
  <c r="O122" i="4"/>
  <c r="N122" i="4"/>
  <c r="M122" i="4"/>
  <c r="L122" i="4"/>
  <c r="K122" i="4"/>
  <c r="J122" i="4"/>
  <c r="I122" i="4"/>
  <c r="H122" i="4"/>
  <c r="G122" i="4"/>
  <c r="F122" i="4"/>
  <c r="E122" i="4"/>
  <c r="D122" i="4"/>
  <c r="C122" i="4"/>
  <c r="B122" i="4"/>
  <c r="AC121" i="4"/>
  <c r="AB121" i="4"/>
  <c r="AA121" i="4"/>
  <c r="Z121" i="4"/>
  <c r="Y121" i="4"/>
  <c r="X121" i="4"/>
  <c r="W121" i="4"/>
  <c r="V121" i="4"/>
  <c r="R121" i="4"/>
  <c r="Q121" i="4"/>
  <c r="P121" i="4"/>
  <c r="O121" i="4"/>
  <c r="N121" i="4"/>
  <c r="M121" i="4"/>
  <c r="L121" i="4"/>
  <c r="K121" i="4"/>
  <c r="J121" i="4"/>
  <c r="I121" i="4"/>
  <c r="H121" i="4"/>
  <c r="G121" i="4"/>
  <c r="F121" i="4"/>
  <c r="E121" i="4"/>
  <c r="D121" i="4"/>
  <c r="C121" i="4"/>
  <c r="B121" i="4"/>
  <c r="AB3" i="4"/>
  <c r="AA3" i="4"/>
  <c r="Z3" i="4"/>
  <c r="Y3" i="4"/>
  <c r="X3" i="4"/>
  <c r="W3" i="4"/>
  <c r="V3" i="4"/>
  <c r="R3" i="4"/>
  <c r="Q3" i="4"/>
  <c r="P3" i="4"/>
  <c r="O3" i="4"/>
  <c r="N3" i="4"/>
  <c r="M3" i="4"/>
  <c r="L3" i="4"/>
  <c r="K3" i="4"/>
  <c r="J3" i="4"/>
  <c r="I3" i="4"/>
  <c r="H3" i="4"/>
  <c r="G3" i="4"/>
  <c r="F3" i="4"/>
  <c r="E3" i="4"/>
  <c r="D3" i="4"/>
  <c r="B3" i="4"/>
  <c r="AC119" i="4"/>
  <c r="AB119" i="4"/>
  <c r="AA119" i="4"/>
  <c r="Z119" i="4"/>
  <c r="Y119" i="4"/>
  <c r="X119" i="4"/>
  <c r="W119" i="4"/>
  <c r="V119" i="4"/>
  <c r="R119" i="4"/>
  <c r="Q119" i="4"/>
  <c r="P119" i="4"/>
  <c r="O119" i="4"/>
  <c r="N119" i="4"/>
  <c r="M119" i="4"/>
  <c r="L119" i="4"/>
  <c r="K119" i="4"/>
  <c r="J119" i="4"/>
  <c r="I119" i="4"/>
  <c r="H119" i="4"/>
  <c r="G119" i="4"/>
  <c r="F119" i="4"/>
  <c r="E119" i="4"/>
  <c r="D119" i="4"/>
  <c r="C119" i="4"/>
  <c r="B119" i="4"/>
  <c r="AC118" i="4"/>
  <c r="AB118" i="4"/>
  <c r="AA118" i="4"/>
  <c r="Z118" i="4"/>
  <c r="Y118" i="4"/>
  <c r="X118" i="4"/>
  <c r="W118" i="4"/>
  <c r="V118" i="4"/>
  <c r="R118" i="4"/>
  <c r="Q118" i="4"/>
  <c r="P118" i="4"/>
  <c r="O118" i="4"/>
  <c r="N118" i="4"/>
  <c r="M118" i="4"/>
  <c r="L118" i="4"/>
  <c r="K118" i="4"/>
  <c r="J118" i="4"/>
  <c r="I118" i="4"/>
  <c r="H118" i="4"/>
  <c r="G118" i="4"/>
  <c r="F118" i="4"/>
  <c r="E118" i="4"/>
  <c r="D118" i="4"/>
  <c r="C118" i="4"/>
  <c r="B118" i="4"/>
  <c r="AC117" i="4"/>
  <c r="AB117" i="4"/>
  <c r="AA117" i="4"/>
  <c r="Z117" i="4"/>
  <c r="Y117" i="4"/>
  <c r="X117" i="4"/>
  <c r="W117" i="4"/>
  <c r="V117" i="4"/>
  <c r="R117" i="4"/>
  <c r="Q117" i="4"/>
  <c r="P117" i="4"/>
  <c r="O117" i="4"/>
  <c r="N117" i="4"/>
  <c r="M117" i="4"/>
  <c r="L117" i="4"/>
  <c r="K117" i="4"/>
  <c r="J117" i="4"/>
  <c r="I117" i="4"/>
  <c r="H117" i="4"/>
  <c r="G117" i="4"/>
  <c r="F117" i="4"/>
  <c r="E117" i="4"/>
  <c r="D117" i="4"/>
  <c r="C117" i="4"/>
  <c r="B117" i="4"/>
  <c r="B111" i="4"/>
  <c r="B110" i="4"/>
  <c r="B109" i="4"/>
  <c r="B114" i="4"/>
  <c r="AC113" i="4"/>
  <c r="AB113" i="4"/>
  <c r="AA113" i="4"/>
  <c r="Z113" i="4"/>
  <c r="Y113" i="4"/>
  <c r="X113" i="4"/>
  <c r="W113" i="4"/>
  <c r="V113" i="4"/>
  <c r="R113" i="4"/>
  <c r="Q113" i="4"/>
  <c r="P113" i="4"/>
  <c r="O113" i="4"/>
  <c r="N113" i="4"/>
  <c r="M113" i="4"/>
  <c r="L113" i="4"/>
  <c r="K113" i="4"/>
  <c r="J113" i="4"/>
  <c r="I113" i="4"/>
  <c r="H113" i="4"/>
  <c r="G113" i="4"/>
  <c r="F113" i="4"/>
  <c r="E113" i="4"/>
  <c r="D113" i="4"/>
  <c r="C113" i="4"/>
  <c r="B113" i="4"/>
  <c r="AC112" i="4"/>
  <c r="AB112" i="4"/>
  <c r="AA112" i="4"/>
  <c r="Z112" i="4"/>
  <c r="Y112" i="4"/>
  <c r="X112" i="4"/>
  <c r="W112" i="4"/>
  <c r="R112" i="4"/>
  <c r="Q112" i="4"/>
  <c r="P112" i="4"/>
  <c r="O112" i="4"/>
  <c r="N112" i="4"/>
  <c r="M112" i="4"/>
  <c r="L112" i="4"/>
  <c r="K112" i="4"/>
  <c r="J112" i="4"/>
  <c r="I112" i="4"/>
  <c r="H112" i="4"/>
  <c r="G112" i="4"/>
  <c r="F112" i="4"/>
  <c r="E112" i="4"/>
  <c r="D112" i="4"/>
  <c r="C112" i="4"/>
  <c r="B112" i="4"/>
  <c r="AC111" i="4"/>
  <c r="AB111" i="4"/>
  <c r="AA111" i="4"/>
  <c r="Z111" i="4"/>
  <c r="Y111" i="4"/>
  <c r="X111" i="4"/>
  <c r="W111" i="4"/>
  <c r="V111" i="4"/>
  <c r="R111" i="4"/>
  <c r="Q111" i="4"/>
  <c r="P111" i="4"/>
  <c r="O111" i="4"/>
  <c r="N111" i="4"/>
  <c r="M111" i="4"/>
  <c r="L111" i="4"/>
  <c r="K111" i="4"/>
  <c r="J111" i="4"/>
  <c r="I111" i="4"/>
  <c r="H111" i="4"/>
  <c r="G111" i="4"/>
  <c r="F111" i="4"/>
  <c r="E111" i="4"/>
  <c r="D111" i="4"/>
  <c r="C111" i="4"/>
  <c r="AC110" i="4"/>
  <c r="AB110" i="4"/>
  <c r="AA110" i="4"/>
  <c r="Z110" i="4"/>
  <c r="Y110" i="4"/>
  <c r="X110" i="4"/>
  <c r="W110" i="4"/>
  <c r="R110" i="4"/>
  <c r="Q110" i="4"/>
  <c r="P110" i="4"/>
  <c r="O110" i="4"/>
  <c r="N110" i="4"/>
  <c r="M110" i="4"/>
  <c r="L110" i="4"/>
  <c r="K110" i="4"/>
  <c r="J110" i="4"/>
  <c r="I110" i="4"/>
  <c r="H110" i="4"/>
  <c r="G110" i="4"/>
  <c r="F110" i="4"/>
  <c r="E110" i="4"/>
  <c r="D110" i="4"/>
  <c r="C110" i="4"/>
  <c r="AC109" i="4"/>
  <c r="AB109" i="4"/>
  <c r="AA109" i="4"/>
  <c r="Z109" i="4"/>
  <c r="Y109" i="4"/>
  <c r="X109" i="4"/>
  <c r="W109" i="4"/>
  <c r="V109" i="4"/>
  <c r="R109" i="4"/>
  <c r="Q109" i="4"/>
  <c r="P109" i="4"/>
  <c r="O109" i="4"/>
  <c r="N109" i="4"/>
  <c r="M109" i="4"/>
  <c r="L109" i="4"/>
  <c r="K109" i="4"/>
  <c r="J109" i="4"/>
  <c r="I109" i="4"/>
  <c r="H109" i="4"/>
  <c r="G109" i="4"/>
  <c r="F109" i="4"/>
  <c r="E109" i="4"/>
  <c r="D109" i="4"/>
  <c r="C109" i="4"/>
  <c r="AC114" i="4"/>
  <c r="AB114" i="4"/>
  <c r="AA114" i="4"/>
  <c r="Z114" i="4"/>
  <c r="Y114" i="4"/>
  <c r="X114" i="4"/>
  <c r="W114" i="4"/>
  <c r="V114" i="4"/>
  <c r="R114" i="4"/>
  <c r="Q114" i="4"/>
  <c r="P114" i="4"/>
  <c r="O114" i="4"/>
  <c r="N114" i="4"/>
  <c r="M114" i="4"/>
  <c r="L114" i="4"/>
  <c r="K114" i="4"/>
  <c r="J114" i="4"/>
  <c r="I114" i="4"/>
  <c r="H114" i="4"/>
  <c r="G114" i="4"/>
  <c r="F114" i="4"/>
  <c r="E114" i="4"/>
  <c r="D114" i="4"/>
  <c r="C114" i="4"/>
  <c r="AC108" i="4"/>
  <c r="AB108" i="4"/>
  <c r="AA108" i="4"/>
  <c r="Z108" i="4"/>
  <c r="Y108" i="4"/>
  <c r="X108" i="4"/>
  <c r="W108" i="4"/>
  <c r="V108" i="4"/>
  <c r="R108" i="4"/>
  <c r="Q108" i="4"/>
  <c r="P108" i="4"/>
  <c r="O108" i="4"/>
  <c r="N108" i="4"/>
  <c r="M108" i="4"/>
  <c r="L108" i="4"/>
  <c r="K108" i="4"/>
  <c r="J108" i="4"/>
  <c r="I108" i="4"/>
  <c r="H108" i="4"/>
  <c r="G108" i="4"/>
  <c r="F108" i="4"/>
  <c r="E108" i="4"/>
  <c r="D108" i="4"/>
  <c r="C108" i="4"/>
  <c r="B108" i="4"/>
  <c r="AC107" i="4"/>
  <c r="AB107" i="4"/>
  <c r="AA107" i="4"/>
  <c r="Z107" i="4"/>
  <c r="Y107" i="4"/>
  <c r="X107" i="4"/>
  <c r="W107" i="4"/>
  <c r="V107" i="4"/>
  <c r="R107" i="4"/>
  <c r="Q107" i="4"/>
  <c r="P107" i="4"/>
  <c r="O107" i="4"/>
  <c r="N107" i="4"/>
  <c r="M107" i="4"/>
  <c r="L107" i="4"/>
  <c r="K107" i="4"/>
  <c r="J107" i="4"/>
  <c r="I107" i="4"/>
  <c r="H107" i="4"/>
  <c r="G107" i="4"/>
  <c r="F107" i="4"/>
  <c r="E107" i="4"/>
  <c r="D107" i="4"/>
  <c r="C107" i="4"/>
  <c r="B107" i="4"/>
  <c r="AC87" i="4"/>
  <c r="AB87" i="4"/>
  <c r="AA87" i="4"/>
  <c r="Z87" i="4"/>
  <c r="Y87" i="4"/>
  <c r="X87" i="4"/>
  <c r="W87" i="4"/>
  <c r="V87" i="4"/>
  <c r="R87" i="4"/>
  <c r="Q87" i="4"/>
  <c r="P87" i="4"/>
  <c r="O87" i="4"/>
  <c r="N87" i="4"/>
  <c r="M87" i="4"/>
  <c r="L87" i="4"/>
  <c r="K87" i="4"/>
  <c r="J87" i="4"/>
  <c r="I87" i="4"/>
  <c r="H87" i="4"/>
  <c r="G87" i="4"/>
  <c r="F87" i="4"/>
  <c r="E87" i="4"/>
  <c r="D87" i="4"/>
  <c r="C87" i="4"/>
  <c r="B87" i="4"/>
  <c r="AC86" i="4"/>
  <c r="AB86" i="4"/>
  <c r="AA86" i="4"/>
  <c r="Z86" i="4"/>
  <c r="Y86" i="4"/>
  <c r="X86" i="4"/>
  <c r="W86" i="4"/>
  <c r="V86" i="4"/>
  <c r="R86" i="4"/>
  <c r="Q86" i="4"/>
  <c r="P86" i="4"/>
  <c r="O86" i="4"/>
  <c r="N86" i="4"/>
  <c r="M86" i="4"/>
  <c r="L86" i="4"/>
  <c r="K86" i="4"/>
  <c r="J86" i="4"/>
  <c r="I86" i="4"/>
  <c r="H86" i="4"/>
  <c r="G86" i="4"/>
  <c r="F86" i="4"/>
  <c r="E86" i="4"/>
  <c r="D86" i="4"/>
  <c r="C86" i="4"/>
  <c r="B86" i="4"/>
  <c r="B105" i="4"/>
  <c r="AC104" i="4"/>
  <c r="AB104" i="4"/>
  <c r="AA104" i="4"/>
  <c r="Z104" i="4"/>
  <c r="Y104" i="4"/>
  <c r="X104" i="4"/>
  <c r="W104" i="4"/>
  <c r="V104" i="4"/>
  <c r="R104" i="4"/>
  <c r="Q104" i="4"/>
  <c r="O104" i="4"/>
  <c r="N104" i="4"/>
  <c r="L104" i="4"/>
  <c r="K104" i="4"/>
  <c r="J104" i="4"/>
  <c r="I104" i="4"/>
  <c r="H104" i="4"/>
  <c r="G104" i="4"/>
  <c r="F104" i="4"/>
  <c r="E104" i="4"/>
  <c r="D104" i="4"/>
  <c r="C104" i="4"/>
  <c r="B104" i="4"/>
  <c r="AC105" i="4"/>
  <c r="AB105" i="4"/>
  <c r="AA105" i="4"/>
  <c r="Z105" i="4"/>
  <c r="Y105" i="4"/>
  <c r="X105" i="4"/>
  <c r="W105" i="4"/>
  <c r="V105" i="4"/>
  <c r="R105" i="4"/>
  <c r="Q105" i="4"/>
  <c r="O105" i="4"/>
  <c r="N105" i="4"/>
  <c r="L105" i="4"/>
  <c r="K105" i="4"/>
  <c r="J105" i="4"/>
  <c r="I105" i="4"/>
  <c r="H105" i="4"/>
  <c r="G105" i="4"/>
  <c r="F105" i="4"/>
  <c r="E105" i="4"/>
  <c r="D105" i="4"/>
  <c r="C105" i="4"/>
  <c r="AC19" i="4"/>
  <c r="AB19" i="4"/>
  <c r="AA19" i="4"/>
  <c r="Z19" i="4"/>
  <c r="Y19" i="4"/>
  <c r="X19" i="4"/>
  <c r="W19" i="4"/>
  <c r="V19" i="4"/>
  <c r="R19" i="4"/>
  <c r="Q19" i="4"/>
  <c r="P19" i="4"/>
  <c r="O19" i="4"/>
  <c r="N19" i="4"/>
  <c r="M19" i="4"/>
  <c r="L19" i="4"/>
  <c r="K19" i="4"/>
  <c r="J19" i="4"/>
  <c r="I19" i="4"/>
  <c r="H19" i="4"/>
  <c r="G19" i="4"/>
  <c r="F19" i="4"/>
  <c r="E19" i="4"/>
  <c r="D19" i="4"/>
  <c r="C19" i="4"/>
  <c r="B19" i="4"/>
  <c r="AC18" i="4"/>
  <c r="AB18" i="4"/>
  <c r="AA18" i="4"/>
  <c r="Z18" i="4"/>
  <c r="Y18" i="4"/>
  <c r="X18" i="4"/>
  <c r="W18" i="4"/>
  <c r="V18" i="4"/>
  <c r="R18" i="4"/>
  <c r="Q18" i="4"/>
  <c r="P18" i="4"/>
  <c r="O18" i="4"/>
  <c r="N18" i="4"/>
  <c r="M18" i="4"/>
  <c r="L18" i="4"/>
  <c r="K18" i="4"/>
  <c r="J18" i="4"/>
  <c r="I18" i="4"/>
  <c r="H18" i="4"/>
  <c r="G18" i="4"/>
  <c r="F18" i="4"/>
  <c r="E18" i="4"/>
  <c r="D18" i="4"/>
  <c r="C18" i="4"/>
  <c r="B18" i="4"/>
  <c r="B99" i="4"/>
  <c r="B29" i="4"/>
  <c r="AC30" i="4"/>
  <c r="AB30" i="4"/>
  <c r="AA30" i="4"/>
  <c r="Z30" i="4"/>
  <c r="Y30" i="4"/>
  <c r="X30" i="4"/>
  <c r="W30" i="4"/>
  <c r="V30" i="4"/>
  <c r="R30" i="4"/>
  <c r="Q30" i="4"/>
  <c r="P30" i="4"/>
  <c r="O30" i="4"/>
  <c r="N30" i="4"/>
  <c r="M30" i="4"/>
  <c r="L30" i="4"/>
  <c r="K30" i="4"/>
  <c r="J30" i="4"/>
  <c r="I30" i="4"/>
  <c r="H30" i="4"/>
  <c r="G30" i="4"/>
  <c r="F30" i="4"/>
  <c r="E30" i="4"/>
  <c r="D30" i="4"/>
  <c r="C30" i="4"/>
  <c r="B30" i="4"/>
  <c r="AC31" i="4"/>
  <c r="AB31" i="4"/>
  <c r="AA31" i="4"/>
  <c r="Z31" i="4"/>
  <c r="Y31" i="4"/>
  <c r="X31" i="4"/>
  <c r="W31" i="4"/>
  <c r="V31" i="4"/>
  <c r="R31" i="4"/>
  <c r="Q31" i="4"/>
  <c r="P31" i="4"/>
  <c r="O31" i="4"/>
  <c r="N31" i="4"/>
  <c r="M31" i="4"/>
  <c r="L31" i="4"/>
  <c r="K31" i="4"/>
  <c r="J31" i="4"/>
  <c r="I31" i="4"/>
  <c r="H31" i="4"/>
  <c r="G31" i="4"/>
  <c r="F31" i="4"/>
  <c r="E31" i="4"/>
  <c r="D31" i="4"/>
  <c r="C31" i="4"/>
  <c r="B31" i="4"/>
  <c r="AC29" i="4"/>
  <c r="AB29" i="4"/>
  <c r="AA29" i="4"/>
  <c r="Z29" i="4"/>
  <c r="Y29" i="4"/>
  <c r="X29" i="4"/>
  <c r="W29" i="4"/>
  <c r="V29" i="4"/>
  <c r="R29" i="4"/>
  <c r="Q29" i="4"/>
  <c r="P29" i="4"/>
  <c r="O29" i="4"/>
  <c r="N29" i="4"/>
  <c r="M29" i="4"/>
  <c r="L29" i="4"/>
  <c r="K29" i="4"/>
  <c r="J29" i="4"/>
  <c r="I29" i="4"/>
  <c r="H29" i="4"/>
  <c r="G29" i="4"/>
  <c r="F29" i="4"/>
  <c r="E29" i="4"/>
  <c r="D29" i="4"/>
  <c r="C29" i="4"/>
  <c r="AB99" i="4"/>
  <c r="AA99" i="4"/>
  <c r="Z99" i="4"/>
  <c r="Y99" i="4"/>
  <c r="X99" i="4"/>
  <c r="W99" i="4"/>
  <c r="V99" i="4"/>
  <c r="R99" i="4"/>
  <c r="Q99" i="4"/>
  <c r="O99" i="4"/>
  <c r="N99" i="4"/>
  <c r="M99" i="4"/>
  <c r="L99" i="4"/>
  <c r="K99" i="4"/>
  <c r="J99" i="4"/>
  <c r="I99" i="4"/>
  <c r="H99" i="4"/>
  <c r="G99" i="4"/>
  <c r="F99" i="4"/>
  <c r="E99" i="4"/>
  <c r="D99" i="4"/>
  <c r="C99" i="4"/>
  <c r="AC103" i="4"/>
  <c r="AB103" i="4"/>
  <c r="AA103" i="4"/>
  <c r="Z103" i="4"/>
  <c r="Y103" i="4"/>
  <c r="X103" i="4"/>
  <c r="W103" i="4"/>
  <c r="V103" i="4"/>
  <c r="R103" i="4"/>
  <c r="Q103" i="4"/>
  <c r="P103" i="4"/>
  <c r="O103" i="4"/>
  <c r="N103" i="4"/>
  <c r="M103" i="4"/>
  <c r="L103" i="4"/>
  <c r="K103" i="4"/>
  <c r="J103" i="4"/>
  <c r="I103" i="4"/>
  <c r="H103" i="4"/>
  <c r="G103" i="4"/>
  <c r="F103" i="4"/>
  <c r="E103" i="4"/>
  <c r="D103" i="4"/>
  <c r="C103" i="4"/>
  <c r="B103" i="4"/>
  <c r="AB101" i="4"/>
  <c r="AA101" i="4"/>
  <c r="Z101" i="4"/>
  <c r="Y101" i="4"/>
  <c r="X101" i="4"/>
  <c r="W101" i="4"/>
  <c r="V101" i="4"/>
  <c r="R101" i="4"/>
  <c r="Q101" i="4"/>
  <c r="P101" i="4"/>
  <c r="O101" i="4"/>
  <c r="N101" i="4"/>
  <c r="M101" i="4"/>
  <c r="L101" i="4"/>
  <c r="K101" i="4"/>
  <c r="J101" i="4"/>
  <c r="I101" i="4"/>
  <c r="H101" i="4"/>
  <c r="G101" i="4"/>
  <c r="F101" i="4"/>
  <c r="E101" i="4"/>
  <c r="D101" i="4"/>
  <c r="C101" i="4"/>
  <c r="B101" i="4"/>
  <c r="AC102" i="4"/>
  <c r="AB102" i="4"/>
  <c r="AA102" i="4"/>
  <c r="Z102" i="4"/>
  <c r="Y102" i="4"/>
  <c r="X102" i="4"/>
  <c r="W102" i="4"/>
  <c r="V102" i="4"/>
  <c r="R102" i="4"/>
  <c r="Q102" i="4"/>
  <c r="P102" i="4"/>
  <c r="O102" i="4"/>
  <c r="N102" i="4"/>
  <c r="M102" i="4"/>
  <c r="L102" i="4"/>
  <c r="K102" i="4"/>
  <c r="J102" i="4"/>
  <c r="I102" i="4"/>
  <c r="H102" i="4"/>
  <c r="G102" i="4"/>
  <c r="F102" i="4"/>
  <c r="E102" i="4"/>
  <c r="D102" i="4"/>
  <c r="C102" i="4"/>
  <c r="B102" i="4"/>
  <c r="AC100" i="4"/>
  <c r="AB100" i="4"/>
  <c r="AA100" i="4"/>
  <c r="Z100" i="4"/>
  <c r="Y100" i="4"/>
  <c r="X100" i="4"/>
  <c r="W100" i="4"/>
  <c r="V100" i="4"/>
  <c r="R100" i="4"/>
  <c r="Q100" i="4"/>
  <c r="P100" i="4"/>
  <c r="O100" i="4"/>
  <c r="N100" i="4"/>
  <c r="M100" i="4"/>
  <c r="L100" i="4"/>
  <c r="K100" i="4"/>
  <c r="J100" i="4"/>
  <c r="I100" i="4"/>
  <c r="H100" i="4"/>
  <c r="G100" i="4"/>
  <c r="F100" i="4"/>
  <c r="E100" i="4"/>
  <c r="C100" i="4"/>
  <c r="B100" i="4"/>
  <c r="AC116" i="4"/>
  <c r="AB116" i="4"/>
  <c r="AA116" i="4"/>
  <c r="Z116" i="4"/>
  <c r="Y116" i="4"/>
  <c r="X116" i="4"/>
  <c r="W116" i="4"/>
  <c r="V116" i="4"/>
  <c r="R116" i="4"/>
  <c r="Q116" i="4"/>
  <c r="P116" i="4"/>
  <c r="O116" i="4"/>
  <c r="N116" i="4"/>
  <c r="M116" i="4"/>
  <c r="L116" i="4"/>
  <c r="K116" i="4"/>
  <c r="J116" i="4"/>
  <c r="I116" i="4"/>
  <c r="H116" i="4"/>
  <c r="G116" i="4"/>
  <c r="F116" i="4"/>
  <c r="E116" i="4"/>
  <c r="D116" i="4"/>
  <c r="C116" i="4"/>
  <c r="B116" i="4"/>
  <c r="AC115" i="4"/>
  <c r="AB115" i="4"/>
  <c r="AA115" i="4"/>
  <c r="Z115" i="4"/>
  <c r="Y115" i="4"/>
  <c r="X115" i="4"/>
  <c r="W115" i="4"/>
  <c r="V115" i="4"/>
  <c r="R115" i="4"/>
  <c r="Q115" i="4"/>
  <c r="P115" i="4"/>
  <c r="O115" i="4"/>
  <c r="N115" i="4"/>
  <c r="M115" i="4"/>
  <c r="L115" i="4"/>
  <c r="K115" i="4"/>
  <c r="J115" i="4"/>
  <c r="I115" i="4"/>
  <c r="H115" i="4"/>
  <c r="G115" i="4"/>
  <c r="F115" i="4"/>
  <c r="E115" i="4"/>
  <c r="D115" i="4"/>
  <c r="C115" i="4"/>
  <c r="B115" i="4"/>
  <c r="AC95" i="4"/>
  <c r="AB95" i="4"/>
  <c r="AA95" i="4"/>
  <c r="Z95" i="4"/>
  <c r="Y95" i="4"/>
  <c r="X95" i="4"/>
  <c r="W95" i="4"/>
  <c r="V95" i="4"/>
  <c r="R95" i="4"/>
  <c r="Q95" i="4"/>
  <c r="P95" i="4"/>
  <c r="O95" i="4"/>
  <c r="N95" i="4"/>
  <c r="M95" i="4"/>
  <c r="L95" i="4"/>
  <c r="K95" i="4"/>
  <c r="J95" i="4"/>
  <c r="I95" i="4"/>
  <c r="H95" i="4"/>
  <c r="G95" i="4"/>
  <c r="F95" i="4"/>
  <c r="E95" i="4"/>
  <c r="D95" i="4"/>
  <c r="C95" i="4"/>
  <c r="B95" i="4"/>
  <c r="AC96" i="4"/>
  <c r="AB96" i="4"/>
  <c r="AA96" i="4"/>
  <c r="Z96" i="4"/>
  <c r="Y96" i="4"/>
  <c r="X96" i="4"/>
  <c r="W96" i="4"/>
  <c r="V96" i="4"/>
  <c r="R96" i="4"/>
  <c r="Q96" i="4"/>
  <c r="P96" i="4"/>
  <c r="O96" i="4"/>
  <c r="N96" i="4"/>
  <c r="M96" i="4"/>
  <c r="L96" i="4"/>
  <c r="K96" i="4"/>
  <c r="J96" i="4"/>
  <c r="I96" i="4"/>
  <c r="H96" i="4"/>
  <c r="G96" i="4"/>
  <c r="F96" i="4"/>
  <c r="E96" i="4"/>
  <c r="D96" i="4"/>
  <c r="C96" i="4"/>
  <c r="B96" i="4"/>
  <c r="AC97" i="4"/>
  <c r="AB97" i="4"/>
  <c r="AA97" i="4"/>
  <c r="Z97" i="4"/>
  <c r="Y97" i="4"/>
  <c r="X97" i="4"/>
  <c r="W97" i="4"/>
  <c r="V97" i="4"/>
  <c r="R97" i="4"/>
  <c r="Q97" i="4"/>
  <c r="P97" i="4"/>
  <c r="O97" i="4"/>
  <c r="N97" i="4"/>
  <c r="M97" i="4"/>
  <c r="L97" i="4"/>
  <c r="K97" i="4"/>
  <c r="J97" i="4"/>
  <c r="I97" i="4"/>
  <c r="H97" i="4"/>
  <c r="G97" i="4"/>
  <c r="F97" i="4"/>
  <c r="E97" i="4"/>
  <c r="D97" i="4"/>
  <c r="C97" i="4"/>
  <c r="B97" i="4"/>
  <c r="AC92" i="4"/>
  <c r="AB92" i="4"/>
  <c r="AA92" i="4"/>
  <c r="Z92" i="4"/>
  <c r="Y92" i="4"/>
  <c r="X92" i="4"/>
  <c r="W92" i="4"/>
  <c r="V92" i="4"/>
  <c r="R92" i="4"/>
  <c r="Q92" i="4"/>
  <c r="P92" i="4"/>
  <c r="O92" i="4"/>
  <c r="N92" i="4"/>
  <c r="M92" i="4"/>
  <c r="L92" i="4"/>
  <c r="K92" i="4"/>
  <c r="J92" i="4"/>
  <c r="I92" i="4"/>
  <c r="H92" i="4"/>
  <c r="G92" i="4"/>
  <c r="F92" i="4"/>
  <c r="E92" i="4"/>
  <c r="D92" i="4"/>
  <c r="C92" i="4"/>
  <c r="B92" i="4"/>
  <c r="AC91" i="4"/>
  <c r="AB91" i="4"/>
  <c r="AA91" i="4"/>
  <c r="Z91" i="4"/>
  <c r="Y91" i="4"/>
  <c r="X91" i="4"/>
  <c r="W91" i="4"/>
  <c r="V91" i="4"/>
  <c r="R91" i="4"/>
  <c r="Q91" i="4"/>
  <c r="O91" i="4"/>
  <c r="N91" i="4"/>
  <c r="L91" i="4"/>
  <c r="K91" i="4"/>
  <c r="J91" i="4"/>
  <c r="I91" i="4"/>
  <c r="H91" i="4"/>
  <c r="G91" i="4"/>
  <c r="F91" i="4"/>
  <c r="E91" i="4"/>
  <c r="D91" i="4"/>
  <c r="C91" i="4"/>
  <c r="B91" i="4"/>
  <c r="AC90" i="4"/>
  <c r="AB90" i="4"/>
  <c r="AA90" i="4"/>
  <c r="Z90" i="4"/>
  <c r="Y90" i="4"/>
  <c r="X90" i="4"/>
  <c r="W90" i="4"/>
  <c r="V90" i="4"/>
  <c r="R90" i="4"/>
  <c r="Q90" i="4"/>
  <c r="P90" i="4"/>
  <c r="O90" i="4"/>
  <c r="N90" i="4"/>
  <c r="L90" i="4"/>
  <c r="K90" i="4"/>
  <c r="J90" i="4"/>
  <c r="I90" i="4"/>
  <c r="H90" i="4"/>
  <c r="G90" i="4"/>
  <c r="F90" i="4"/>
  <c r="E90" i="4"/>
  <c r="D90" i="4"/>
  <c r="C90" i="4"/>
  <c r="B90" i="4"/>
  <c r="AC89" i="4"/>
  <c r="AB89" i="4"/>
  <c r="AA89" i="4"/>
  <c r="Z89" i="4"/>
  <c r="Y89" i="4"/>
  <c r="X89" i="4"/>
  <c r="W89" i="4"/>
  <c r="V89" i="4"/>
  <c r="R89" i="4"/>
  <c r="Q89" i="4"/>
  <c r="O89" i="4"/>
  <c r="N89" i="4"/>
  <c r="L89" i="4"/>
  <c r="K89" i="4"/>
  <c r="J89" i="4"/>
  <c r="I89" i="4"/>
  <c r="H89" i="4"/>
  <c r="G89" i="4"/>
  <c r="F89" i="4"/>
  <c r="E89" i="4"/>
  <c r="D89" i="4"/>
  <c r="C89" i="4"/>
  <c r="B89" i="4"/>
  <c r="AC88" i="4"/>
  <c r="AB88" i="4"/>
  <c r="AA88" i="4"/>
  <c r="Z88" i="4"/>
  <c r="Y88" i="4"/>
  <c r="X88" i="4"/>
  <c r="W88" i="4"/>
  <c r="V88" i="4"/>
  <c r="R88" i="4"/>
  <c r="Q88" i="4"/>
  <c r="O88" i="4"/>
  <c r="N88" i="4"/>
  <c r="L88" i="4"/>
  <c r="K88" i="4"/>
  <c r="J88" i="4"/>
  <c r="I88" i="4"/>
  <c r="H88" i="4"/>
  <c r="G88" i="4"/>
  <c r="F88" i="4"/>
  <c r="E88" i="4"/>
  <c r="D88" i="4"/>
  <c r="C88" i="4"/>
  <c r="B88" i="4"/>
  <c r="AB83" i="4"/>
  <c r="AA83" i="4"/>
  <c r="Z83" i="4"/>
  <c r="Y83" i="4"/>
  <c r="X83" i="4"/>
  <c r="W83" i="4"/>
  <c r="V83" i="4"/>
  <c r="R83" i="4"/>
  <c r="Q83" i="4"/>
  <c r="O83" i="4"/>
  <c r="N83" i="4"/>
  <c r="M83" i="4"/>
  <c r="L83" i="4"/>
  <c r="K83" i="4"/>
  <c r="J83" i="4"/>
  <c r="I83" i="4"/>
  <c r="H83" i="4"/>
  <c r="G83" i="4"/>
  <c r="F83" i="4"/>
  <c r="E83" i="4"/>
  <c r="D83" i="4"/>
  <c r="C83" i="4"/>
  <c r="B83" i="4"/>
  <c r="AC82" i="4"/>
  <c r="AB82" i="4"/>
  <c r="AA82" i="4"/>
  <c r="Z82" i="4"/>
  <c r="Y82" i="4"/>
  <c r="X82" i="4"/>
  <c r="W82" i="4"/>
  <c r="V82" i="4"/>
  <c r="R82" i="4"/>
  <c r="Q82" i="4"/>
  <c r="O82" i="4"/>
  <c r="N82" i="4"/>
  <c r="M82" i="4"/>
  <c r="L82" i="4"/>
  <c r="K82" i="4"/>
  <c r="J82" i="4"/>
  <c r="I82" i="4"/>
  <c r="H82" i="4"/>
  <c r="G82" i="4"/>
  <c r="F82" i="4"/>
  <c r="E82" i="4"/>
  <c r="D82" i="4"/>
  <c r="C82" i="4"/>
  <c r="B82" i="4"/>
  <c r="AC76" i="4"/>
  <c r="AB76" i="4"/>
  <c r="AA76" i="4"/>
  <c r="Z76" i="4"/>
  <c r="Y76" i="4"/>
  <c r="X76" i="4"/>
  <c r="W76" i="4"/>
  <c r="V76" i="4"/>
  <c r="R76" i="4"/>
  <c r="Q76" i="4"/>
  <c r="P76" i="4"/>
  <c r="O76" i="4"/>
  <c r="N76" i="4"/>
  <c r="M76" i="4"/>
  <c r="L76" i="4"/>
  <c r="K76" i="4"/>
  <c r="J76" i="4"/>
  <c r="I76" i="4"/>
  <c r="H76" i="4"/>
  <c r="G76" i="4"/>
  <c r="F76" i="4"/>
  <c r="E76" i="4"/>
  <c r="D76" i="4"/>
  <c r="C76" i="4"/>
  <c r="B76" i="4"/>
  <c r="AC75" i="4"/>
  <c r="AB75" i="4"/>
  <c r="AA75" i="4"/>
  <c r="Z75" i="4"/>
  <c r="Y75" i="4"/>
  <c r="X75" i="4"/>
  <c r="W75" i="4"/>
  <c r="V75" i="4"/>
  <c r="R75" i="4"/>
  <c r="Q75" i="4"/>
  <c r="P75" i="4"/>
  <c r="O75" i="4"/>
  <c r="N75" i="4"/>
  <c r="M75" i="4"/>
  <c r="L75" i="4"/>
  <c r="K75" i="4"/>
  <c r="J75" i="4"/>
  <c r="I75" i="4"/>
  <c r="H75" i="4"/>
  <c r="G75" i="4"/>
  <c r="F75" i="4"/>
  <c r="E75" i="4"/>
  <c r="D75" i="4"/>
  <c r="C75" i="4"/>
  <c r="B75" i="4"/>
  <c r="AC74" i="4"/>
  <c r="AB74" i="4"/>
  <c r="AA74" i="4"/>
  <c r="Z74" i="4"/>
  <c r="Y74" i="4"/>
  <c r="X74" i="4"/>
  <c r="W74" i="4"/>
  <c r="V74" i="4"/>
  <c r="R74" i="4"/>
  <c r="Q74" i="4"/>
  <c r="P74" i="4"/>
  <c r="O74" i="4"/>
  <c r="N74" i="4"/>
  <c r="M74" i="4"/>
  <c r="L74" i="4"/>
  <c r="K74" i="4"/>
  <c r="J74" i="4"/>
  <c r="I74" i="4"/>
  <c r="H74" i="4"/>
  <c r="G74" i="4"/>
  <c r="F74" i="4"/>
  <c r="E74" i="4"/>
  <c r="D74" i="4"/>
  <c r="C74" i="4"/>
  <c r="B74" i="4"/>
  <c r="AC72" i="4"/>
  <c r="AB72" i="4"/>
  <c r="AA72" i="4"/>
  <c r="Z72" i="4"/>
  <c r="Y72" i="4"/>
  <c r="X72" i="4"/>
  <c r="W72" i="4"/>
  <c r="V72" i="4"/>
  <c r="R72" i="4"/>
  <c r="Q72" i="4"/>
  <c r="P72" i="4"/>
  <c r="O72" i="4"/>
  <c r="N72" i="4"/>
  <c r="M72" i="4"/>
  <c r="L72" i="4"/>
  <c r="K72" i="4"/>
  <c r="J72" i="4"/>
  <c r="I72" i="4"/>
  <c r="H72" i="4"/>
  <c r="G72" i="4"/>
  <c r="F72" i="4"/>
  <c r="E72" i="4"/>
  <c r="D72" i="4"/>
  <c r="C72" i="4"/>
  <c r="B72" i="4"/>
  <c r="AC71" i="4"/>
  <c r="AB71" i="4"/>
  <c r="AA71" i="4"/>
  <c r="Z71" i="4"/>
  <c r="Y71" i="4"/>
  <c r="X71" i="4"/>
  <c r="W71" i="4"/>
  <c r="V71" i="4"/>
  <c r="R71" i="4"/>
  <c r="Q71" i="4"/>
  <c r="P71" i="4"/>
  <c r="O71" i="4"/>
  <c r="N71" i="4"/>
  <c r="M71" i="4"/>
  <c r="L71" i="4"/>
  <c r="K71" i="4"/>
  <c r="J71" i="4"/>
  <c r="I71" i="4"/>
  <c r="H71" i="4"/>
  <c r="G71" i="4"/>
  <c r="F71" i="4"/>
  <c r="E71" i="4"/>
  <c r="D71" i="4"/>
  <c r="C71" i="4"/>
  <c r="B71" i="4"/>
  <c r="AC77" i="4"/>
  <c r="AB77" i="4"/>
  <c r="AA77" i="4"/>
  <c r="Z77" i="4"/>
  <c r="Y77" i="4"/>
  <c r="X77" i="4"/>
  <c r="W77" i="4"/>
  <c r="V77" i="4"/>
  <c r="R77" i="4"/>
  <c r="Q77" i="4"/>
  <c r="P77" i="4"/>
  <c r="O77" i="4"/>
  <c r="N77" i="4"/>
  <c r="M77" i="4"/>
  <c r="L77" i="4"/>
  <c r="K77" i="4"/>
  <c r="J77" i="4"/>
  <c r="I77" i="4"/>
  <c r="H77" i="4"/>
  <c r="G77" i="4"/>
  <c r="F77" i="4"/>
  <c r="E77" i="4"/>
  <c r="D77" i="4"/>
  <c r="C77" i="4"/>
  <c r="B77" i="4"/>
  <c r="AC73" i="4"/>
  <c r="AB73" i="4"/>
  <c r="AA73" i="4"/>
  <c r="Z73" i="4"/>
  <c r="Y73" i="4"/>
  <c r="X73" i="4"/>
  <c r="W73" i="4"/>
  <c r="V73" i="4"/>
  <c r="R73" i="4"/>
  <c r="Q73" i="4"/>
  <c r="P73" i="4"/>
  <c r="O73" i="4"/>
  <c r="N73" i="4"/>
  <c r="M73" i="4"/>
  <c r="L73" i="4"/>
  <c r="K73" i="4"/>
  <c r="J73" i="4"/>
  <c r="I73" i="4"/>
  <c r="H73" i="4"/>
  <c r="G73" i="4"/>
  <c r="F73" i="4"/>
  <c r="E73" i="4"/>
  <c r="D73" i="4"/>
  <c r="C73" i="4"/>
  <c r="B73" i="4"/>
  <c r="AC78" i="4"/>
  <c r="AB78" i="4"/>
  <c r="AA78" i="4"/>
  <c r="Z78" i="4"/>
  <c r="Y78" i="4"/>
  <c r="X78" i="4"/>
  <c r="W78" i="4"/>
  <c r="V78" i="4"/>
  <c r="R78" i="4"/>
  <c r="Q78" i="4"/>
  <c r="P78" i="4"/>
  <c r="O78" i="4"/>
  <c r="N78" i="4"/>
  <c r="M78" i="4"/>
  <c r="L78" i="4"/>
  <c r="K78" i="4"/>
  <c r="J78" i="4"/>
  <c r="I78" i="4"/>
  <c r="H78" i="4"/>
  <c r="G78" i="4"/>
  <c r="F78" i="4"/>
  <c r="E78" i="4"/>
  <c r="D78" i="4"/>
  <c r="C78" i="4"/>
  <c r="B78" i="4"/>
  <c r="AC70" i="4"/>
  <c r="AB70" i="4"/>
  <c r="AA70" i="4"/>
  <c r="Z70" i="4"/>
  <c r="Y70" i="4"/>
  <c r="X70" i="4"/>
  <c r="W70" i="4"/>
  <c r="V70" i="4"/>
  <c r="R70" i="4"/>
  <c r="Q70" i="4"/>
  <c r="P70" i="4"/>
  <c r="O70" i="4"/>
  <c r="N70" i="4"/>
  <c r="M70" i="4"/>
  <c r="L70" i="4"/>
  <c r="K70" i="4"/>
  <c r="J70" i="4"/>
  <c r="I70" i="4"/>
  <c r="H70" i="4"/>
  <c r="G70" i="4"/>
  <c r="F70" i="4"/>
  <c r="E70" i="4"/>
  <c r="D70" i="4"/>
  <c r="C70" i="4"/>
  <c r="B70" i="4"/>
  <c r="AC67" i="4"/>
  <c r="AB67" i="4"/>
  <c r="AA67" i="4"/>
  <c r="Z67" i="4"/>
  <c r="Y67" i="4"/>
  <c r="X67" i="4"/>
  <c r="W67" i="4"/>
  <c r="V67" i="4"/>
  <c r="R67" i="4"/>
  <c r="Q67" i="4"/>
  <c r="P67" i="4"/>
  <c r="O67" i="4"/>
  <c r="N67" i="4"/>
  <c r="M67" i="4"/>
  <c r="L67" i="4"/>
  <c r="K67" i="4"/>
  <c r="J67" i="4"/>
  <c r="I67" i="4"/>
  <c r="H67" i="4"/>
  <c r="G67" i="4"/>
  <c r="F67" i="4"/>
  <c r="E67" i="4"/>
  <c r="D67" i="4"/>
  <c r="C67" i="4"/>
  <c r="B67" i="4"/>
  <c r="AC68" i="4"/>
  <c r="AB68" i="4"/>
  <c r="AA68" i="4"/>
  <c r="Z68" i="4"/>
  <c r="Y68" i="4"/>
  <c r="X68" i="4"/>
  <c r="W68" i="4"/>
  <c r="V68" i="4"/>
  <c r="R68" i="4"/>
  <c r="Q68" i="4"/>
  <c r="P68" i="4"/>
  <c r="O68" i="4"/>
  <c r="N68" i="4"/>
  <c r="M68" i="4"/>
  <c r="L68" i="4"/>
  <c r="K68" i="4"/>
  <c r="J68" i="4"/>
  <c r="I68" i="4"/>
  <c r="H68" i="4"/>
  <c r="G68" i="4"/>
  <c r="F68" i="4"/>
  <c r="E68" i="4"/>
  <c r="D68" i="4"/>
  <c r="C68" i="4"/>
  <c r="B68" i="4"/>
  <c r="AC66" i="4"/>
  <c r="AB66" i="4"/>
  <c r="AA66" i="4"/>
  <c r="Z66" i="4"/>
  <c r="Y66" i="4"/>
  <c r="X66" i="4"/>
  <c r="W66" i="4"/>
  <c r="V66" i="4"/>
  <c r="R66" i="4"/>
  <c r="Q66" i="4"/>
  <c r="P66" i="4"/>
  <c r="O66" i="4"/>
  <c r="N66" i="4"/>
  <c r="M66" i="4"/>
  <c r="L66" i="4"/>
  <c r="K66" i="4"/>
  <c r="J66" i="4"/>
  <c r="I66" i="4"/>
  <c r="H66" i="4"/>
  <c r="G66" i="4"/>
  <c r="F66" i="4"/>
  <c r="E66" i="4"/>
  <c r="D66" i="4"/>
  <c r="C66" i="4"/>
  <c r="B66" i="4"/>
  <c r="AC69" i="4"/>
  <c r="AB69" i="4"/>
  <c r="AA69" i="4"/>
  <c r="Z69" i="4"/>
  <c r="Y69" i="4"/>
  <c r="X69" i="4"/>
  <c r="W69" i="4"/>
  <c r="V69" i="4"/>
  <c r="R69" i="4"/>
  <c r="Q69" i="4"/>
  <c r="P69" i="4"/>
  <c r="O69" i="4"/>
  <c r="N69" i="4"/>
  <c r="M69" i="4"/>
  <c r="L69" i="4"/>
  <c r="K69" i="4"/>
  <c r="J69" i="4"/>
  <c r="I69" i="4"/>
  <c r="H69" i="4"/>
  <c r="G69" i="4"/>
  <c r="F69" i="4"/>
  <c r="E69" i="4"/>
  <c r="D69" i="4"/>
  <c r="C69" i="4"/>
  <c r="B69" i="4"/>
  <c r="AC65" i="4"/>
  <c r="AB65" i="4"/>
  <c r="AA65" i="4"/>
  <c r="Z65" i="4"/>
  <c r="Y65" i="4"/>
  <c r="X65" i="4"/>
  <c r="W65" i="4"/>
  <c r="V65" i="4"/>
  <c r="R65" i="4"/>
  <c r="Q65" i="4"/>
  <c r="P65" i="4"/>
  <c r="O65" i="4"/>
  <c r="N65" i="4"/>
  <c r="M65" i="4"/>
  <c r="L65" i="4"/>
  <c r="K65" i="4"/>
  <c r="J65" i="4"/>
  <c r="I65" i="4"/>
  <c r="H65" i="4"/>
  <c r="G65" i="4"/>
  <c r="F65" i="4"/>
  <c r="E65" i="4"/>
  <c r="D65" i="4"/>
  <c r="C65" i="4"/>
  <c r="B65" i="4"/>
  <c r="AC64" i="4"/>
  <c r="AB64" i="4"/>
  <c r="AA64" i="4"/>
  <c r="Z64" i="4"/>
  <c r="Y64" i="4"/>
  <c r="X64" i="4"/>
  <c r="W64" i="4"/>
  <c r="V64" i="4"/>
  <c r="R64" i="4"/>
  <c r="Q64" i="4"/>
  <c r="P64" i="4"/>
  <c r="O64" i="4"/>
  <c r="N64" i="4"/>
  <c r="M64" i="4"/>
  <c r="L64" i="4"/>
  <c r="K64" i="4"/>
  <c r="J64" i="4"/>
  <c r="I64" i="4"/>
  <c r="H64" i="4"/>
  <c r="G64" i="4"/>
  <c r="F64" i="4"/>
  <c r="E64" i="4"/>
  <c r="D64" i="4"/>
  <c r="C64" i="4"/>
  <c r="B64" i="4"/>
  <c r="AC62" i="4"/>
  <c r="AB62" i="4"/>
  <c r="AA62" i="4"/>
  <c r="Z62" i="4"/>
  <c r="Y62" i="4"/>
  <c r="X62" i="4"/>
  <c r="W62" i="4"/>
  <c r="V62" i="4"/>
  <c r="R62" i="4"/>
  <c r="Q62" i="4"/>
  <c r="P62" i="4"/>
  <c r="O62" i="4"/>
  <c r="N62" i="4"/>
  <c r="M62" i="4"/>
  <c r="L62" i="4"/>
  <c r="K62" i="4"/>
  <c r="J62" i="4"/>
  <c r="I62" i="4"/>
  <c r="H62" i="4"/>
  <c r="G62" i="4"/>
  <c r="F62" i="4"/>
  <c r="E62" i="4"/>
  <c r="D62" i="4"/>
  <c r="C62" i="4"/>
  <c r="B62" i="4"/>
  <c r="AC60" i="4"/>
  <c r="AB60" i="4"/>
  <c r="AA60" i="4"/>
  <c r="Z60" i="4"/>
  <c r="Y60" i="4"/>
  <c r="X60" i="4"/>
  <c r="W60" i="4"/>
  <c r="V60" i="4"/>
  <c r="R60" i="4"/>
  <c r="Q60" i="4"/>
  <c r="P60" i="4"/>
  <c r="O60" i="4"/>
  <c r="N60" i="4"/>
  <c r="M60" i="4"/>
  <c r="L60" i="4"/>
  <c r="K60" i="4"/>
  <c r="J60" i="4"/>
  <c r="I60" i="4"/>
  <c r="H60" i="4"/>
  <c r="G60" i="4"/>
  <c r="F60" i="4"/>
  <c r="E60" i="4"/>
  <c r="D60" i="4"/>
  <c r="C60" i="4"/>
  <c r="B60" i="4"/>
  <c r="AC63" i="4"/>
  <c r="AB63" i="4"/>
  <c r="AA63" i="4"/>
  <c r="Z63" i="4"/>
  <c r="Y63" i="4"/>
  <c r="X63" i="4"/>
  <c r="W63" i="4"/>
  <c r="V63" i="4"/>
  <c r="R63" i="4"/>
  <c r="Q63" i="4"/>
  <c r="P63" i="4"/>
  <c r="O63" i="4"/>
  <c r="N63" i="4"/>
  <c r="M63" i="4"/>
  <c r="L63" i="4"/>
  <c r="K63" i="4"/>
  <c r="J63" i="4"/>
  <c r="I63" i="4"/>
  <c r="H63" i="4"/>
  <c r="G63" i="4"/>
  <c r="F63" i="4"/>
  <c r="E63" i="4"/>
  <c r="D63" i="4"/>
  <c r="C63" i="4"/>
  <c r="B63" i="4"/>
  <c r="AC61" i="4"/>
  <c r="AB61" i="4"/>
  <c r="AA61" i="4"/>
  <c r="Z61" i="4"/>
  <c r="Y61" i="4"/>
  <c r="X61" i="4"/>
  <c r="W61" i="4"/>
  <c r="V61" i="4"/>
  <c r="R61" i="4"/>
  <c r="Q61" i="4"/>
  <c r="P61" i="4"/>
  <c r="O61" i="4"/>
  <c r="N61" i="4"/>
  <c r="M61" i="4"/>
  <c r="L61" i="4"/>
  <c r="K61" i="4"/>
  <c r="J61" i="4"/>
  <c r="I61" i="4"/>
  <c r="H61" i="4"/>
  <c r="G61" i="4"/>
  <c r="F61" i="4"/>
  <c r="E61" i="4"/>
  <c r="D61" i="4"/>
  <c r="C61" i="4"/>
  <c r="B61" i="4"/>
  <c r="AC59" i="4"/>
  <c r="AB59" i="4"/>
  <c r="AA59" i="4"/>
  <c r="Z59" i="4"/>
  <c r="Y59" i="4"/>
  <c r="X59" i="4"/>
  <c r="W59" i="4"/>
  <c r="V59" i="4"/>
  <c r="R59" i="4"/>
  <c r="Q59" i="4"/>
  <c r="P59" i="4"/>
  <c r="O59" i="4"/>
  <c r="N59" i="4"/>
  <c r="M59" i="4"/>
  <c r="L59" i="4"/>
  <c r="K59" i="4"/>
  <c r="J59" i="4"/>
  <c r="I59" i="4"/>
  <c r="H59" i="4"/>
  <c r="G59" i="4"/>
  <c r="F59" i="4"/>
  <c r="E59" i="4"/>
  <c r="D59" i="4"/>
  <c r="C59" i="4"/>
  <c r="B59" i="4"/>
  <c r="AC35" i="4"/>
  <c r="AB35" i="4"/>
  <c r="AA35" i="4"/>
  <c r="Z35" i="4"/>
  <c r="Y35" i="4"/>
  <c r="X35" i="4"/>
  <c r="W35" i="4"/>
  <c r="V35" i="4"/>
  <c r="R35" i="4"/>
  <c r="Q35" i="4"/>
  <c r="P35" i="4"/>
  <c r="O35" i="4"/>
  <c r="N35" i="4"/>
  <c r="M35" i="4"/>
  <c r="L35" i="4"/>
  <c r="K35" i="4"/>
  <c r="J35" i="4"/>
  <c r="I35" i="4"/>
  <c r="H35" i="4"/>
  <c r="G35" i="4"/>
  <c r="F35" i="4"/>
  <c r="E35" i="4"/>
  <c r="D35" i="4"/>
  <c r="C35" i="4"/>
  <c r="B35" i="4"/>
  <c r="AC34" i="4"/>
  <c r="AB34" i="4"/>
  <c r="AA34" i="4"/>
  <c r="Z34" i="4"/>
  <c r="Y34" i="4"/>
  <c r="X34" i="4"/>
  <c r="W34" i="4"/>
  <c r="V34" i="4"/>
  <c r="R34" i="4"/>
  <c r="Q34" i="4"/>
  <c r="P34" i="4"/>
  <c r="O34" i="4"/>
  <c r="N34" i="4"/>
  <c r="M34" i="4"/>
  <c r="L34" i="4"/>
  <c r="K34" i="4"/>
  <c r="J34" i="4"/>
  <c r="I34" i="4"/>
  <c r="H34" i="4"/>
  <c r="G34" i="4"/>
  <c r="F34" i="4"/>
  <c r="E34" i="4"/>
  <c r="D34" i="4"/>
  <c r="C34" i="4"/>
  <c r="B34" i="4"/>
  <c r="AC44" i="4"/>
  <c r="AB44" i="4"/>
  <c r="AA44" i="4"/>
  <c r="Z44" i="4"/>
  <c r="Y44" i="4"/>
  <c r="X44" i="4"/>
  <c r="W44" i="4"/>
  <c r="V44" i="4"/>
  <c r="R44" i="4"/>
  <c r="Q44" i="4"/>
  <c r="P44" i="4"/>
  <c r="O44" i="4"/>
  <c r="N44" i="4"/>
  <c r="M44" i="4"/>
  <c r="L44" i="4"/>
  <c r="K44" i="4"/>
  <c r="J44" i="4"/>
  <c r="I44" i="4"/>
  <c r="H44" i="4"/>
  <c r="G44" i="4"/>
  <c r="F44" i="4"/>
  <c r="E44" i="4"/>
  <c r="D44" i="4"/>
  <c r="C44" i="4"/>
  <c r="B44" i="4"/>
  <c r="AC51" i="4"/>
  <c r="AB51" i="4"/>
  <c r="AA51" i="4"/>
  <c r="Z51" i="4"/>
  <c r="Y51" i="4"/>
  <c r="X51" i="4"/>
  <c r="W51" i="4"/>
  <c r="V51" i="4"/>
  <c r="R51" i="4"/>
  <c r="Q51" i="4"/>
  <c r="P51" i="4"/>
  <c r="O51" i="4"/>
  <c r="N51" i="4"/>
  <c r="M51" i="4"/>
  <c r="L51" i="4"/>
  <c r="K51" i="4"/>
  <c r="J51" i="4"/>
  <c r="I51" i="4"/>
  <c r="H51" i="4"/>
  <c r="G51" i="4"/>
  <c r="F51" i="4"/>
  <c r="E51" i="4"/>
  <c r="D51" i="4"/>
  <c r="C51" i="4"/>
  <c r="B51" i="4"/>
  <c r="AC49" i="4"/>
  <c r="AB49" i="4"/>
  <c r="AA49" i="4"/>
  <c r="Z49" i="4"/>
  <c r="Y49" i="4"/>
  <c r="X49" i="4"/>
  <c r="W49" i="4"/>
  <c r="V49" i="4"/>
  <c r="R49" i="4"/>
  <c r="Q49" i="4"/>
  <c r="P49" i="4"/>
  <c r="O49" i="4"/>
  <c r="N49" i="4"/>
  <c r="M49" i="4"/>
  <c r="L49" i="4"/>
  <c r="K49" i="4"/>
  <c r="J49" i="4"/>
  <c r="I49" i="4"/>
  <c r="H49" i="4"/>
  <c r="G49" i="4"/>
  <c r="F49" i="4"/>
  <c r="E49" i="4"/>
  <c r="D49" i="4"/>
  <c r="C49" i="4"/>
  <c r="B49" i="4"/>
  <c r="AC40" i="4"/>
  <c r="AB40" i="4"/>
  <c r="AA40" i="4"/>
  <c r="Z40" i="4"/>
  <c r="Y40" i="4"/>
  <c r="X40" i="4"/>
  <c r="W40" i="4"/>
  <c r="V40" i="4"/>
  <c r="R40" i="4"/>
  <c r="Q40" i="4"/>
  <c r="P40" i="4"/>
  <c r="O40" i="4"/>
  <c r="N40" i="4"/>
  <c r="M40" i="4"/>
  <c r="L40" i="4"/>
  <c r="K40" i="4"/>
  <c r="J40" i="4"/>
  <c r="I40" i="4"/>
  <c r="H40" i="4"/>
  <c r="G40" i="4"/>
  <c r="F40" i="4"/>
  <c r="E40" i="4"/>
  <c r="D40" i="4"/>
  <c r="C40" i="4"/>
  <c r="B40" i="4"/>
  <c r="AC50" i="4"/>
  <c r="AB50" i="4"/>
  <c r="AA50" i="4"/>
  <c r="Z50" i="4"/>
  <c r="Y50" i="4"/>
  <c r="X50" i="4"/>
  <c r="W50" i="4"/>
  <c r="V50" i="4"/>
  <c r="R50" i="4"/>
  <c r="Q50" i="4"/>
  <c r="P50" i="4"/>
  <c r="O50" i="4"/>
  <c r="N50" i="4"/>
  <c r="M50" i="4"/>
  <c r="L50" i="4"/>
  <c r="K50" i="4"/>
  <c r="J50" i="4"/>
  <c r="I50" i="4"/>
  <c r="H50" i="4"/>
  <c r="G50" i="4"/>
  <c r="F50" i="4"/>
  <c r="E50" i="4"/>
  <c r="D50" i="4"/>
  <c r="C50" i="4"/>
  <c r="B50" i="4"/>
  <c r="AC43" i="4"/>
  <c r="AB43" i="4"/>
  <c r="AA43" i="4"/>
  <c r="Z43" i="4"/>
  <c r="Y43" i="4"/>
  <c r="X43" i="4"/>
  <c r="W43" i="4"/>
  <c r="V43" i="4"/>
  <c r="R43" i="4"/>
  <c r="Q43" i="4"/>
  <c r="P43" i="4"/>
  <c r="O43" i="4"/>
  <c r="N43" i="4"/>
  <c r="M43" i="4"/>
  <c r="L43" i="4"/>
  <c r="K43" i="4"/>
  <c r="J43" i="4"/>
  <c r="I43" i="4"/>
  <c r="H43" i="4"/>
  <c r="G43" i="4"/>
  <c r="F43" i="4"/>
  <c r="E43" i="4"/>
  <c r="D43" i="4"/>
  <c r="C43" i="4"/>
  <c r="B43" i="4"/>
  <c r="AC48" i="4"/>
  <c r="AB48" i="4"/>
  <c r="AA48" i="4"/>
  <c r="Z48" i="4"/>
  <c r="Y48" i="4"/>
  <c r="X48" i="4"/>
  <c r="W48" i="4"/>
  <c r="V48" i="4"/>
  <c r="R48" i="4"/>
  <c r="Q48" i="4"/>
  <c r="P48" i="4"/>
  <c r="O48" i="4"/>
  <c r="N48" i="4"/>
  <c r="M48" i="4"/>
  <c r="L48" i="4"/>
  <c r="K48" i="4"/>
  <c r="J48" i="4"/>
  <c r="I48" i="4"/>
  <c r="H48" i="4"/>
  <c r="G48" i="4"/>
  <c r="F48" i="4"/>
  <c r="E48" i="4"/>
  <c r="D48" i="4"/>
  <c r="C48" i="4"/>
  <c r="B48" i="4"/>
  <c r="AC45" i="4"/>
  <c r="AB45" i="4"/>
  <c r="AA45" i="4"/>
  <c r="Z45" i="4"/>
  <c r="Y45" i="4"/>
  <c r="X45" i="4"/>
  <c r="W45" i="4"/>
  <c r="V45" i="4"/>
  <c r="R45" i="4"/>
  <c r="P45" i="4"/>
  <c r="O45" i="4"/>
  <c r="N45" i="4"/>
  <c r="M45" i="4"/>
  <c r="L45" i="4"/>
  <c r="K45" i="4"/>
  <c r="J45" i="4"/>
  <c r="I45" i="4"/>
  <c r="H45" i="4"/>
  <c r="G45" i="4"/>
  <c r="F45" i="4"/>
  <c r="E45" i="4"/>
  <c r="D45" i="4"/>
  <c r="C45" i="4"/>
  <c r="B45" i="4"/>
  <c r="AC47" i="4"/>
  <c r="AB47" i="4"/>
  <c r="AA47" i="4"/>
  <c r="Z47" i="4"/>
  <c r="Y47" i="4"/>
  <c r="X47" i="4"/>
  <c r="W47" i="4"/>
  <c r="V47" i="4"/>
  <c r="R47" i="4"/>
  <c r="Q47" i="4"/>
  <c r="P47" i="4"/>
  <c r="O47" i="4"/>
  <c r="N47" i="4"/>
  <c r="M47" i="4"/>
  <c r="L47" i="4"/>
  <c r="K47" i="4"/>
  <c r="J47" i="4"/>
  <c r="I47" i="4"/>
  <c r="H47" i="4"/>
  <c r="G47" i="4"/>
  <c r="F47" i="4"/>
  <c r="E47" i="4"/>
  <c r="D47" i="4"/>
  <c r="C47" i="4"/>
  <c r="B47" i="4"/>
  <c r="AC46" i="4"/>
  <c r="AB46" i="4"/>
  <c r="AA46" i="4"/>
  <c r="Z46" i="4"/>
  <c r="Y46" i="4"/>
  <c r="X46" i="4"/>
  <c r="W46" i="4"/>
  <c r="V46" i="4"/>
  <c r="R46" i="4"/>
  <c r="Q46" i="4"/>
  <c r="P46" i="4"/>
  <c r="O46" i="4"/>
  <c r="N46" i="4"/>
  <c r="M46" i="4"/>
  <c r="L46" i="4"/>
  <c r="K46" i="4"/>
  <c r="J46" i="4"/>
  <c r="I46" i="4"/>
  <c r="H46" i="4"/>
  <c r="G46" i="4"/>
  <c r="F46" i="4"/>
  <c r="E46" i="4"/>
  <c r="D46" i="4"/>
  <c r="C46" i="4"/>
  <c r="B46" i="4"/>
  <c r="AC37" i="4"/>
  <c r="AB37" i="4"/>
  <c r="AA37" i="4"/>
  <c r="Z37" i="4"/>
  <c r="Y37" i="4"/>
  <c r="X37" i="4"/>
  <c r="W37" i="4"/>
  <c r="V37" i="4"/>
  <c r="R37" i="4"/>
  <c r="Q37" i="4"/>
  <c r="P37" i="4"/>
  <c r="O37" i="4"/>
  <c r="N37" i="4"/>
  <c r="M37" i="4"/>
  <c r="L37" i="4"/>
  <c r="K37" i="4"/>
  <c r="J37" i="4"/>
  <c r="I37" i="4"/>
  <c r="H37" i="4"/>
  <c r="G37" i="4"/>
  <c r="F37" i="4"/>
  <c r="E37" i="4"/>
  <c r="D37" i="4"/>
  <c r="C37" i="4"/>
  <c r="B37" i="4"/>
  <c r="AC53" i="4"/>
  <c r="AB53" i="4"/>
  <c r="AA53" i="4"/>
  <c r="Z53" i="4"/>
  <c r="Y53" i="4"/>
  <c r="X53" i="4"/>
  <c r="W53" i="4"/>
  <c r="V53" i="4"/>
  <c r="R53" i="4"/>
  <c r="Q53" i="4"/>
  <c r="P53" i="4"/>
  <c r="O53" i="4"/>
  <c r="N53" i="4"/>
  <c r="M53" i="4"/>
  <c r="L53" i="4"/>
  <c r="K53" i="4"/>
  <c r="J53" i="4"/>
  <c r="I53" i="4"/>
  <c r="H53" i="4"/>
  <c r="G53" i="4"/>
  <c r="F53" i="4"/>
  <c r="E53" i="4"/>
  <c r="D53" i="4"/>
  <c r="C53" i="4"/>
  <c r="B53" i="4"/>
  <c r="AC58" i="4"/>
  <c r="AB58" i="4"/>
  <c r="AA58" i="4"/>
  <c r="Z58" i="4"/>
  <c r="Y58" i="4"/>
  <c r="X58" i="4"/>
  <c r="W58" i="4"/>
  <c r="V58" i="4"/>
  <c r="R58" i="4"/>
  <c r="Q58" i="4"/>
  <c r="P58" i="4"/>
  <c r="O58" i="4"/>
  <c r="N58" i="4"/>
  <c r="M58" i="4"/>
  <c r="L58" i="4"/>
  <c r="K58" i="4"/>
  <c r="J58" i="4"/>
  <c r="I58" i="4"/>
  <c r="H58" i="4"/>
  <c r="G58" i="4"/>
  <c r="F58" i="4"/>
  <c r="E58" i="4"/>
  <c r="D58" i="4"/>
  <c r="C58" i="4"/>
  <c r="B58" i="4"/>
  <c r="AC54" i="4"/>
  <c r="AB54" i="4"/>
  <c r="AA54" i="4"/>
  <c r="Z54" i="4"/>
  <c r="Y54" i="4"/>
  <c r="X54" i="4"/>
  <c r="W54" i="4"/>
  <c r="V54" i="4"/>
  <c r="R54" i="4"/>
  <c r="Q54" i="4"/>
  <c r="P54" i="4"/>
  <c r="O54" i="4"/>
  <c r="N54" i="4"/>
  <c r="M54" i="4"/>
  <c r="L54" i="4"/>
  <c r="K54" i="4"/>
  <c r="J54" i="4"/>
  <c r="I54" i="4"/>
  <c r="H54" i="4"/>
  <c r="G54" i="4"/>
  <c r="F54" i="4"/>
  <c r="E54" i="4"/>
  <c r="D54" i="4"/>
  <c r="C54" i="4"/>
  <c r="B54" i="4"/>
  <c r="AC52" i="4"/>
  <c r="AB52" i="4"/>
  <c r="AA52" i="4"/>
  <c r="Z52" i="4"/>
  <c r="Y52" i="4"/>
  <c r="X52" i="4"/>
  <c r="W52" i="4"/>
  <c r="V52" i="4"/>
  <c r="R52" i="4"/>
  <c r="Q52" i="4"/>
  <c r="P52" i="4"/>
  <c r="O52" i="4"/>
  <c r="N52" i="4"/>
  <c r="M52" i="4"/>
  <c r="L52" i="4"/>
  <c r="K52" i="4"/>
  <c r="J52" i="4"/>
  <c r="I52" i="4"/>
  <c r="H52" i="4"/>
  <c r="G52" i="4"/>
  <c r="F52" i="4"/>
  <c r="E52" i="4"/>
  <c r="D52" i="4"/>
  <c r="C52" i="4"/>
  <c r="B52" i="4"/>
  <c r="AC38" i="4"/>
  <c r="AB38" i="4"/>
  <c r="AA38" i="4"/>
  <c r="Z38" i="4"/>
  <c r="Y38" i="4"/>
  <c r="X38" i="4"/>
  <c r="W38" i="4"/>
  <c r="V38" i="4"/>
  <c r="R38" i="4"/>
  <c r="Q38" i="4"/>
  <c r="P38" i="4"/>
  <c r="N38" i="4"/>
  <c r="L38" i="4"/>
  <c r="K38" i="4"/>
  <c r="J38" i="4"/>
  <c r="I38" i="4"/>
  <c r="H38" i="4"/>
  <c r="G38" i="4"/>
  <c r="F38" i="4"/>
  <c r="E38" i="4"/>
  <c r="D38" i="4"/>
  <c r="C38" i="4"/>
  <c r="B38" i="4"/>
  <c r="AC57" i="4"/>
  <c r="AB57" i="4"/>
  <c r="AA57" i="4"/>
  <c r="Z57" i="4"/>
  <c r="Y57" i="4"/>
  <c r="X57" i="4"/>
  <c r="W57" i="4"/>
  <c r="V57" i="4"/>
  <c r="R57" i="4"/>
  <c r="Q57" i="4"/>
  <c r="P57" i="4"/>
  <c r="O57" i="4"/>
  <c r="N57" i="4"/>
  <c r="M57" i="4"/>
  <c r="L57" i="4"/>
  <c r="K57" i="4"/>
  <c r="J57" i="4"/>
  <c r="I57" i="4"/>
  <c r="H57" i="4"/>
  <c r="G57" i="4"/>
  <c r="F57" i="4"/>
  <c r="E57" i="4"/>
  <c r="D57" i="4"/>
  <c r="C57" i="4"/>
  <c r="B57" i="4"/>
  <c r="AC56" i="4"/>
  <c r="AB56" i="4"/>
  <c r="AA56" i="4"/>
  <c r="Z56" i="4"/>
  <c r="Y56" i="4"/>
  <c r="X56" i="4"/>
  <c r="W56" i="4"/>
  <c r="V56" i="4"/>
  <c r="R56" i="4"/>
  <c r="Q56" i="4"/>
  <c r="P56" i="4"/>
  <c r="O56" i="4"/>
  <c r="N56" i="4"/>
  <c r="M56" i="4"/>
  <c r="L56" i="4"/>
  <c r="K56" i="4"/>
  <c r="J56" i="4"/>
  <c r="I56" i="4"/>
  <c r="H56" i="4"/>
  <c r="G56" i="4"/>
  <c r="F56" i="4"/>
  <c r="E56" i="4"/>
  <c r="D56" i="4"/>
  <c r="C56" i="4"/>
  <c r="B56" i="4"/>
  <c r="AC39" i="4"/>
  <c r="AB39" i="4"/>
  <c r="AA39" i="4"/>
  <c r="Z39" i="4"/>
  <c r="Y39" i="4"/>
  <c r="X39" i="4"/>
  <c r="W39" i="4"/>
  <c r="V39" i="4"/>
  <c r="R39" i="4"/>
  <c r="Q39" i="4"/>
  <c r="P39" i="4"/>
  <c r="O39" i="4"/>
  <c r="N39" i="4"/>
  <c r="M39" i="4"/>
  <c r="L39" i="4"/>
  <c r="K39" i="4"/>
  <c r="J39" i="4"/>
  <c r="I39" i="4"/>
  <c r="H39" i="4"/>
  <c r="G39" i="4"/>
  <c r="F39" i="4"/>
  <c r="E39" i="4"/>
  <c r="D39" i="4"/>
  <c r="C39" i="4"/>
  <c r="B39" i="4"/>
  <c r="AC42" i="4"/>
  <c r="AB42" i="4"/>
  <c r="AA42" i="4"/>
  <c r="Z42" i="4"/>
  <c r="Y42" i="4"/>
  <c r="X42" i="4"/>
  <c r="W42" i="4"/>
  <c r="V42" i="4"/>
  <c r="R42" i="4"/>
  <c r="Q42" i="4"/>
  <c r="P42" i="4"/>
  <c r="O42" i="4"/>
  <c r="N42" i="4"/>
  <c r="M42" i="4"/>
  <c r="L42" i="4"/>
  <c r="K42" i="4"/>
  <c r="J42" i="4"/>
  <c r="I42" i="4"/>
  <c r="H42" i="4"/>
  <c r="G42" i="4"/>
  <c r="F42" i="4"/>
  <c r="E42" i="4"/>
  <c r="D42" i="4"/>
  <c r="C42" i="4"/>
  <c r="B42" i="4"/>
  <c r="AC41" i="4"/>
  <c r="AB41" i="4"/>
  <c r="AA41" i="4"/>
  <c r="Z41" i="4"/>
  <c r="Y41" i="4"/>
  <c r="X41" i="4"/>
  <c r="W41" i="4"/>
  <c r="V41" i="4"/>
  <c r="R41" i="4"/>
  <c r="Q41" i="4"/>
  <c r="P41" i="4"/>
  <c r="O41" i="4"/>
  <c r="N41" i="4"/>
  <c r="M41" i="4"/>
  <c r="L41" i="4"/>
  <c r="K41" i="4"/>
  <c r="J41" i="4"/>
  <c r="I41" i="4"/>
  <c r="H41" i="4"/>
  <c r="G41" i="4"/>
  <c r="F41" i="4"/>
  <c r="E41" i="4"/>
  <c r="D41" i="4"/>
  <c r="C41" i="4"/>
  <c r="B41" i="4"/>
  <c r="AC55" i="4"/>
  <c r="AB55" i="4"/>
  <c r="AA55" i="4"/>
  <c r="Z55" i="4"/>
  <c r="Y55" i="4"/>
  <c r="X55" i="4"/>
  <c r="W55" i="4"/>
  <c r="V55" i="4"/>
  <c r="R55" i="4"/>
  <c r="Q55" i="4"/>
  <c r="P55" i="4"/>
  <c r="O55" i="4"/>
  <c r="N55" i="4"/>
  <c r="M55" i="4"/>
  <c r="L55" i="4"/>
  <c r="K55" i="4"/>
  <c r="J55" i="4"/>
  <c r="I55" i="4"/>
  <c r="H55" i="4"/>
  <c r="G55" i="4"/>
  <c r="F55" i="4"/>
  <c r="E55" i="4"/>
  <c r="D55" i="4"/>
  <c r="C55" i="4"/>
  <c r="B55" i="4"/>
  <c r="B36" i="4"/>
  <c r="AC36" i="4"/>
  <c r="AB36" i="4"/>
  <c r="AA36" i="4"/>
  <c r="Z36" i="4"/>
  <c r="Y36" i="4"/>
  <c r="X36" i="4"/>
  <c r="W36" i="4"/>
  <c r="V36" i="4"/>
  <c r="R36" i="4"/>
  <c r="Q36" i="4"/>
  <c r="P36" i="4"/>
  <c r="O36" i="4"/>
  <c r="N36" i="4"/>
  <c r="M36" i="4"/>
  <c r="L36" i="4"/>
  <c r="K36" i="4"/>
  <c r="J36" i="4"/>
  <c r="I36" i="4"/>
  <c r="H36" i="4"/>
  <c r="G36" i="4"/>
  <c r="F36" i="4"/>
  <c r="E36" i="4"/>
  <c r="D36" i="4"/>
  <c r="C36" i="4"/>
  <c r="AC33" i="4"/>
  <c r="AB33" i="4"/>
  <c r="AA33" i="4"/>
  <c r="Z33" i="4"/>
  <c r="Y33" i="4"/>
  <c r="X33" i="4"/>
  <c r="W33" i="4"/>
  <c r="V33" i="4"/>
  <c r="R33" i="4"/>
  <c r="Q33" i="4"/>
  <c r="P33" i="4"/>
  <c r="O33" i="4"/>
  <c r="N33" i="4"/>
  <c r="M33" i="4"/>
  <c r="L33" i="4"/>
  <c r="K33" i="4"/>
  <c r="J33" i="4"/>
  <c r="I33" i="4"/>
  <c r="H33" i="4"/>
  <c r="G33" i="4"/>
  <c r="F33" i="4"/>
  <c r="E33" i="4"/>
  <c r="D33" i="4"/>
  <c r="C33" i="4"/>
  <c r="B33" i="4"/>
  <c r="AC26" i="4"/>
  <c r="AB26" i="4"/>
  <c r="AA26" i="4"/>
  <c r="Z26" i="4"/>
  <c r="Y26" i="4"/>
  <c r="X26" i="4"/>
  <c r="W26" i="4"/>
  <c r="V26" i="4"/>
  <c r="R26" i="4"/>
  <c r="Q26" i="4"/>
  <c r="P26" i="4"/>
  <c r="O26" i="4"/>
  <c r="N26" i="4"/>
  <c r="M26" i="4"/>
  <c r="L26" i="4"/>
  <c r="K26" i="4"/>
  <c r="J26" i="4"/>
  <c r="I26" i="4"/>
  <c r="H26" i="4"/>
  <c r="G26" i="4"/>
  <c r="F26" i="4"/>
  <c r="E26" i="4"/>
  <c r="D26" i="4"/>
  <c r="C26" i="4"/>
  <c r="B26" i="4"/>
  <c r="AC24" i="4"/>
  <c r="AB24" i="4"/>
  <c r="AA24" i="4"/>
  <c r="Z24" i="4"/>
  <c r="Y24" i="4"/>
  <c r="X24" i="4"/>
  <c r="W24" i="4"/>
  <c r="V24" i="4"/>
  <c r="R24" i="4"/>
  <c r="Q24" i="4"/>
  <c r="P24" i="4"/>
  <c r="O24" i="4"/>
  <c r="N24" i="4"/>
  <c r="M24" i="4"/>
  <c r="L24" i="4"/>
  <c r="K24" i="4"/>
  <c r="J24" i="4"/>
  <c r="I24" i="4"/>
  <c r="H24" i="4"/>
  <c r="G24" i="4"/>
  <c r="F24" i="4"/>
  <c r="E24" i="4"/>
  <c r="D24" i="4"/>
  <c r="C24" i="4"/>
  <c r="B24" i="4"/>
  <c r="AC25" i="4"/>
  <c r="AB25" i="4"/>
  <c r="AA25" i="4"/>
  <c r="Z25" i="4"/>
  <c r="Y25" i="4"/>
  <c r="X25" i="4"/>
  <c r="W25" i="4"/>
  <c r="V25" i="4"/>
  <c r="R25" i="4"/>
  <c r="Q25" i="4"/>
  <c r="P25" i="4"/>
  <c r="O25" i="4"/>
  <c r="N25" i="4"/>
  <c r="M25" i="4"/>
  <c r="L25" i="4"/>
  <c r="K25" i="4"/>
  <c r="J25" i="4"/>
  <c r="I25" i="4"/>
  <c r="H25" i="4"/>
  <c r="G25" i="4"/>
  <c r="F25" i="4"/>
  <c r="E25" i="4"/>
  <c r="D25" i="4"/>
  <c r="C25" i="4"/>
  <c r="B25" i="4"/>
  <c r="AC27" i="4"/>
  <c r="AB27" i="4"/>
  <c r="AA27" i="4"/>
  <c r="Z27" i="4"/>
  <c r="Y27" i="4"/>
  <c r="X27" i="4"/>
  <c r="W27" i="4"/>
  <c r="V27" i="4"/>
  <c r="R27" i="4"/>
  <c r="Q27" i="4"/>
  <c r="P27" i="4"/>
  <c r="O27" i="4"/>
  <c r="N27" i="4"/>
  <c r="M27" i="4"/>
  <c r="L27" i="4"/>
  <c r="K27" i="4"/>
  <c r="J27" i="4"/>
  <c r="I27" i="4"/>
  <c r="H27" i="4"/>
  <c r="G27" i="4"/>
  <c r="F27" i="4"/>
  <c r="E27" i="4"/>
  <c r="D27" i="4"/>
  <c r="C27" i="4"/>
  <c r="B27" i="4"/>
  <c r="AC28" i="4"/>
  <c r="AB28" i="4"/>
  <c r="AA28" i="4"/>
  <c r="Z28" i="4"/>
  <c r="Y28" i="4"/>
  <c r="X28" i="4"/>
  <c r="W28" i="4"/>
  <c r="V28" i="4"/>
  <c r="R28" i="4"/>
  <c r="Q28" i="4"/>
  <c r="P28" i="4"/>
  <c r="O28" i="4"/>
  <c r="N28" i="4"/>
  <c r="M28" i="4"/>
  <c r="L28" i="4"/>
  <c r="K28" i="4"/>
  <c r="J28" i="4"/>
  <c r="I28" i="4"/>
  <c r="H28" i="4"/>
  <c r="G28" i="4"/>
  <c r="F28" i="4"/>
  <c r="E28" i="4"/>
  <c r="D28" i="4"/>
  <c r="C28" i="4"/>
  <c r="B28" i="4"/>
  <c r="AC22" i="4"/>
  <c r="AB22" i="4"/>
  <c r="AA22" i="4"/>
  <c r="Z22" i="4"/>
  <c r="Y22" i="4"/>
  <c r="X22" i="4"/>
  <c r="W22" i="4"/>
  <c r="V22" i="4"/>
  <c r="R22" i="4"/>
  <c r="Q22" i="4"/>
  <c r="P22" i="4"/>
  <c r="O22" i="4"/>
  <c r="N22" i="4"/>
  <c r="M22" i="4"/>
  <c r="L22" i="4"/>
  <c r="K22" i="4"/>
  <c r="J22" i="4"/>
  <c r="I22" i="4"/>
  <c r="H22" i="4"/>
  <c r="G22" i="4"/>
  <c r="F22" i="4"/>
  <c r="E22" i="4"/>
  <c r="D22" i="4"/>
  <c r="C22" i="4"/>
  <c r="B22" i="4"/>
  <c r="AC21" i="4"/>
  <c r="AB21" i="4"/>
  <c r="AA21" i="4"/>
  <c r="Z21" i="4"/>
  <c r="Y21" i="4"/>
  <c r="X21" i="4"/>
  <c r="W21" i="4"/>
  <c r="V21" i="4"/>
  <c r="R21" i="4"/>
  <c r="Q21" i="4"/>
  <c r="O21" i="4"/>
  <c r="N21" i="4"/>
  <c r="M21" i="4"/>
  <c r="L21" i="4"/>
  <c r="K21" i="4"/>
  <c r="J21" i="4"/>
  <c r="I21" i="4"/>
  <c r="H21" i="4"/>
  <c r="G21" i="4"/>
  <c r="F21" i="4"/>
  <c r="E21" i="4"/>
  <c r="D21" i="4"/>
  <c r="C21" i="4"/>
  <c r="B21" i="4"/>
  <c r="AC20" i="4"/>
  <c r="AB20" i="4"/>
  <c r="AA20" i="4"/>
  <c r="Z20" i="4"/>
  <c r="Y20" i="4"/>
  <c r="X20" i="4"/>
  <c r="W20" i="4"/>
  <c r="V20" i="4"/>
  <c r="R20" i="4"/>
  <c r="Q20" i="4"/>
  <c r="P20" i="4"/>
  <c r="O20" i="4"/>
  <c r="N20" i="4"/>
  <c r="M20" i="4"/>
  <c r="L20" i="4"/>
  <c r="K20" i="4"/>
  <c r="J20" i="4"/>
  <c r="I20" i="4"/>
  <c r="H20" i="4"/>
  <c r="G20" i="4"/>
  <c r="F20" i="4"/>
  <c r="E20" i="4"/>
  <c r="D20" i="4"/>
  <c r="C20" i="4"/>
  <c r="B20" i="4"/>
  <c r="B14" i="4"/>
  <c r="F16" i="4"/>
  <c r="E16" i="4"/>
  <c r="D16" i="4"/>
  <c r="C16" i="4"/>
  <c r="AC16" i="4"/>
  <c r="AB16" i="4"/>
  <c r="AA16" i="4"/>
  <c r="Z16" i="4"/>
  <c r="Y16" i="4"/>
  <c r="X16" i="4"/>
  <c r="W16" i="4"/>
  <c r="V16" i="4"/>
  <c r="R16" i="4"/>
  <c r="Q16" i="4"/>
  <c r="P16" i="4"/>
  <c r="O16" i="4"/>
  <c r="N16" i="4"/>
  <c r="M16" i="4"/>
  <c r="L16" i="4"/>
  <c r="K16" i="4"/>
  <c r="J16" i="4"/>
  <c r="I16" i="4"/>
  <c r="H16" i="4"/>
  <c r="G16" i="4"/>
  <c r="B16" i="4"/>
  <c r="F15" i="4"/>
  <c r="E15" i="4"/>
  <c r="D15" i="4"/>
  <c r="AC15" i="4"/>
  <c r="AB15" i="4"/>
  <c r="AA15" i="4"/>
  <c r="Z15" i="4"/>
  <c r="Y15" i="4"/>
  <c r="X15" i="4"/>
  <c r="W15" i="4"/>
  <c r="V15" i="4"/>
  <c r="R15" i="4"/>
  <c r="Q15" i="4"/>
  <c r="P15" i="4"/>
  <c r="O15" i="4"/>
  <c r="N15" i="4"/>
  <c r="M15" i="4"/>
  <c r="L15" i="4"/>
  <c r="K15" i="4"/>
  <c r="J15" i="4"/>
  <c r="I15" i="4"/>
  <c r="H15" i="4"/>
  <c r="G15" i="4"/>
  <c r="C15" i="4"/>
  <c r="B15" i="4"/>
  <c r="AC14" i="4"/>
  <c r="AB14" i="4"/>
  <c r="AA14" i="4"/>
  <c r="Z14" i="4"/>
  <c r="Y14" i="4"/>
  <c r="X14" i="4"/>
  <c r="W14" i="4"/>
  <c r="V14" i="4"/>
  <c r="R14" i="4"/>
  <c r="Q14" i="4"/>
  <c r="P14" i="4"/>
  <c r="O14" i="4"/>
  <c r="N14" i="4"/>
  <c r="M14" i="4"/>
  <c r="L14" i="4"/>
  <c r="K14" i="4"/>
  <c r="J14" i="4"/>
  <c r="I14" i="4"/>
  <c r="H14" i="4"/>
  <c r="G14" i="4"/>
  <c r="F14" i="4"/>
  <c r="E14" i="4"/>
  <c r="D14" i="4"/>
  <c r="C14" i="4"/>
  <c r="B7" i="4"/>
  <c r="C7" i="4"/>
  <c r="D7" i="4"/>
  <c r="E7" i="4"/>
  <c r="F7" i="4"/>
  <c r="G7" i="4"/>
  <c r="H7" i="4"/>
  <c r="I7" i="4"/>
  <c r="J7" i="4"/>
  <c r="K7" i="4"/>
  <c r="L7" i="4"/>
  <c r="M7" i="4"/>
  <c r="N7" i="4"/>
  <c r="O7" i="4"/>
  <c r="P7" i="4"/>
  <c r="Q7" i="4"/>
  <c r="R7" i="4"/>
  <c r="V7" i="4"/>
  <c r="W7" i="4"/>
  <c r="X7" i="4"/>
  <c r="Y7" i="4"/>
  <c r="Z7" i="4"/>
  <c r="AA7" i="4"/>
  <c r="AB7" i="4"/>
  <c r="AC7" i="4"/>
  <c r="AC17" i="4"/>
  <c r="AB17" i="4"/>
  <c r="AA17" i="4"/>
  <c r="Z17" i="4"/>
  <c r="Y17" i="4"/>
  <c r="X17" i="4"/>
  <c r="W17" i="4"/>
  <c r="V17" i="4"/>
  <c r="R17" i="4"/>
  <c r="Q17" i="4"/>
  <c r="P17" i="4"/>
  <c r="O17" i="4"/>
  <c r="N17" i="4"/>
  <c r="M17" i="4"/>
  <c r="L17" i="4"/>
  <c r="K17" i="4"/>
  <c r="J17" i="4"/>
  <c r="I17" i="4"/>
  <c r="H17" i="4"/>
  <c r="G17" i="4"/>
  <c r="F17" i="4"/>
  <c r="E17" i="4"/>
  <c r="D17" i="4"/>
  <c r="C17" i="4"/>
  <c r="B17" i="4"/>
  <c r="G6" i="4"/>
  <c r="AC12" i="4"/>
  <c r="AB12" i="4"/>
  <c r="AA12" i="4"/>
  <c r="Z12" i="4"/>
  <c r="Y12" i="4"/>
  <c r="X12" i="4"/>
  <c r="W12" i="4"/>
  <c r="V12" i="4"/>
  <c r="R12" i="4"/>
  <c r="Q12" i="4"/>
  <c r="P12" i="4"/>
  <c r="O12" i="4"/>
  <c r="N12" i="4"/>
  <c r="M12" i="4"/>
  <c r="L12" i="4"/>
  <c r="K12" i="4"/>
  <c r="J12" i="4"/>
  <c r="I12" i="4"/>
  <c r="H12" i="4"/>
  <c r="G12" i="4"/>
  <c r="G11" i="4"/>
  <c r="G13" i="4"/>
  <c r="G9" i="4"/>
  <c r="G8" i="4"/>
  <c r="G10" i="4"/>
  <c r="G84" i="4"/>
  <c r="G4" i="4"/>
  <c r="B12" i="4"/>
  <c r="C11" i="4"/>
  <c r="D11" i="4"/>
  <c r="E11" i="4"/>
  <c r="F11" i="4"/>
  <c r="C12" i="4"/>
  <c r="D12" i="4"/>
  <c r="E12" i="4"/>
  <c r="F12" i="4"/>
  <c r="AC11" i="4"/>
  <c r="AB11" i="4"/>
  <c r="AA11" i="4"/>
  <c r="Z11" i="4"/>
  <c r="Y11" i="4"/>
  <c r="X11" i="4"/>
  <c r="W11" i="4"/>
  <c r="V11" i="4"/>
  <c r="R11" i="4"/>
  <c r="Q11" i="4"/>
  <c r="P11" i="4"/>
  <c r="O11" i="4"/>
  <c r="N11" i="4"/>
  <c r="M11" i="4"/>
  <c r="L11" i="4"/>
  <c r="K11" i="4"/>
  <c r="J11" i="4"/>
  <c r="I11" i="4"/>
  <c r="H11" i="4"/>
  <c r="B11" i="4"/>
  <c r="AC13" i="4"/>
  <c r="AB13" i="4"/>
  <c r="AA13" i="4"/>
  <c r="Z13" i="4"/>
  <c r="Y13" i="4"/>
  <c r="X13" i="4"/>
  <c r="W13" i="4"/>
  <c r="V13" i="4"/>
  <c r="R13" i="4"/>
  <c r="Q13" i="4"/>
  <c r="P13" i="4"/>
  <c r="O13" i="4"/>
  <c r="N13" i="4"/>
  <c r="M13" i="4"/>
  <c r="L13" i="4"/>
  <c r="K13" i="4"/>
  <c r="J13" i="4"/>
  <c r="I13" i="4"/>
  <c r="H13" i="4"/>
  <c r="F13" i="4"/>
  <c r="E13" i="4"/>
  <c r="D13" i="4"/>
  <c r="C13" i="4"/>
  <c r="B13" i="4"/>
  <c r="B9" i="4"/>
  <c r="AC9" i="4"/>
  <c r="AB9" i="4"/>
  <c r="AA9" i="4"/>
  <c r="Z9" i="4"/>
  <c r="Y9" i="4"/>
  <c r="X9" i="4"/>
  <c r="W9" i="4"/>
  <c r="V9" i="4"/>
  <c r="R9" i="4"/>
  <c r="Q9" i="4"/>
  <c r="P9" i="4"/>
  <c r="O9" i="4"/>
  <c r="N9" i="4"/>
  <c r="M9" i="4"/>
  <c r="L9" i="4"/>
  <c r="K9" i="4"/>
  <c r="J9" i="4"/>
  <c r="I9" i="4"/>
  <c r="H9" i="4"/>
  <c r="F9" i="4"/>
  <c r="E9" i="4"/>
  <c r="D9" i="4"/>
  <c r="C9" i="4"/>
  <c r="AC8" i="4"/>
  <c r="AB8" i="4"/>
  <c r="AA8" i="4"/>
  <c r="Z8" i="4"/>
  <c r="Y8" i="4"/>
  <c r="X8" i="4"/>
  <c r="W8" i="4"/>
  <c r="V8" i="4"/>
  <c r="R8" i="4"/>
  <c r="Q8" i="4"/>
  <c r="P8" i="4"/>
  <c r="O8" i="4"/>
  <c r="N8" i="4"/>
  <c r="M8" i="4"/>
  <c r="L8" i="4"/>
  <c r="K8" i="4"/>
  <c r="J8" i="4"/>
  <c r="I8" i="4"/>
  <c r="H8" i="4"/>
  <c r="F8" i="4"/>
  <c r="E8" i="4"/>
  <c r="D8" i="4"/>
  <c r="C8" i="4"/>
  <c r="B8" i="4"/>
  <c r="AC10" i="4"/>
  <c r="AB10" i="4"/>
  <c r="AA10" i="4"/>
  <c r="Z10" i="4"/>
  <c r="Y10" i="4"/>
  <c r="X10" i="4"/>
  <c r="W10" i="4"/>
  <c r="V10" i="4"/>
  <c r="R10" i="4"/>
  <c r="Q10" i="4"/>
  <c r="P10" i="4"/>
  <c r="O10" i="4"/>
  <c r="N10" i="4"/>
  <c r="M10" i="4"/>
  <c r="L10" i="4"/>
  <c r="K10" i="4"/>
  <c r="J10" i="4"/>
  <c r="I10" i="4"/>
  <c r="H10" i="4"/>
  <c r="F10" i="4"/>
  <c r="E10" i="4"/>
  <c r="D10" i="4"/>
  <c r="C10" i="4"/>
  <c r="B10" i="4"/>
  <c r="B4" i="4"/>
  <c r="Q85" i="4"/>
  <c r="R85" i="4"/>
  <c r="X85" i="4"/>
  <c r="W85" i="4"/>
  <c r="V85" i="4"/>
  <c r="P85" i="4"/>
  <c r="O85" i="4"/>
  <c r="N85" i="4"/>
  <c r="M85" i="4"/>
  <c r="L85" i="4"/>
  <c r="K85" i="4"/>
  <c r="J85" i="4"/>
  <c r="I85" i="4"/>
  <c r="H85" i="4"/>
  <c r="G85" i="4"/>
  <c r="F85" i="4"/>
  <c r="E85" i="4"/>
  <c r="D85" i="4"/>
  <c r="C85" i="4"/>
  <c r="B85" i="4"/>
  <c r="AC84" i="4"/>
  <c r="AB84" i="4"/>
  <c r="AA84" i="4"/>
  <c r="Z84" i="4"/>
  <c r="Y84" i="4"/>
  <c r="X84" i="4"/>
  <c r="W84" i="4"/>
  <c r="V84" i="4"/>
  <c r="R84" i="4"/>
  <c r="Q84" i="4"/>
  <c r="P84" i="4"/>
  <c r="O84" i="4"/>
  <c r="N84" i="4"/>
  <c r="M84" i="4"/>
  <c r="L84" i="4"/>
  <c r="K84" i="4"/>
  <c r="J84" i="4"/>
  <c r="I84" i="4"/>
  <c r="H84" i="4"/>
  <c r="F84" i="4"/>
  <c r="E84" i="4"/>
  <c r="D84" i="4"/>
  <c r="C84" i="4"/>
  <c r="B84" i="4"/>
  <c r="P5" i="4"/>
  <c r="O5" i="4"/>
  <c r="N5" i="4"/>
  <c r="M5" i="4"/>
  <c r="L5" i="4"/>
  <c r="U5" i="4"/>
  <c r="J5" i="4"/>
  <c r="I5" i="4"/>
  <c r="H5" i="4"/>
  <c r="F5" i="4"/>
  <c r="E5" i="4"/>
  <c r="D5" i="4"/>
  <c r="C5" i="4"/>
  <c r="B5" i="4"/>
  <c r="AC6" i="4"/>
  <c r="AB6" i="4"/>
  <c r="AA6" i="4"/>
  <c r="Z6" i="4"/>
  <c r="Y6" i="4"/>
  <c r="X6" i="4"/>
  <c r="W6" i="4"/>
  <c r="V6" i="4"/>
  <c r="R6" i="4"/>
  <c r="Q6" i="4"/>
  <c r="P6" i="4"/>
  <c r="O6" i="4"/>
  <c r="N6" i="4"/>
  <c r="M6" i="4"/>
  <c r="L6" i="4"/>
  <c r="K6" i="4"/>
  <c r="J6" i="4"/>
  <c r="I6" i="4"/>
  <c r="H6" i="4"/>
  <c r="F6" i="4"/>
  <c r="E6" i="4"/>
  <c r="D6" i="4"/>
  <c r="C6" i="4"/>
  <c r="B6" i="4"/>
  <c r="AC4" i="4"/>
  <c r="AB4" i="4"/>
  <c r="AA4" i="4"/>
  <c r="Z4" i="4"/>
  <c r="Y4" i="4"/>
  <c r="X4" i="4"/>
  <c r="W4" i="4"/>
  <c r="V4" i="4"/>
  <c r="R4" i="4"/>
  <c r="Q4" i="4"/>
  <c r="N4" i="4"/>
  <c r="M4" i="4"/>
  <c r="L4" i="4"/>
  <c r="J4" i="4"/>
  <c r="I4" i="4"/>
  <c r="H4" i="4"/>
  <c r="G5" i="4"/>
  <c r="F4" i="4"/>
  <c r="E4" i="4"/>
  <c r="D4" i="4"/>
  <c r="C4" i="4"/>
  <c r="X5" i="4"/>
  <c r="W5" i="4"/>
  <c r="V5" i="4"/>
  <c r="U128" i="4" l="1"/>
  <c r="U121" i="4"/>
  <c r="S32" i="4"/>
  <c r="T9" i="4"/>
  <c r="U10" i="4"/>
  <c r="U91" i="4"/>
  <c r="U8" i="4"/>
  <c r="U13" i="4"/>
  <c r="S79" i="4"/>
  <c r="U52" i="4"/>
  <c r="U12" i="4"/>
  <c r="U120" i="4"/>
  <c r="S120" i="4"/>
  <c r="U84" i="4"/>
  <c r="U53" i="4"/>
  <c r="U96" i="4"/>
  <c r="T51" i="4"/>
  <c r="U64" i="4"/>
  <c r="U73" i="4"/>
  <c r="U83" i="4"/>
  <c r="U98" i="4"/>
  <c r="T81" i="4"/>
  <c r="T62" i="4"/>
  <c r="U82" i="4"/>
  <c r="U24" i="4"/>
  <c r="U89" i="4"/>
  <c r="U116" i="4"/>
  <c r="U100" i="4"/>
  <c r="U108" i="4"/>
  <c r="U114" i="4"/>
  <c r="U110" i="4"/>
  <c r="U112" i="4"/>
  <c r="U113" i="4"/>
  <c r="U3" i="4"/>
  <c r="U122" i="4"/>
  <c r="U23" i="4"/>
  <c r="U27" i="4"/>
  <c r="U42" i="4"/>
  <c r="U86" i="4"/>
  <c r="U117" i="4"/>
  <c r="T78" i="4"/>
  <c r="U48" i="4"/>
  <c r="U35" i="4"/>
  <c r="U69" i="4"/>
  <c r="U90" i="4"/>
  <c r="T18" i="4"/>
  <c r="S70" i="4"/>
  <c r="S76" i="4"/>
  <c r="S85" i="4"/>
  <c r="U56" i="4"/>
  <c r="U46" i="4"/>
  <c r="U44" i="4"/>
  <c r="U95" i="4"/>
  <c r="U130" i="4"/>
  <c r="U26" i="4"/>
  <c r="U57" i="4"/>
  <c r="U47" i="4"/>
  <c r="U107" i="4"/>
  <c r="U111" i="4"/>
  <c r="U119" i="4"/>
  <c r="U124" i="4"/>
  <c r="U131" i="4"/>
  <c r="U32" i="4"/>
  <c r="U71" i="4"/>
  <c r="U125" i="4"/>
  <c r="U21" i="4"/>
  <c r="U43" i="4"/>
  <c r="U59" i="4"/>
  <c r="U66" i="4"/>
  <c r="U72" i="4"/>
  <c r="T4" i="4"/>
  <c r="U15" i="4"/>
  <c r="U16" i="4"/>
  <c r="U22" i="4"/>
  <c r="U55" i="4"/>
  <c r="U54" i="4"/>
  <c r="T99" i="4"/>
  <c r="U14" i="4"/>
  <c r="U29" i="4"/>
  <c r="S10" i="4"/>
  <c r="S8" i="4"/>
  <c r="S13" i="4"/>
  <c r="S11" i="4"/>
  <c r="S12" i="4"/>
  <c r="S15" i="4"/>
  <c r="S21" i="4"/>
  <c r="S22" i="4"/>
  <c r="S25" i="4"/>
  <c r="S26" i="4"/>
  <c r="S55" i="4"/>
  <c r="S39" i="4"/>
  <c r="S57" i="4"/>
  <c r="S52" i="4"/>
  <c r="S54" i="4"/>
  <c r="S37" i="4"/>
  <c r="S47" i="4"/>
  <c r="S48" i="4"/>
  <c r="S43" i="4"/>
  <c r="S49" i="4"/>
  <c r="S44" i="4"/>
  <c r="S35" i="4"/>
  <c r="S59" i="4"/>
  <c r="S60" i="4"/>
  <c r="S64" i="4"/>
  <c r="S69" i="4"/>
  <c r="S66" i="4"/>
  <c r="S73" i="4"/>
  <c r="S72" i="4"/>
  <c r="S83" i="4"/>
  <c r="S89" i="4"/>
  <c r="S90" i="4"/>
  <c r="S95" i="4"/>
  <c r="S116" i="4"/>
  <c r="S100" i="4"/>
  <c r="S103" i="4"/>
  <c r="S31" i="4"/>
  <c r="U105" i="4"/>
  <c r="S86" i="4"/>
  <c r="S107" i="4"/>
  <c r="S108" i="4"/>
  <c r="S114" i="4"/>
  <c r="S109" i="4"/>
  <c r="S110" i="4"/>
  <c r="S111" i="4"/>
  <c r="S112" i="4"/>
  <c r="S113" i="4"/>
  <c r="S117" i="4"/>
  <c r="S3" i="4"/>
  <c r="S122" i="4"/>
  <c r="S125" i="4"/>
  <c r="S23" i="4"/>
  <c r="S98" i="4"/>
  <c r="S81" i="4"/>
  <c r="U40" i="4"/>
  <c r="U63" i="4"/>
  <c r="U101" i="4"/>
  <c r="S99" i="4"/>
  <c r="U19" i="4"/>
  <c r="T105" i="4"/>
  <c r="S104" i="4"/>
  <c r="U126" i="4"/>
  <c r="S129" i="4"/>
  <c r="U94" i="4"/>
  <c r="U93" i="4"/>
  <c r="S93" i="4"/>
  <c r="T119" i="4"/>
  <c r="T46" i="4"/>
  <c r="U99" i="4"/>
  <c r="U18" i="4"/>
  <c r="T80" i="4"/>
  <c r="U67" i="4"/>
  <c r="U75" i="4"/>
  <c r="U92" i="4"/>
  <c r="S97" i="4"/>
  <c r="S4" i="4"/>
  <c r="S6" i="4"/>
  <c r="U85" i="4"/>
  <c r="U11" i="4"/>
  <c r="U25" i="4"/>
  <c r="S24" i="4"/>
  <c r="U39" i="4"/>
  <c r="S56" i="4"/>
  <c r="U37" i="4"/>
  <c r="S46" i="4"/>
  <c r="U49" i="4"/>
  <c r="S51" i="4"/>
  <c r="U60" i="4"/>
  <c r="S62" i="4"/>
  <c r="U70" i="4"/>
  <c r="S78" i="4"/>
  <c r="U76" i="4"/>
  <c r="S82" i="4"/>
  <c r="U97" i="4"/>
  <c r="S96" i="4"/>
  <c r="U103" i="4"/>
  <c r="S29" i="4"/>
  <c r="U104" i="4"/>
  <c r="S121" i="4"/>
  <c r="U129" i="4"/>
  <c r="S128" i="4"/>
  <c r="T114" i="4"/>
  <c r="T56" i="4"/>
  <c r="T103" i="4"/>
  <c r="T24" i="4"/>
  <c r="U78" i="4"/>
  <c r="U6" i="4"/>
  <c r="S9" i="4"/>
  <c r="S20" i="4"/>
  <c r="S33" i="4"/>
  <c r="S36" i="4"/>
  <c r="S38" i="4"/>
  <c r="S45" i="4"/>
  <c r="S34" i="4"/>
  <c r="S65" i="4"/>
  <c r="S77" i="4"/>
  <c r="S88" i="4"/>
  <c r="S115" i="4"/>
  <c r="T31" i="4"/>
  <c r="S30" i="4"/>
  <c r="S87" i="4"/>
  <c r="S118" i="4"/>
  <c r="S119" i="4"/>
  <c r="S123" i="4"/>
  <c r="S124" i="4"/>
  <c r="S130" i="4"/>
  <c r="S131" i="4"/>
  <c r="T98" i="4"/>
  <c r="U62" i="4"/>
  <c r="S16" i="4"/>
  <c r="U20" i="4"/>
  <c r="U33" i="4"/>
  <c r="U36" i="4"/>
  <c r="U38" i="4"/>
  <c r="U45" i="4"/>
  <c r="U34" i="4"/>
  <c r="U65" i="4"/>
  <c r="U77" i="4"/>
  <c r="S71" i="4"/>
  <c r="U88" i="4"/>
  <c r="U115" i="4"/>
  <c r="U87" i="4"/>
  <c r="U118" i="4"/>
  <c r="U123" i="4"/>
  <c r="T90" i="4"/>
  <c r="U51" i="4"/>
  <c r="S17" i="4"/>
  <c r="U7" i="4"/>
  <c r="S28" i="4"/>
  <c r="S41" i="4"/>
  <c r="S58" i="4"/>
  <c r="S50" i="4"/>
  <c r="S61" i="4"/>
  <c r="S68" i="4"/>
  <c r="S74" i="4"/>
  <c r="S91" i="4"/>
  <c r="S102" i="4"/>
  <c r="S18" i="4"/>
  <c r="T109" i="4"/>
  <c r="T3" i="4"/>
  <c r="T125" i="4"/>
  <c r="S127" i="4"/>
  <c r="S106" i="4"/>
  <c r="T131" i="4"/>
  <c r="U109" i="4"/>
  <c r="S84" i="4"/>
  <c r="U17" i="4"/>
  <c r="S7" i="4"/>
  <c r="S14" i="4"/>
  <c r="U28" i="4"/>
  <c r="S27" i="4"/>
  <c r="U41" i="4"/>
  <c r="S42" i="4"/>
  <c r="U58" i="4"/>
  <c r="S53" i="4"/>
  <c r="U50" i="4"/>
  <c r="S40" i="4"/>
  <c r="U61" i="4"/>
  <c r="S63" i="4"/>
  <c r="U68" i="4"/>
  <c r="S67" i="4"/>
  <c r="U74" i="4"/>
  <c r="S75" i="4"/>
  <c r="T91" i="4"/>
  <c r="S92" i="4"/>
  <c r="U102" i="4"/>
  <c r="S101" i="4"/>
  <c r="S19" i="4"/>
  <c r="S105" i="4"/>
  <c r="U127" i="4"/>
  <c r="S126" i="4"/>
  <c r="U106" i="4"/>
  <c r="S94" i="4"/>
  <c r="T124" i="4"/>
  <c r="U79" i="4"/>
  <c r="U80" i="4"/>
  <c r="S80" i="4"/>
  <c r="T79" i="4"/>
  <c r="U81" i="4"/>
  <c r="T32" i="4"/>
  <c r="U9" i="4"/>
  <c r="T30" i="4"/>
  <c r="T130" i="4"/>
  <c r="T123" i="4"/>
  <c r="T118" i="4"/>
  <c r="T108" i="4"/>
  <c r="T101" i="4"/>
  <c r="T95" i="4"/>
  <c r="T89" i="4"/>
  <c r="T76" i="4"/>
  <c r="T70" i="4"/>
  <c r="T60" i="4"/>
  <c r="T49" i="4"/>
  <c r="T37" i="4"/>
  <c r="T39" i="4"/>
  <c r="T25" i="4"/>
  <c r="T16" i="4"/>
  <c r="T8" i="4"/>
  <c r="T23" i="4"/>
  <c r="T122" i="4"/>
  <c r="T117" i="4"/>
  <c r="T107" i="4"/>
  <c r="T102" i="4"/>
  <c r="T96" i="4"/>
  <c r="T88" i="4"/>
  <c r="T75" i="4"/>
  <c r="T67" i="4"/>
  <c r="T63" i="4"/>
  <c r="T40" i="4"/>
  <c r="T53" i="4"/>
  <c r="T42" i="4"/>
  <c r="T27" i="4"/>
  <c r="T15" i="4"/>
  <c r="T10" i="4"/>
  <c r="T128" i="4"/>
  <c r="T121" i="4"/>
  <c r="T113" i="4"/>
  <c r="T87" i="4"/>
  <c r="T100" i="4"/>
  <c r="T97" i="4"/>
  <c r="T29" i="4"/>
  <c r="T74" i="4"/>
  <c r="T68" i="4"/>
  <c r="T61" i="4"/>
  <c r="T50" i="4"/>
  <c r="T58" i="4"/>
  <c r="T41" i="4"/>
  <c r="T28" i="4"/>
  <c r="T14" i="4"/>
  <c r="T7" i="4"/>
  <c r="T129" i="4"/>
  <c r="T112" i="4"/>
  <c r="T86" i="4"/>
  <c r="T116" i="4"/>
  <c r="T93" i="4"/>
  <c r="T83" i="4"/>
  <c r="T72" i="4"/>
  <c r="T66" i="4"/>
  <c r="T59" i="4"/>
  <c r="T43" i="4"/>
  <c r="T54" i="4"/>
  <c r="T55" i="4"/>
  <c r="T22" i="4"/>
  <c r="T17" i="4"/>
  <c r="T85" i="4"/>
  <c r="T126" i="4"/>
  <c r="T111" i="4"/>
  <c r="T106" i="4"/>
  <c r="T115" i="4"/>
  <c r="T94" i="4"/>
  <c r="T82" i="4"/>
  <c r="T71" i="4"/>
  <c r="T69" i="4"/>
  <c r="T35" i="4"/>
  <c r="T48" i="4"/>
  <c r="T52" i="4"/>
  <c r="T36" i="4"/>
  <c r="T21" i="4"/>
  <c r="T12" i="4"/>
  <c r="T84" i="4"/>
  <c r="U4" i="4"/>
  <c r="T127" i="4"/>
  <c r="T110" i="4"/>
  <c r="T104" i="4"/>
  <c r="T92" i="4"/>
  <c r="T77" i="4"/>
  <c r="T65" i="4"/>
  <c r="T34" i="4"/>
  <c r="T45" i="4"/>
  <c r="T38" i="4"/>
  <c r="T33" i="4"/>
  <c r="T20" i="4"/>
  <c r="T11" i="4"/>
  <c r="T6" i="4"/>
  <c r="T73" i="4"/>
  <c r="T64" i="4"/>
  <c r="T44" i="4"/>
  <c r="T47" i="4"/>
  <c r="T57" i="4"/>
  <c r="T26" i="4"/>
  <c r="T19" i="4"/>
  <c r="T13" i="4"/>
  <c r="T5" i="4"/>
  <c r="U30" i="4"/>
  <c r="U31" i="4"/>
  <c r="AD30" i="53"/>
  <c r="AC30" i="53"/>
  <c r="AD28" i="53"/>
  <c r="AC28" i="53"/>
  <c r="D52" i="54"/>
  <c r="D51" i="54"/>
  <c r="E50" i="54"/>
  <c r="D50" i="54"/>
  <c r="E48" i="54"/>
  <c r="D48" i="54"/>
  <c r="E30" i="54"/>
  <c r="D30" i="54"/>
  <c r="G52" i="17" l="1"/>
  <c r="G48" i="17"/>
  <c r="G29" i="17"/>
  <c r="G27" i="17"/>
  <c r="G28" i="17" s="1"/>
  <c r="C11" i="30"/>
  <c r="C11" i="29"/>
  <c r="G31" i="17" l="1"/>
  <c r="U30" i="53"/>
  <c r="AA28" i="53"/>
  <c r="Z28" i="53"/>
  <c r="X28" i="53"/>
  <c r="V28" i="53"/>
  <c r="T28" i="53"/>
  <c r="Q28" i="53"/>
  <c r="P28" i="53"/>
  <c r="O28" i="53"/>
  <c r="N28" i="53"/>
  <c r="L28" i="53"/>
  <c r="K28" i="53"/>
  <c r="J28" i="53"/>
  <c r="I28" i="53"/>
  <c r="G28" i="53"/>
  <c r="F28" i="53"/>
  <c r="D28" i="53"/>
  <c r="R27" i="53"/>
  <c r="R28" i="53" s="1"/>
  <c r="H28" i="35" l="1"/>
  <c r="J28" i="35"/>
  <c r="E30" i="35"/>
  <c r="F30" i="35"/>
  <c r="H30" i="35"/>
  <c r="E30" i="52"/>
  <c r="D30" i="52"/>
  <c r="E28" i="52"/>
  <c r="D28" i="52"/>
  <c r="E30" i="51"/>
  <c r="D30" i="51"/>
  <c r="D28" i="51"/>
  <c r="G30" i="44"/>
  <c r="P91" i="4" s="1"/>
  <c r="E30" i="44"/>
  <c r="P89" i="4" s="1"/>
  <c r="P88" i="4"/>
  <c r="G28" i="44"/>
  <c r="M91" i="4" s="1"/>
  <c r="F28" i="44"/>
  <c r="M90" i="4" s="1"/>
  <c r="E28" i="44"/>
  <c r="M89" i="4" s="1"/>
  <c r="D28" i="44"/>
  <c r="M88" i="4" s="1"/>
  <c r="E30" i="49"/>
  <c r="D30" i="49"/>
  <c r="E28" i="49"/>
  <c r="D28" i="49"/>
  <c r="D28" i="48"/>
  <c r="E28" i="48"/>
  <c r="F28" i="48"/>
  <c r="G28" i="48"/>
  <c r="H28" i="48"/>
  <c r="D30" i="48"/>
  <c r="E30" i="48"/>
  <c r="F30" i="48"/>
  <c r="G30" i="48"/>
  <c r="H30" i="48"/>
  <c r="H48" i="48"/>
  <c r="F30" i="42" l="1"/>
  <c r="E30" i="42"/>
  <c r="P21" i="4" s="1"/>
  <c r="F28" i="42"/>
  <c r="E28" i="42"/>
  <c r="E30" i="43"/>
  <c r="P104" i="4" s="1"/>
  <c r="E28" i="43"/>
  <c r="M104" i="4" s="1"/>
  <c r="M105" i="4" l="1"/>
  <c r="E28" i="38" l="1"/>
  <c r="D28" i="38"/>
  <c r="E30" i="37"/>
  <c r="D30" i="37"/>
  <c r="D51" i="35"/>
  <c r="D30" i="35"/>
  <c r="D30" i="34"/>
  <c r="D28" i="34"/>
  <c r="F48" i="30"/>
  <c r="E48" i="30"/>
  <c r="B46" i="30"/>
  <c r="E28" i="30"/>
  <c r="D28" i="30"/>
  <c r="F30" i="29"/>
  <c r="D30" i="29"/>
  <c r="D30" i="27"/>
  <c r="D28" i="24" l="1"/>
  <c r="D46" i="22"/>
  <c r="D30" i="22"/>
  <c r="P99" i="4" s="1"/>
  <c r="E56" i="21"/>
  <c r="E28" i="21"/>
  <c r="D28" i="21"/>
  <c r="E24" i="21"/>
  <c r="D24" i="21"/>
  <c r="D30" i="19"/>
  <c r="D28" i="19"/>
  <c r="I80" i="17"/>
  <c r="G80" i="17"/>
  <c r="E80" i="17"/>
  <c r="E77" i="17"/>
  <c r="E78" i="17" s="1"/>
  <c r="E81" i="17" s="1"/>
  <c r="D30" i="17" s="1"/>
  <c r="J76" i="17"/>
  <c r="I76" i="17"/>
  <c r="I77" i="17" s="1"/>
  <c r="I78" i="17" s="1"/>
  <c r="I81" i="17" s="1"/>
  <c r="F30" i="17" s="1"/>
  <c r="H76" i="17"/>
  <c r="G76" i="17"/>
  <c r="G77" i="17" s="1"/>
  <c r="G78" i="17" s="1"/>
  <c r="G81" i="17" s="1"/>
  <c r="E30" i="17" s="1"/>
  <c r="F76" i="17"/>
  <c r="E76" i="17"/>
  <c r="G69" i="17"/>
  <c r="F28" i="17"/>
  <c r="E28" i="17"/>
  <c r="D28" i="17"/>
  <c r="D30" i="16"/>
  <c r="D28" i="16"/>
  <c r="D24" i="16"/>
  <c r="P4" i="4"/>
  <c r="D28" i="13" l="1"/>
  <c r="D24" i="13"/>
  <c r="E30" i="12"/>
  <c r="F28" i="12"/>
  <c r="E28" i="12"/>
  <c r="D24" i="11"/>
  <c r="D30" i="10"/>
  <c r="F24" i="10"/>
  <c r="E24" i="10"/>
  <c r="D24" i="10"/>
  <c r="H48" i="8"/>
  <c r="G48" i="8"/>
  <c r="F48" i="8"/>
  <c r="E48" i="8"/>
  <c r="D48" i="8"/>
  <c r="H30" i="8"/>
  <c r="G30" i="8"/>
  <c r="F30" i="8"/>
  <c r="E30" i="8"/>
  <c r="D30" i="8"/>
  <c r="J28" i="8"/>
  <c r="I28" i="8"/>
  <c r="O38" i="4"/>
  <c r="M28" i="53"/>
  <c r="M3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tc={B7150585-D5F6-487B-B9DC-118B9786961B}</author>
  </authors>
  <commentList>
    <comment ref="O20" authorId="0" shapeId="0" xr:uid="{B7150585-D5F6-487B-B9DC-118B9786961B}">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This is monthly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tc={0DA635AC-B0ED-4FEA-A1E1-78D6B60515D5}</author>
    <author>tc={7BBD26B0-92D2-492E-887B-3B207A1E862F}</author>
    <author>tc={A93BF46F-B57E-4D07-918D-EF78B5B595AF}</author>
    <author>tc={56ECFC0F-C92A-4EF8-B099-3EFD57E12200}</author>
  </authors>
  <commentList>
    <comment ref="D19" authorId="0" shapeId="0" xr:uid="{0DA635AC-B0ED-4FEA-A1E1-78D6B60515D5}">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Does Allianz own any buildings in Brisbane?</t>
        </r>
      </text>
    </comment>
    <comment ref="D24" authorId="1" shapeId="0" xr:uid="{7BBD26B0-92D2-492E-887B-3B207A1E862F}">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7993 sqm is the total area rented minus the 3441 sqm, which are subleased</t>
        </r>
      </text>
    </comment>
    <comment ref="D28" authorId="2" shapeId="0" xr:uid="{A93BF46F-B57E-4D07-918D-EF78B5B595AF}">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$762.64 / sqm
Information provided in December 2022 new rental price with indexation of 3,75% is $790.82</t>
        </r>
      </text>
    </comment>
    <comment ref="D30" authorId="3" shapeId="0" xr:uid="{56ECFC0F-C92A-4EF8-B099-3EFD57E1220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$227,619.38 - Landlord ( Base building cleaning, electricity etc.$28.48 per sqm
$391,967 - Direct to vendors - Tenancy cleaning, security, office &amp; kitchen suppliers etc
Total $619,568 = $77.52/sqm
Refer to breakdown List below, these are costs paid to the landlord.
plus 111.677 (annual building signage)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tc={7C40BBD7-54C8-4CC1-B95F-8759BD9FBD01}</author>
    <author>tc={5A4D8DA1-6B80-41B1-A593-156713F16E19}</author>
    <author>tc={F655181E-6D20-418F-89B7-B55583DE6539}</author>
    <author>tc={7785372D-D2C6-4F91-9E78-20E103E467B8}</author>
  </authors>
  <commentList>
    <comment ref="D24" authorId="0" shapeId="0" xr:uid="{7C40BBD7-54C8-4CC1-B95F-8759BD9FBD01}">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Office space 761 m²
Reply:
    Office space 790 m²</t>
        </r>
      </text>
    </comment>
    <comment ref="D29" authorId="1" shapeId="0" xr:uid="{5A4D8DA1-6B80-41B1-A593-156713F16E19}">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Annual adjustment starting January 2024</t>
        </r>
      </text>
    </comment>
    <comment ref="D30" authorId="2" shapeId="0" xr:uid="{F655181E-6D20-418F-89B7-B55583DE6539}">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11,85 € OPEX plus 2,60 € Parking (112 € x 20 spots / 861 m²)</t>
        </r>
      </text>
    </comment>
    <comment ref="F30" authorId="3" shapeId="0" xr:uid="{7785372D-D2C6-4F91-9E78-20E103E467B8}">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includes also the parking fees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Alexander Agcaoili</author>
  </authors>
  <commentList>
    <comment ref="L12" authorId="0" shapeId="0" xr:uid="{2C2B885D-7E52-44DD-9AFE-29F2EF37A6ED}">
      <text>
        <r>
          <rPr>
            <b/>
            <sz val="9"/>
            <color indexed="81"/>
            <rFont val="Tahoma"/>
            <family val="2"/>
          </rPr>
          <t>For storage and archiving of all claims</t>
        </r>
      </text>
    </comment>
    <comment ref="D25" authorId="0" shapeId="0" xr:uid="{6AD0C9D4-94AF-4503-8A56-D1D150BBD0A0}">
      <text>
        <r>
          <rPr>
            <b/>
            <sz val="9"/>
            <color indexed="81"/>
            <rFont val="Tahoma"/>
            <family val="2"/>
          </rPr>
          <t>Clause 7.7 - Parking spaces no. 18, 25 &amp; 27</t>
        </r>
      </text>
    </comment>
    <comment ref="E25" authorId="0" shapeId="0" xr:uid="{48E9784A-7C54-4BBD-8E5A-81C79062B723}">
      <text>
        <r>
          <rPr>
            <b/>
            <sz val="9"/>
            <color indexed="81"/>
            <rFont val="Tahoma"/>
            <family val="2"/>
          </rPr>
          <t>Clause 7.7 - Parking spaces no. 64, 84 &amp; 85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Alexander Agcaoili</author>
  </authors>
  <commentList>
    <comment ref="L12" authorId="0" shapeId="0" xr:uid="{81BC063B-6394-4B02-9583-3A35E54464D2}">
      <text>
        <r>
          <rPr>
            <b/>
            <sz val="9"/>
            <color indexed="81"/>
            <rFont val="Tahoma"/>
            <family val="2"/>
          </rPr>
          <t>For storage and archiving of all claims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tc={0C80650D-8E42-46DD-98A1-1FC6872B961A}</author>
    <author>tc={C6882553-3D2C-4671-B3D1-48855EDDC192}</author>
  </authors>
  <commentList>
    <comment ref="D30" authorId="0" shapeId="0" xr:uid="{0C80650D-8E42-46DD-98A1-1FC6872B961A}">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includes also the parking fees</t>
        </r>
      </text>
    </comment>
    <comment ref="E30" authorId="1" shapeId="0" xr:uid="{C6882553-3D2C-4671-B3D1-48855EDDC19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includes parking fees of 2.340 € (3 x 65 x 12) 2.340 / 98,14 = 23,84 €/m²</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tc={51E538CC-D5C3-4FBC-92EC-4B63374D4E45}</author>
    <author>tc={A164DAF4-4A40-4F81-A383-B2FE90DA0B49}</author>
    <author>tc={E0892B25-510C-4646-947E-5F87847ACAFA}</author>
    <author>tc={F3D8C735-9787-4D37-B21A-BA9347D46CBB}</author>
    <author>tc={73E2ED7B-F762-4AFE-9395-C064513CB903}</author>
    <author>tc={F361F49A-96E3-4107-9F18-25CE60754517}</author>
    <author>tc={46F5EE9C-F212-420E-8FBE-AEA1C483D11D}</author>
  </authors>
  <commentList>
    <comment ref="D28" authorId="0" shapeId="0" xr:uid="{51E538CC-D5C3-4FBC-92EC-4B63374D4E45}">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577 + 111.000 (Parking per year) but parking shifted to facility cost</t>
        </r>
      </text>
    </comment>
    <comment ref="E28" authorId="1" shapeId="0" xr:uid="{A164DAF4-4A40-4F81-A383-B2FE90DA0B49}">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600 (no additional charges for 10 parking spots)</t>
        </r>
      </text>
    </comment>
    <comment ref="D29" authorId="2" shapeId="0" xr:uid="{E0892B25-510C-4646-947E-5F87847ACAFA}">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Increase always in April</t>
        </r>
      </text>
    </comment>
    <comment ref="E29" authorId="3" shapeId="0" xr:uid="{F3D8C735-9787-4D37-B21A-BA9347D46CBB}">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Increase always in April</t>
        </r>
      </text>
    </comment>
    <comment ref="D30" authorId="4" shapeId="0" xr:uid="{73E2ED7B-F762-4AFE-9395-C064513CB90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80 BRL plus 111.000 for parking. 111.000/ 3256m² equals 34 BRL per m² so 80 plus 34 equal 114 BRL/m²</t>
        </r>
      </text>
    </comment>
    <comment ref="E30" authorId="5" shapeId="0" xr:uid="{F361F49A-96E3-4107-9F18-25CE6075451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costs are so much lower for synergy reasons</t>
        </r>
      </text>
    </comment>
    <comment ref="D33" authorId="6" shapeId="0" xr:uid="{46F5EE9C-F212-420E-8FBE-AEA1C483D11D}">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(5th floor - 05/09/2016) (8th e 9th - 02/08/2018)</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tc={0F150C39-D58C-4FB9-8AF7-D29B6018C50E}</author>
    <author>tc={EC52FC66-3527-4886-BDEF-B8FA0C6D93C2}</author>
    <author>tc={A3BED21F-0D74-430C-B69E-5505014CAEDF}</author>
    <author>tc={0671984F-ECF5-4E5F-8B2A-B0B040823CAE}</author>
    <author>tc={FFAA09E7-0EFC-4C9F-92E3-59795FC0F19A}</author>
  </authors>
  <commentList>
    <comment ref="D24" authorId="0" shapeId="0" xr:uid="{0F150C39-D58C-4FB9-8AF7-D29B6018C50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Originally there were 1150m² then the space on the first floor was reduced by 155m² (15.11.2023) and the remainder of the fist floor (131,07) will be given back on the 31st of March 2024</t>
        </r>
      </text>
    </comment>
    <comment ref="D28" authorId="1" shapeId="0" xr:uid="{EC52FC66-3527-4886-BDEF-B8FA0C6D93C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39648,96
39648,96 x 12 = 475.787,52/year/m²</t>
        </r>
      </text>
    </comment>
    <comment ref="D30" authorId="2" shapeId="0" xr:uid="{A3BED21F-0D74-430C-B69E-5505014CAEDF}">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Gastos $ 229.945.763 Cop  / 1.150 mtr2 / $ 199.952 mtr2</t>
        </r>
      </text>
    </comment>
    <comment ref="D32" authorId="3" shapeId="0" xr:uid="{0671984F-ECF5-4E5F-8B2A-B0B040823CA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Original answer form Colombia: 13,12%  2023 THE YEAR : $ 618.942.469,01 COP - so this number was taken as total facility cost without rent for 2023 and to be put in lne 32</t>
        </r>
      </text>
    </comment>
    <comment ref="D40" authorId="4" shapeId="0" xr:uid="{FFAA09E7-0EFC-4C9F-92E3-59795FC0F19A}">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31.01.2024
Reply:
    Contract was originally valid until 31.03.2024 and then got extended until 31.03.2026</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tc={11D5459D-B6E3-437B-BD16-6D5587A5C6EC}</author>
    <author>tc={11BF186A-6CBA-4B5B-8E5F-5C88830B0D04}</author>
    <author>tc={B44CF43A-B77A-4979-A84B-0F1DFBF359E7}</author>
    <author>tc={C734BA26-A112-45DD-BB26-6BD25098D620}</author>
    <author>tc={FBCADE97-598B-4BE6-9C66-E64C91B03B93}</author>
    <author>tc={69187016-CCE4-44E8-A20A-507F64704C8F}</author>
    <author>tc={ACC62624-226A-4EB0-AEE8-3C58B8D5F627}</author>
    <author>tc={007273C4-6884-457B-A00C-5E2C5D34FEB7}</author>
    <author>tc={BF216B24-A45B-4C38-A832-5FBC7E8A3FC3}</author>
    <author>tc={0ECC0130-DC10-44D5-8C1B-53266E32A638}</author>
    <author>tc={69EC56AD-7B30-4B03-85D2-81A0476585F2}</author>
    <author>tc={91B4350B-1232-468A-8D22-58D2A75988D3}</author>
    <author>tc={162D4E29-014F-446E-A3F7-DC13AD0E762C}</author>
    <author>tc={1FEDC149-DFEE-4747-B047-D13D31050984}</author>
    <author>tc={AB204038-2E54-4B66-8E4F-31034D82E4D5}</author>
    <author>tc={5A931596-BFBF-4F20-9537-E39AAE9D9D6A}</author>
  </authors>
  <commentList>
    <comment ref="D28" authorId="0" shapeId="0" xr:uid="{11D5459D-B6E3-437B-BD16-6D5587A5C6EC}">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4.84/day/m²
4.84 x 365 = 1766,6</t>
        </r>
      </text>
    </comment>
    <comment ref="E28" authorId="1" shapeId="0" xr:uid="{11BF186A-6CBA-4B5B-8E5F-5C88830B0D04}">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Marinette Email 11.06.2024: 70/month/m²
70 x 12 =840 /year/m²</t>
        </r>
      </text>
    </comment>
    <comment ref="F28" authorId="2" shapeId="0" xr:uid="{B44CF43A-B77A-4979-A84B-0F1DFBF359E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167.340,33/month
167.340,33 / 550,16 = 304,17/month/m² x 12 = 3.650,04/year/m²</t>
        </r>
      </text>
    </comment>
    <comment ref="G28" authorId="3" shapeId="0" xr:uid="{C734BA26-A112-45DD-BB26-6BD25098D62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8000/month
8000 / 24 = 333,32/month/m²
333,32 x 12 = 3999,84/year/m²</t>
        </r>
      </text>
    </comment>
    <comment ref="D30" authorId="4" shapeId="0" xr:uid="{FBCADE97-598B-4BE6-9C66-E64C91B03B9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Marinette Email 11.06.: 2.383.717 / 2845 = 837,86</t>
        </r>
      </text>
    </comment>
    <comment ref="E30" authorId="5" shapeId="0" xr:uid="{69187016-CCE4-44E8-A20A-507F64704C8F}">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Email Marinette: 1160795 + 210909 = 1.371.704 / 2197 = 624,35</t>
        </r>
      </text>
    </comment>
    <comment ref="F30" authorId="6" shapeId="0" xr:uid="{ACC62624-226A-4EB0-AEE8-3C58B8D5F62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260.568 + 416.775 = 677.343 / 550 = 1231,53</t>
        </r>
      </text>
    </comment>
    <comment ref="G30" authorId="7" shapeId="0" xr:uid="{007273C4-6884-457B-A00C-5E2C5D34FEB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Email Marinette 11.06.2024: 3000 / 24 = 125</t>
        </r>
      </text>
    </comment>
    <comment ref="D46" authorId="8" shapeId="0" xr:uid="{BF216B24-A45B-4C38-A832-5FBC7E8A3FC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Marinette Email 11.06.2024</t>
        </r>
      </text>
    </comment>
    <comment ref="E46" authorId="9" shapeId="0" xr:uid="{0ECC0130-DC10-44D5-8C1B-53266E32A638}">
      <text>
        <r>
          <rPr>
            <sz val="10"/>
            <color theme="1"/>
            <rFont val="Arial"/>
            <family val="2"/>
          </rPr>
          <t xml:space="preserve">[Threaded comment]
Your version of Excel allows you to read this threaded comment; however, any edits to it will get removed if the file is opened in a newer version of Excel. Learn more: https://go.microsoft.com/fwlink/?linkid=870924
Comment:
    Update  Email Marinette 11.06.2024: 256
</t>
        </r>
      </text>
    </comment>
    <comment ref="F46" authorId="10" shapeId="0" xr:uid="{69EC56AD-7B30-4B03-85D2-81A0476585F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Email Marinette 11.06.2024: 38</t>
        </r>
      </text>
    </comment>
    <comment ref="G46" authorId="11" shapeId="0" xr:uid="{91B4350B-1232-468A-8D22-58D2A75988D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Regular HC：2
HRO：0</t>
        </r>
      </text>
    </comment>
    <comment ref="D50" authorId="12" shapeId="0" xr:uid="{162D4E29-014F-446E-A3F7-DC13AD0E762C}">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Marinette Email 11.06.2024</t>
        </r>
      </text>
    </comment>
    <comment ref="E50" authorId="13" shapeId="0" xr:uid="{1FEDC149-DFEE-4747-B047-D13D31050984}">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Email Marinette 11.06.2024: 398</t>
        </r>
      </text>
    </comment>
    <comment ref="F50" authorId="14" shapeId="0" xr:uid="{AB204038-2E54-4B66-8E4F-31034D82E4D5}">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Marinette Email 11.06.2024: 52</t>
        </r>
      </text>
    </comment>
    <comment ref="G50" authorId="15" shapeId="0" xr:uid="{5A931596-BFBF-4F20-9537-E39AAE9D9D6A}">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Email Marinette 11.06.2024: 2</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tc={B8C67585-A5A5-4B0F-B100-F2393C0797E2}</author>
    <author>tc={074EF503-ACEC-43B8-B964-704939FEDDEE}</author>
    <author>tc={BA2C0394-D27D-4D74-ACB0-D6C35AEA8A94}</author>
    <author>tc={31C2BADC-2E00-467D-9397-5FA909B0D1E7}</author>
    <author>tc={A43221C4-D567-4138-8E77-8C1CD2C44EAB}</author>
    <author>tc={C626D160-A67A-49A5-9C08-817ABE327B93}</author>
    <author>tc={B8114AAF-5AA8-4CDE-8C66-4EDBEA1EF2FA}</author>
    <author>tc={F2ED0477-D134-41B5-B665-2CE3ECA2D9BC}</author>
  </authors>
  <commentList>
    <comment ref="D15" authorId="0" shapeId="0" xr:uid="{B8C67585-A5A5-4B0F-B100-F2393C0797E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Prague 7</t>
        </r>
      </text>
    </comment>
    <comment ref="E15" authorId="1" shapeId="0" xr:uid="{074EF503-ACEC-43B8-B964-704939FEDDE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Bratislava I.</t>
        </r>
      </text>
    </comment>
    <comment ref="D24" authorId="2" shapeId="0" xr:uid="{BA2C0394-D27D-4D74-ACB0-D6C35AEA8A94}">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offices 1293,19 m²
storage 98 m²</t>
        </r>
      </text>
    </comment>
    <comment ref="E24" authorId="3" shapeId="0" xr:uid="{31C2BADC-2E00-467D-9397-5FA909B0D1E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offices 74 m²</t>
        </r>
      </text>
    </comment>
    <comment ref="D28" authorId="4" shapeId="0" xr:uid="{A43221C4-D567-4138-8E77-8C1CD2C44EAB}">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offices 11,60 EUR/m²
storage 5,45 EUR/m²
parking 98,3 EUR/place
all rent but offices go into the services and facilities costs</t>
        </r>
      </text>
    </comment>
    <comment ref="E28" authorId="5" shapeId="0" xr:uid="{C626D160-A67A-49A5-9C08-817ABE327B9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offices 14 EUR/m²</t>
        </r>
      </text>
    </comment>
    <comment ref="D30" authorId="6" shapeId="0" xr:uid="{B8114AAF-5AA8-4CDE-8C66-4EDBEA1EF2FA}">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offices 97 CZK/m²
storage 53,53 CZK/m²
parking 381,2 CZK/place
97 x 1293,19 =125.439,43
53,53 x 98 = 5.245,96
381,2 x 14 = 5.336,8
total of 136.022,17 CZK =5.731,06 € x 12 months = 68.772,72 €
plus rent storage and rent parking
storage 98 x 5,45 € = 534,1 € x 12 months = 6.409,2 €
parking 14 x 93,3 = 1.306,2 € x 12 months = 15.674,4 €
Total costs 68.772,72 + 6.409,2 + 15.674,4 = 90.855,8€</t>
        </r>
      </text>
    </comment>
    <comment ref="E30" authorId="7" shapeId="0" xr:uid="{F2ED0477-D134-41B5-B665-2CE3ECA2D9BC}">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4,2 EUR/m²
4.2 x 12 = 50,4</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Alexander Agcaoili</author>
    <author>tc={11DF5E19-D66D-40F1-BEAB-A9509DDEC77A}</author>
  </authors>
  <commentList>
    <comment ref="F12" authorId="0" shapeId="0" xr:uid="{C3488373-C453-49A1-ACD3-62E70F13761B}">
      <text>
        <r>
          <rPr>
            <b/>
            <sz val="9"/>
            <color indexed="81"/>
            <rFont val="Tahoma"/>
            <family val="2"/>
          </rPr>
          <t>For storage and archiving of all claims</t>
        </r>
      </text>
    </comment>
    <comment ref="L12" authorId="0" shapeId="0" xr:uid="{313B939D-5F5E-433E-BE5D-6709F1EFAC88}">
      <text>
        <r>
          <rPr>
            <b/>
            <sz val="9"/>
            <color indexed="81"/>
            <rFont val="Tahoma"/>
            <family val="2"/>
          </rPr>
          <t>For storage and archiving of all claims</t>
        </r>
      </text>
    </comment>
    <comment ref="D25" authorId="0" shapeId="0" xr:uid="{BB4E7CB9-7BB6-4F64-8A94-57287434F441}">
      <text>
        <r>
          <rPr>
            <b/>
            <sz val="9"/>
            <color indexed="81"/>
            <rFont val="Tahoma"/>
            <family val="2"/>
          </rPr>
          <t>Refer to Column K for Car Parking Contract Details</t>
        </r>
      </text>
    </comment>
    <comment ref="D27" authorId="0" shapeId="0" xr:uid="{DA49F6F6-CE70-49D7-8D1D-B0BA2EDCE749}">
      <text>
        <r>
          <rPr>
            <b/>
            <sz val="9"/>
            <color indexed="81"/>
            <rFont val="Tahoma"/>
            <family val="2"/>
          </rPr>
          <t>• % cost allocation to AWC: 28.2%</t>
        </r>
        <r>
          <rPr>
            <sz val="9"/>
            <color indexed="81"/>
            <rFont val="Tahoma"/>
            <family val="2"/>
          </rPr>
          <t xml:space="preserve">
</t>
        </r>
      </text>
    </comment>
    <comment ref="D28" authorId="1" shapeId="0" xr:uid="{11DF5E19-D66D-40F1-BEAB-A9509DDEC77A}">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Rent + service fee is 650 EGP</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Alexander Agcaoili</author>
    <author>tc={9B4B826E-6E80-47E9-AC6D-E3AE5163CC07}</author>
    <author>tc={151AD9F6-05E4-4815-965A-991E5973AB52}</author>
    <author>tc={47962AEC-D51A-48B0-BD5A-0A7F5585D40C}</author>
    <author>tc={32E0BC39-5D04-45C7-A9C9-30EDDF82F1D2}</author>
    <author>tc={8C24D34D-077F-48B2-A02A-CB5BEB2D0AAD}</author>
    <author>COCHARD Martine</author>
    <author>tc={9DD9B280-987A-47F2-8189-8BD40A786FC7}</author>
    <author>tc={C68557D0-5A59-4C55-9FF1-76089B13C715}</author>
  </authors>
  <commentList>
    <comment ref="L12" authorId="0" shapeId="0" xr:uid="{C2A59206-6363-410A-A7CE-BC1E45CA36C3}">
      <text>
        <r>
          <rPr>
            <b/>
            <sz val="9"/>
            <color indexed="81"/>
            <rFont val="Tahoma"/>
            <family val="2"/>
          </rPr>
          <t>For storage and archiving of all claims</t>
        </r>
      </text>
    </comment>
    <comment ref="I19" authorId="1" shapeId="0" xr:uid="{9B4B826E-6E80-47E9-AC6D-E3AE5163CC0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No but shared with AWP France</t>
        </r>
      </text>
    </comment>
    <comment ref="D28" authorId="2" shapeId="0" xr:uid="{151AD9F6-05E4-4815-965A-991E5973AB5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353,15 / year/m2 without parking, 1 324,34 /year / each parking space</t>
        </r>
      </text>
    </comment>
    <comment ref="E28" authorId="3" shapeId="0" xr:uid="{47962AEC-D51A-48B0-BD5A-0A7F5585D40C}">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127,46 /year/m2 including the parking</t>
        </r>
      </text>
    </comment>
    <comment ref="D30" authorId="4" shapeId="0" xr:uid="{32E0BC39-5D04-45C7-A9C9-30EDDF82F1D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Perking should be included here:  1 324,34 /year / each parking space</t>
        </r>
      </text>
    </comment>
    <comment ref="I40" authorId="5" shapeId="0" xr:uid="{8C24D34D-077F-48B2-A02A-CB5BEB2D0AAD}">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Original contract ended 30/4/2025. Renewed in 2024 for + 9 years (6+3)</t>
        </r>
      </text>
    </comment>
    <comment ref="G41" authorId="6" shapeId="0" xr:uid="{43C2614E-A2F7-4B56-A52B-578A6FB67EF9}">
      <text>
        <r>
          <rPr>
            <b/>
            <sz val="9"/>
            <color indexed="81"/>
            <rFont val="Tahoma"/>
            <family val="2"/>
          </rPr>
          <t>COCHARD Martine:</t>
        </r>
        <r>
          <rPr>
            <sz val="9"/>
            <color indexed="81"/>
            <rFont val="Tahoma"/>
            <family val="2"/>
          </rPr>
          <t xml:space="preserve">
Landlord's consent obligatory</t>
        </r>
      </text>
    </comment>
    <comment ref="F42" authorId="7" shapeId="0" xr:uid="{9DD9B280-987A-47F2-8189-8BD40A786FC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Service contract will be in place starting Sept 15th with Multiasistencia (30 workstations to be confirmed).</t>
        </r>
      </text>
    </comment>
    <comment ref="I42" authorId="8" shapeId="0" xr:uid="{C68557D0-5A59-4C55-9FF1-76089B13C715}">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Service contract with Health - subrent 70 workstations
Reinvoicing of part of 1st floor to AWP F</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tc={82158C85-56B8-4B37-BAE6-5205886B6ECA}</author>
  </authors>
  <commentList>
    <comment ref="AE29" authorId="0" shapeId="0" xr:uid="{82158C85-56B8-4B37-BAE6-5205886B6ECA}">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1st increase on 01.05.2023, 2nd increase on 01.05.2025</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tc={D211D587-4FB6-4D12-870C-D9B7D2C06BCC}</author>
    <author>tc={DAEC16B4-531A-4F4E-A9E6-79DF2338FBB4}</author>
    <author>tc={C43CB912-F4B8-402B-B3ED-5E54F77C5885}</author>
    <author>tc={9E12662B-AE07-46C0-8A73-CE1B778D1964}</author>
  </authors>
  <commentList>
    <comment ref="G22" authorId="0" shapeId="0" xr:uid="{D211D587-4FB6-4D12-870C-D9B7D2C06BCC}">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Different appartments form different landlords were merged into one office</t>
        </r>
      </text>
    </comment>
    <comment ref="E30" authorId="1" shapeId="0" xr:uid="{DAEC16B4-531A-4F4E-A9E6-79DF2338FBB4}">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by Anastasia Alexiou on the 4th of April 2025</t>
        </r>
      </text>
    </comment>
    <comment ref="G30" authorId="2" shapeId="0" xr:uid="{C43CB912-F4B8-402B-B3ED-5E54F77C5885}">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Update by Anastasia Alexiou on the 4th of April 2025</t>
        </r>
      </text>
    </comment>
    <comment ref="G48" authorId="3" shapeId="0" xr:uid="{9E12662B-AE07-46C0-8A73-CE1B778D1964}">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Comment from Nikoletta: Hybrid Scheme WFH</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tc={32168BDB-CEF8-49A2-875D-29585759CC58}</author>
    <author>tc={6A5F405C-A23D-4ECF-A218-4FE8369E2B8F}</author>
    <author>tc={D314935D-F1C7-4108-BE4B-78F663D6DA2B}</author>
  </authors>
  <commentList>
    <comment ref="D24" authorId="0" shapeId="0" xr:uid="{32168BDB-CEF8-49A2-875D-29585759CC58}">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5080 sqft</t>
        </r>
      </text>
    </comment>
    <comment ref="D28" authorId="1" shapeId="0" xr:uid="{6A5F405C-A23D-4ECF-A218-4FE8369E2B8F}">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HKD 52 (excluding rent free periods). Please see tab "Rent" for detail</t>
        </r>
      </text>
    </comment>
    <comment ref="D42" authorId="2" shapeId="0" xr:uid="{D314935D-F1C7-4108-BE4B-78F663D6DA2B}">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due to a portoin of our team being embedded on AGCS contracts, we have a sub-lease contract with AGCS to allocate office costs ot this embedded portfolio</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tc={C07D6193-D5B7-47FF-AABC-2930604D4C61}</author>
    <author>tc={47AF6977-116B-4C6F-9A61-025724C13501}</author>
  </authors>
  <commentList>
    <comment ref="D30" authorId="0" shapeId="0" xr:uid="{C07D6193-D5B7-47FF-AABC-2930604D4C61}">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includes parking fees of 2.340 € (3 x 65 x 12) 2.340 / 98,14 = 23,84 €/m²</t>
        </r>
      </text>
    </comment>
    <comment ref="F30" authorId="1" shapeId="0" xr:uid="{47AF6977-116B-4C6F-9A61-025724C13501}">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includes also the parking fees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tc={5BF2143A-C1F9-462B-A6F3-8A789BA0F91C}</author>
    <author>tc={5D520997-DFF6-4269-9B7E-7705C7139539}</author>
    <author>tc={147098D6-5913-4456-83EB-76D8F758291A}</author>
    <author>tc={F4FF8575-EE09-41EA-83FA-49105DB538C7}</author>
    <author>Ahmad, Zeeshan (Allianz Partners)</author>
    <author>tc={B38D728C-61A5-4ADE-92D7-6EC88B3A00AC}</author>
    <author>tc={138602EE-3EAB-4E0B-9CEB-0B3049392628}</author>
    <author>tc={A03A8877-3B50-4518-A080-0D2A254B0FD5}</author>
    <author>tc={A6CDA8A2-9EDB-4694-8FA6-62D1D33524F3}</author>
    <author>tc={0F3950D8-BAE3-4639-A23E-0C8C40952116}</author>
    <author>tc={3570FB14-F1EE-4DE4-8902-26E289F2B900}</author>
  </authors>
  <commentList>
    <comment ref="D24" authorId="0" shapeId="0" xr:uid="{5BF2143A-C1F9-462B-A6F3-8A789BA0F91C}">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10180 sqft</t>
        </r>
      </text>
    </comment>
    <comment ref="E24" authorId="1" shapeId="0" xr:uid="{5D520997-DFF6-4269-9B7E-7705C7139539}">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38023 sqft</t>
        </r>
      </text>
    </comment>
    <comment ref="F24" authorId="2" shapeId="0" xr:uid="{147098D6-5913-4456-83EB-76D8F758291A}">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13380 sqft</t>
        </r>
      </text>
    </comment>
    <comment ref="G24" authorId="3" shapeId="0" xr:uid="{F4FF8575-EE09-41EA-83FA-49105DB538C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19770 sqft</t>
        </r>
      </text>
    </comment>
    <comment ref="G27" authorId="4" shapeId="0" xr:uid="{62CE019D-4A21-433A-BD30-57442977887E}">
      <text>
        <r>
          <rPr>
            <b/>
            <sz val="9"/>
            <color indexed="81"/>
            <rFont val="Tahoma"/>
            <family val="2"/>
          </rPr>
          <t>Ahmad, Zeeshan (Allianz Partners):</t>
        </r>
        <r>
          <rPr>
            <sz val="9"/>
            <color indexed="81"/>
            <rFont val="Tahoma"/>
            <family val="2"/>
          </rPr>
          <t xml:space="preserve">
Monthly</t>
        </r>
      </text>
    </comment>
    <comment ref="D28" authorId="5" shapeId="0" xr:uid="{B38D728C-61A5-4ADE-92D7-6EC88B3A00AC}">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109 INR/sqft/month - conversion into INR/sqm/year</t>
        </r>
      </text>
    </comment>
    <comment ref="E28" authorId="6" shapeId="0" xr:uid="{138602EE-3EAB-4E0B-9CEB-0B3049392628}">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75 INR/sqft/month - onversion into INR/sqm/year</t>
        </r>
      </text>
    </comment>
    <comment ref="F28" authorId="7" shapeId="0" xr:uid="{A03A8877-3B50-4518-A080-0D2A254B0FD5}">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52 INR/sqft/month - conversion into IRN/sqm/year</t>
        </r>
      </text>
    </comment>
    <comment ref="G28" authorId="4" shapeId="0" xr:uid="{84B7F5DC-5E62-494B-A211-D9DB910C1AA3}">
      <text>
        <r>
          <rPr>
            <b/>
            <sz val="9"/>
            <color indexed="81"/>
            <rFont val="Tahoma"/>
            <family val="2"/>
          </rPr>
          <t>Ahmad, Zeeshan (Allianz Partners):</t>
        </r>
        <r>
          <rPr>
            <sz val="9"/>
            <color indexed="81"/>
            <rFont val="Tahoma"/>
            <family val="2"/>
          </rPr>
          <t xml:space="preserve">
Monthly</t>
        </r>
      </text>
    </comment>
    <comment ref="D30" authorId="8" shapeId="0" xr:uid="{A6CDA8A2-9EDB-4694-8FA6-62D1D33524F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INR 3.90 CAM charges - conversation into INR/sqm/year plus facilities</t>
        </r>
      </text>
    </comment>
    <comment ref="E30" authorId="9" shapeId="0" xr:uid="{0F3950D8-BAE3-4639-A23E-0C8C40952116}">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INR 17 CAM charges - conversation into INR/sqm/year plus facilities cost</t>
        </r>
      </text>
    </comment>
    <comment ref="F30" authorId="10" shapeId="0" xr:uid="{3570FB14-F1EE-4DE4-8902-26E289F2B90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INR 19.09 CAM charges - conversation into INR/sqm/year plus facilities cost</t>
        </r>
      </text>
    </comment>
    <comment ref="G30" authorId="4" shapeId="0" xr:uid="{A424B989-EAA5-4DAE-9044-AE078F41A328}">
      <text>
        <r>
          <rPr>
            <b/>
            <sz val="9"/>
            <color indexed="81"/>
            <rFont val="Tahoma"/>
            <family val="2"/>
          </rPr>
          <t>Ahmad, Zeeshan (Allianz Partners):</t>
        </r>
        <r>
          <rPr>
            <sz val="9"/>
            <color indexed="81"/>
            <rFont val="Tahoma"/>
            <family val="2"/>
          </rPr>
          <t xml:space="preserve">
Monthly</t>
        </r>
      </text>
    </comment>
    <comment ref="G31" authorId="4" shapeId="0" xr:uid="{7A5721A3-8542-457D-A80F-43C0E0C760CA}">
      <text>
        <r>
          <rPr>
            <b/>
            <sz val="9"/>
            <color indexed="81"/>
            <rFont val="Tahoma"/>
            <family val="2"/>
          </rPr>
          <t>Ahmad, Zeeshan (Allianz Partners):</t>
        </r>
        <r>
          <rPr>
            <sz val="9"/>
            <color indexed="81"/>
            <rFont val="Tahoma"/>
            <family val="2"/>
          </rPr>
          <t xml:space="preserve">
Monthly</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tc={4DCA171A-E1C4-4C67-8178-D25764D3E561}</author>
    <author>tc={154555AB-9EAC-4145-93B0-FF49534635BE}</author>
    <author>tc={43BC4C06-AF26-4CC4-BD1D-4CCCF74299AC}</author>
  </authors>
  <commentList>
    <comment ref="D25" authorId="0" shapeId="0" xr:uid="{4DCA171A-E1C4-4C67-8178-D25764D3E561}">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reserved parking: 25 mio./year
unreserved parking 15 mio./year
motorcycle parking 1.5 mio/year</t>
        </r>
      </text>
    </comment>
    <comment ref="D28" authorId="1" shapeId="0" xr:uid="{154555AB-9EAC-4145-93B0-FF49534635B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160.000 from year 5, meaning 1st of May 2026</t>
        </r>
      </text>
    </comment>
    <comment ref="D32" authorId="2" shapeId="0" xr:uid="{43BC4C06-AF26-4CC4-BD1D-4CCCF74299AC}">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First review service costs 1st May of 2024, then annually</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tc={8D0383DA-CD43-482C-90AD-DC6A7F71C870}</author>
  </authors>
  <commentList>
    <comment ref="E46" authorId="0" shapeId="0" xr:uid="{8D0383DA-CD43-482C-90AD-DC6A7F71C87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AGA moved from 18B</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tc={4CB1CB44-724A-47B9-AF4E-61429F2FA836}</author>
    <author>tc={1398D6E1-17B3-48E1-9208-EA32F801FB9E}</author>
    <author>tc={F1908CDE-263E-4548-B3F6-C1A328C3A176}</author>
    <author>tc={DD659C1B-291C-433D-836C-4CF36C8BA1A0}</author>
    <author>tc={CA9D8EAE-2A93-4708-80CA-A0C14372030B}</author>
    <author>tc={67B8876F-0645-4F74-9017-0F2411C9A926}</author>
    <author>tc={DBDD8F92-7450-4B57-BD39-DE479191CB00}</author>
    <author>tc={958E388B-AFF6-4208-ACE5-8C2F6ACF73F6}</author>
    <author>tc={5A4804AA-5D98-4980-8F2E-5004365C1C1A}</author>
    <author>tc={23C0709A-AA4B-48AF-B85D-00497CD2D2A4}</author>
  </authors>
  <commentList>
    <comment ref="D20" authorId="0" shapeId="0" xr:uid="{4CB1CB44-724A-47B9-AF4E-61429F2FA836}">
      <text>
        <r>
          <rPr>
            <sz val="10"/>
            <color theme="1"/>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management of the building is entrusted to BNPP Real Estate Property Management </t>
        </r>
      </text>
    </comment>
    <comment ref="D28" authorId="1" shapeId="0" xr:uid="{1398D6E1-17B3-48E1-9208-EA32F801FB9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The annual rental cost is € 675.000 (vat excl), effective from January 1, 2026. The amount is agreed as a lump sum and not based on m².</t>
        </r>
      </text>
    </comment>
    <comment ref="D34" authorId="2" shapeId="0" xr:uid="{F1908CDE-263E-4548-B3F6-C1A328C3A176}">
      <text>
        <r>
          <rPr>
            <sz val="10"/>
            <color theme="1"/>
            <rFont val="Arial"/>
            <family val="2"/>
          </rPr>
          <t xml:space="preserve">[Threaded comment]
Your version of Excel allows you to read this threaded comment; however, any edits to it will get removed if the file is opened in a newer version of Excel. Learn more: https://go.microsoft.com/fwlink/?linkid=870924
Comment:
    Duration of the first lease term: 7 years. After the first lease term, the contract will be renewed for an additional 6 years period unless notice of termination is given </t>
        </r>
      </text>
    </comment>
    <comment ref="D35" authorId="3" shapeId="0" xr:uid="{DD659C1B-291C-433D-836C-4CF36C8BA1A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Notice period: 12 months</t>
        </r>
      </text>
    </comment>
    <comment ref="E35" authorId="4" shapeId="0" xr:uid="{CA9D8EAE-2A93-4708-80CA-A0C14372030B}">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The contract duration is 6 years + 6 years. No other automatic renewals after 12 years.</t>
        </r>
      </text>
    </comment>
    <comment ref="D38" authorId="5" shapeId="0" xr:uid="{67B8876F-0645-4F74-9017-0F2411C9A926}">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See comment in D33</t>
        </r>
      </text>
    </comment>
    <comment ref="E38" authorId="6" shapeId="0" xr:uid="{DBDD8F92-7450-4B57-BD39-DE479191CB00}">
      <text>
        <r>
          <rPr>
            <sz val="10"/>
            <color theme="1"/>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automatic renewal has already occurred at the end of the first six years of the lease </t>
        </r>
      </text>
    </comment>
    <comment ref="E39" authorId="7" shapeId="0" xr:uid="{958E388B-AFF6-4208-ACE5-8C2F6ACF73F6}">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See comment in E37</t>
        </r>
      </text>
    </comment>
    <comment ref="D40" authorId="8" shapeId="0" xr:uid="{5A4804AA-5D98-4980-8F2E-5004365C1C1A}">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Sum of the first lease term (7 years) + the second lease term (6 years)</t>
        </r>
      </text>
    </comment>
    <comment ref="E57" authorId="9" shapeId="0" xr:uid="{23C0709A-AA4B-48AF-B85D-00497CD2D2A4}">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Operation people to which shifts apply: presence excluded only on Sunday, holidays and nights.
Operation people to which shifts do not apply: presence from Monday to Saturday (no nights)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tc={B810628B-B7E3-48F8-91C8-8E253F77A70E}</author>
    <author>tc={49F31AAB-9069-4F7B-AAFF-E103F7D12B6F}</author>
    <author>tc={5A1385E3-B274-4B30-8388-4FC588F5AD5E}</author>
    <author>tc={4BCD2C60-0D13-4443-9158-83DCC7AED9A2}</author>
  </authors>
  <commentList>
    <comment ref="D27" authorId="0" shapeId="0" xr:uid="{B810628B-B7E3-48F8-91C8-8E253F77A70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Annual cost</t>
        </r>
      </text>
    </comment>
    <comment ref="E27" authorId="1" shapeId="0" xr:uid="{49F31AAB-9069-4F7B-AAFF-E103F7D12B6F}">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Annual cost</t>
        </r>
      </text>
    </comment>
    <comment ref="D28" authorId="2" shapeId="0" xr:uid="{5A1385E3-B274-4B30-8388-4FC588F5AD5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Total rent cost are 45.280.800</t>
        </r>
      </text>
    </comment>
    <comment ref="E28" authorId="3" shapeId="0" xr:uid="{4BCD2C60-0D13-4443-9158-83DCC7AED9A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total rent is 12.171.720</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tc={8D290A53-5DA0-4AC3-8BF7-4841D3AE0227}</author>
  </authors>
  <commentList>
    <comment ref="D46" authorId="0" shapeId="0" xr:uid="{8D290A53-5DA0-4AC3-8BF7-4841D3AE022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Data provided for both locations was 371 employees. Split according to size of the areas taken:
	1100	326	1426
	77,14%	22,86%	1
371	286,1851332	84,81486676	371</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Alexander Agcaoili</author>
    <author>Souraya Kouch</author>
  </authors>
  <commentList>
    <comment ref="L12" authorId="0" shapeId="0" xr:uid="{CB22EFD3-60C6-46A2-90F7-F258F55DBE54}">
      <text>
        <r>
          <rPr>
            <b/>
            <sz val="9"/>
            <color indexed="81"/>
            <rFont val="Tahoma"/>
            <family val="2"/>
          </rPr>
          <t>For storage and archiving of all claims</t>
        </r>
      </text>
    </comment>
    <comment ref="F46" authorId="0" shapeId="0" xr:uid="{903F6603-B5FC-43A2-9D0D-F22146236078}">
      <text>
        <r>
          <rPr>
            <b/>
            <sz val="9"/>
            <color indexed="81"/>
            <rFont val="Tahoma"/>
            <family val="2"/>
          </rPr>
          <t>Car Parking</t>
        </r>
      </text>
    </comment>
    <comment ref="G46" authorId="0" shapeId="0" xr:uid="{C115C6A2-35E2-480C-B074-BE13239123EB}">
      <text>
        <r>
          <rPr>
            <b/>
            <sz val="9"/>
            <color indexed="81"/>
            <rFont val="Tahoma"/>
            <family val="2"/>
          </rPr>
          <t>Car Parking</t>
        </r>
      </text>
    </comment>
    <comment ref="F47" authorId="0" shapeId="0" xr:uid="{8645056D-5171-4698-A35C-21A64CB33314}">
      <text>
        <r>
          <rPr>
            <b/>
            <sz val="9"/>
            <color indexed="81"/>
            <rFont val="Tahoma"/>
            <family val="2"/>
          </rPr>
          <t>Car Parking</t>
        </r>
      </text>
    </comment>
    <comment ref="G47" authorId="0" shapeId="0" xr:uid="{FBD15C1C-9B65-4EC2-AE07-88B97A3507FE}">
      <text>
        <r>
          <rPr>
            <b/>
            <sz val="9"/>
            <color indexed="81"/>
            <rFont val="Tahoma"/>
            <family val="2"/>
          </rPr>
          <t>Car Parking</t>
        </r>
      </text>
    </comment>
    <comment ref="F48" authorId="0" shapeId="0" xr:uid="{E06C3A10-DD16-49AA-988E-5CD5535F928D}">
      <text>
        <r>
          <rPr>
            <b/>
            <sz val="9"/>
            <color indexed="81"/>
            <rFont val="Tahoma"/>
            <family val="2"/>
          </rPr>
          <t>Car Parking</t>
        </r>
      </text>
    </comment>
    <comment ref="G48" authorId="0" shapeId="0" xr:uid="{56F9D465-2D49-4DF3-A8B2-96E915A7EBC2}">
      <text>
        <r>
          <rPr>
            <b/>
            <sz val="9"/>
            <color indexed="81"/>
            <rFont val="Tahoma"/>
            <family val="2"/>
          </rPr>
          <t>Car Parking</t>
        </r>
      </text>
    </comment>
    <comment ref="F50" authorId="0" shapeId="0" xr:uid="{F77F221F-FD57-406E-80A8-F40219FFDE7E}">
      <text>
        <r>
          <rPr>
            <b/>
            <sz val="9"/>
            <color indexed="81"/>
            <rFont val="Tahoma"/>
            <family val="2"/>
          </rPr>
          <t>Car Parking</t>
        </r>
      </text>
    </comment>
    <comment ref="G50" authorId="0" shapeId="0" xr:uid="{BA3912D7-FDA7-49E2-80EF-191DF53972D3}">
      <text>
        <r>
          <rPr>
            <b/>
            <sz val="9"/>
            <color indexed="81"/>
            <rFont val="Tahoma"/>
            <family val="2"/>
          </rPr>
          <t>Car Parking</t>
        </r>
      </text>
    </comment>
    <comment ref="F51" authorId="0" shapeId="0" xr:uid="{7923F42C-C96D-4272-938D-636A59327DFA}">
      <text>
        <r>
          <rPr>
            <b/>
            <sz val="9"/>
            <color indexed="81"/>
            <rFont val="Tahoma"/>
            <family val="2"/>
          </rPr>
          <t>Car Parking</t>
        </r>
      </text>
    </comment>
    <comment ref="G51" authorId="0" shapeId="0" xr:uid="{821017F9-E820-4314-903B-A8D8A7DDCF08}">
      <text>
        <r>
          <rPr>
            <b/>
            <sz val="9"/>
            <color indexed="81"/>
            <rFont val="Tahoma"/>
            <family val="2"/>
          </rPr>
          <t>Car Parking</t>
        </r>
      </text>
    </comment>
    <comment ref="F52" authorId="0" shapeId="0" xr:uid="{AA0FB9EF-ED6B-4D01-A19A-3758C3C7F435}">
      <text>
        <r>
          <rPr>
            <b/>
            <sz val="9"/>
            <color indexed="81"/>
            <rFont val="Tahoma"/>
            <family val="2"/>
          </rPr>
          <t>Car Parking</t>
        </r>
      </text>
    </comment>
    <comment ref="G52" authorId="0" shapeId="0" xr:uid="{013EF712-8D07-4579-8C5B-BFE20D7A8DCC}">
      <text>
        <r>
          <rPr>
            <b/>
            <sz val="9"/>
            <color indexed="81"/>
            <rFont val="Tahoma"/>
            <family val="2"/>
          </rPr>
          <t>Car Parking</t>
        </r>
      </text>
    </comment>
    <comment ref="F54" authorId="0" shapeId="0" xr:uid="{555EB823-3BFE-48AD-8BA5-32DAFC17B6DB}">
      <text>
        <r>
          <rPr>
            <b/>
            <sz val="9"/>
            <color indexed="81"/>
            <rFont val="Tahoma"/>
            <family val="2"/>
          </rPr>
          <t>Car Parking</t>
        </r>
      </text>
    </comment>
    <comment ref="G54" authorId="0" shapeId="0" xr:uid="{4E983A50-F0EF-4323-8058-6162015B3350}">
      <text>
        <r>
          <rPr>
            <b/>
            <sz val="9"/>
            <color indexed="81"/>
            <rFont val="Tahoma"/>
            <family val="2"/>
          </rPr>
          <t>Car Parking</t>
        </r>
      </text>
    </comment>
    <comment ref="D55" authorId="1" shapeId="0" xr:uid="{880B57BD-A1F4-441C-8CC3-BA73CEBCD419}">
      <text>
        <r>
          <rPr>
            <b/>
            <sz val="9"/>
            <color indexed="81"/>
            <rFont val="Tahoma"/>
            <family val="2"/>
          </rPr>
          <t>Souraya Kouch:</t>
        </r>
        <r>
          <rPr>
            <sz val="9"/>
            <color indexed="81"/>
            <rFont val="Tahoma"/>
            <family val="2"/>
          </rPr>
          <t xml:space="preserve">
Av hours per shift : 8 hrs</t>
        </r>
      </text>
    </comment>
    <comment ref="F55" authorId="0" shapeId="0" xr:uid="{821E2887-91D1-495A-84D3-6511147337C1}">
      <text>
        <r>
          <rPr>
            <b/>
            <sz val="9"/>
            <color indexed="81"/>
            <rFont val="Tahoma"/>
            <family val="2"/>
          </rPr>
          <t>Car Parking</t>
        </r>
      </text>
    </comment>
    <comment ref="G55" authorId="0" shapeId="0" xr:uid="{2C2C25CC-0C46-42D1-9BB6-BF9B5B48F9F3}">
      <text>
        <r>
          <rPr>
            <b/>
            <sz val="9"/>
            <color indexed="81"/>
            <rFont val="Tahoma"/>
            <family val="2"/>
          </rPr>
          <t>Car Parking</t>
        </r>
      </text>
    </comment>
    <comment ref="D56" authorId="1" shapeId="0" xr:uid="{24E9B4E4-6DAD-4787-96A2-5C38B18E68CC}">
      <text>
        <r>
          <rPr>
            <b/>
            <sz val="9"/>
            <color indexed="81"/>
            <rFont val="Tahoma"/>
            <family val="2"/>
          </rPr>
          <t>Souraya Kouch:</t>
        </r>
        <r>
          <rPr>
            <sz val="9"/>
            <color indexed="81"/>
            <rFont val="Tahoma"/>
            <family val="2"/>
          </rPr>
          <t xml:space="preserve">
Max hours per shift: 12 hours (night shift)</t>
        </r>
      </text>
    </comment>
    <comment ref="F56" authorId="0" shapeId="0" xr:uid="{3B963F2A-6DF0-45C6-A63D-C43DBC59F921}">
      <text>
        <r>
          <rPr>
            <b/>
            <sz val="9"/>
            <color indexed="81"/>
            <rFont val="Tahoma"/>
            <family val="2"/>
          </rPr>
          <t>Car Parking</t>
        </r>
      </text>
    </comment>
    <comment ref="G56" authorId="0" shapeId="0" xr:uid="{EF7517E1-ADAC-46F4-B122-BAF8BFBB68B7}">
      <text>
        <r>
          <rPr>
            <b/>
            <sz val="9"/>
            <color indexed="81"/>
            <rFont val="Tahoma"/>
            <family val="2"/>
          </rPr>
          <t>Car Parking</t>
        </r>
      </text>
    </comment>
    <comment ref="F57" authorId="0" shapeId="0" xr:uid="{7049EF1E-DAD4-43BB-B919-68B31C8F21A8}">
      <text>
        <r>
          <rPr>
            <b/>
            <sz val="9"/>
            <color indexed="81"/>
            <rFont val="Tahoma"/>
            <family val="2"/>
          </rPr>
          <t>Car Parking</t>
        </r>
      </text>
    </comment>
    <comment ref="G57" authorId="0" shapeId="0" xr:uid="{795A27F5-BB23-4065-811C-6ADE5E5BA15C}">
      <text>
        <r>
          <rPr>
            <b/>
            <sz val="9"/>
            <color indexed="81"/>
            <rFont val="Tahoma"/>
            <family val="2"/>
          </rPr>
          <t>Car Parking</t>
        </r>
      </text>
    </comment>
    <comment ref="F58" authorId="0" shapeId="0" xr:uid="{4E95A8A4-AC23-480C-AA9E-BC736540D195}">
      <text>
        <r>
          <rPr>
            <b/>
            <sz val="9"/>
            <color indexed="81"/>
            <rFont val="Tahoma"/>
            <family val="2"/>
          </rPr>
          <t>Car Parking</t>
        </r>
      </text>
    </comment>
    <comment ref="G58" authorId="0" shapeId="0" xr:uid="{FC561E72-877B-4513-8600-3A337DB343DD}">
      <text>
        <r>
          <rPr>
            <b/>
            <sz val="9"/>
            <color indexed="81"/>
            <rFont val="Tahoma"/>
            <family val="2"/>
          </rPr>
          <t>Car Parking</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Alexander Agcaoili</author>
  </authors>
  <commentList>
    <comment ref="L12" authorId="0" shapeId="0" xr:uid="{7CDDAE9E-F40A-482A-85DD-8704A330A916}">
      <text>
        <r>
          <rPr>
            <b/>
            <sz val="9"/>
            <color indexed="81"/>
            <rFont val="Tahoma"/>
            <family val="2"/>
          </rPr>
          <t>For storage and archiving of all claims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tc={31FCCA5A-A74F-4412-83DC-734D1DED4A72}</author>
    <author>tc={8AE38BB1-4BCF-4894-BD8D-EFEFCFA8EDB4}</author>
    <author>tc={299C0AD2-9D79-4982-9423-1B9007E11FE3}</author>
    <author>tc={3D142F2C-5B05-4178-BB13-F49468DA6064}</author>
    <author>tc={2BE26E86-3CBF-439B-B901-4E5C912358BD}</author>
    <author>tc={80CCE5F2-646A-4DD5-BAD7-FA86BC32F05D}</author>
    <author>tc={3E983313-636A-4BF7-8855-1A7A6D9BEE5E}</author>
    <author>tc={19D4C0F3-939A-445B-B39E-4B5CCF5B53E2}</author>
    <author>tc={50809FB8-2AF7-4895-B1B8-415051D26DE0}</author>
  </authors>
  <commentList>
    <comment ref="D24" authorId="0" shapeId="0" xr:uid="{31FCCA5A-A74F-4412-83DC-734D1DED4A7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3300 sqft</t>
        </r>
      </text>
    </comment>
    <comment ref="E24" authorId="1" shapeId="0" xr:uid="{8AE38BB1-4BCF-4894-BD8D-EFEFCFA8EDB4}">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6841 sqft</t>
        </r>
      </text>
    </comment>
    <comment ref="D28" authorId="2" shapeId="0" xr:uid="{299C0AD2-9D79-4982-9423-1B9007E11FE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4,2 MYR per sqft and month</t>
        </r>
      </text>
    </comment>
    <comment ref="D30" authorId="3" shapeId="0" xr:uid="{3D142F2C-5B05-4178-BB13-F49468DA6064}">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Exact Calculations and splitt between side please see country folder</t>
        </r>
      </text>
    </comment>
    <comment ref="E30" authorId="4" shapeId="0" xr:uid="{2BE26E86-3CBF-439B-B901-4E5C912358BD}">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Exact Calculations and splitt between side please see country folder</t>
        </r>
      </text>
    </comment>
    <comment ref="D46" authorId="5" shapeId="0" xr:uid="{80CCE5F2-646A-4DD5-BAD7-FA86BC32F05D}">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123  employees for both locations - split calculated as share of the total area</t>
        </r>
      </text>
    </comment>
    <comment ref="E46" authorId="6" shapeId="0" xr:uid="{3E983313-636A-4BF7-8855-1A7A6D9BEE5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123  employees for both locations - split calculated as share of the total area</t>
        </r>
      </text>
    </comment>
    <comment ref="D51" authorId="7" shapeId="0" xr:uid="{19D4C0F3-939A-445B-B39E-4B5CCF5B53E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152  workstations for both locations - split calculated as share of the total area</t>
        </r>
      </text>
    </comment>
    <comment ref="E51" authorId="8" shapeId="0" xr:uid="{50809FB8-2AF7-4895-B1B8-415051D26DE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152  workstations for both locations - split calculated as share of the total area</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tc={9380C76B-EAC5-43E3-B20C-E97B6CB6ABD7}</author>
    <author>tc={96A67291-90CC-4496-87A4-0710C2992AB9}</author>
  </authors>
  <commentList>
    <comment ref="D28" authorId="0" shapeId="0" xr:uid="{9380C76B-EAC5-43E3-B20C-E97B6CB6ABD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This includes external naming rights</t>
        </r>
      </text>
    </comment>
    <comment ref="D46" authorId="1" shapeId="0" xr:uid="{96A67291-90CC-4496-87A4-0710C2992AB9}">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Please note that this will increase by 11 by Dec 23 - our temp staff will decrease as demand decreases
We also rent 3 desks to Hunter Premium (part of Allianz Group)</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Alexander Agcaoili</author>
  </authors>
  <commentList>
    <comment ref="L12" authorId="0" shapeId="0" xr:uid="{2D93AA62-0D7D-4625-B09B-652B5760E261}">
      <text>
        <r>
          <rPr>
            <b/>
            <sz val="9"/>
            <color indexed="81"/>
            <rFont val="Tahoma"/>
            <family val="2"/>
          </rPr>
          <t>For storage and archiving of all claims</t>
        </r>
      </text>
    </comment>
    <comment ref="E27" authorId="0" shapeId="0" xr:uid="{D2DCDB9B-D7D1-4A06-9CFE-4E0C594B3069}">
      <text>
        <r>
          <rPr>
            <b/>
            <sz val="9"/>
            <color indexed="81"/>
            <rFont val="Tahoma"/>
            <family val="2"/>
          </rPr>
          <t>OMR 525 * 12 = OMR 6300 (Without VAT)</t>
        </r>
        <r>
          <rPr>
            <sz val="9"/>
            <color indexed="81"/>
            <rFont val="Tahoma"/>
            <family val="2"/>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tc={EA354ABA-3266-40C1-B418-BE62996814EC}</author>
    <author>tc={87BD469A-54EB-413B-8DBD-22E02163524A}</author>
    <author>tc={BA79E4EB-AE78-43E6-9E94-9727D9A9B0C0}</author>
    <author>tc={2854DA31-4599-4CE4-BD6E-4DF85C6068B1}</author>
    <author>tc={CCD4921C-70C4-405F-A503-6E3F18007269}</author>
    <author>tc={BC8A2203-87DA-4E6E-9943-3F0D55493462}</author>
  </authors>
  <commentList>
    <comment ref="D24" authorId="0" shapeId="0" xr:uid="{EA354ABA-3266-40C1-B418-BE62996814EC}">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Charity Organisation uses 400 m² free of charge</t>
        </r>
      </text>
    </comment>
    <comment ref="D28" authorId="1" shapeId="0" xr:uid="{87BD469A-54EB-413B-8DBD-22E02163524A}">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entry BU: 2.880.934</t>
        </r>
      </text>
    </comment>
    <comment ref="E28" authorId="2" shapeId="0" xr:uid="{BA79E4EB-AE78-43E6-9E94-9727D9A9B0C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entry BU: 421076,47 = 915,86 PLN x 459,76 sqm</t>
        </r>
      </text>
    </comment>
    <comment ref="D30" authorId="3" shapeId="0" xr:uid="{2854DA31-4599-4CE4-BD6E-4DF85C6068B1}">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also contains the cost for the parking space for the Mondial assistance fleet</t>
        </r>
      </text>
    </comment>
    <comment ref="E30" authorId="4" shapeId="0" xr:uid="{CCD4921C-70C4-405F-A503-6E3F18007269}">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contains the rent for 8 apartments (trainees and trainers stay there during the training for the platform)</t>
        </r>
      </text>
    </comment>
    <comment ref="D44" authorId="5" shapeId="0" xr:uid="{BC8A2203-87DA-4E6E-9943-3F0D5549346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BU: yes (the company has adopted an ESG strategy in every area of the business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tc={9ADF2D26-3B03-40FC-8692-C495886C5E9F}</author>
    <author>tc={A4281D8C-7CEA-4FEA-87E9-9FD4BD320700}</author>
    <author>tc={5C479B0B-8739-4DA0-BF15-FAA564929D5D}</author>
    <author>tc={A45134F0-BC5E-4D34-8C6F-728455E76D79}</author>
    <author>tc={B69292D4-0E13-427A-AB1C-E373147D14CE}</author>
  </authors>
  <commentList>
    <comment ref="D29" authorId="0" shapeId="0" xr:uid="{9ADF2D26-3B03-40FC-8692-C495886C5E9F}">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0,94% x year since 2012</t>
        </r>
      </text>
    </comment>
    <comment ref="D30" authorId="1" shapeId="0" xr:uid="{A4281D8C-7CEA-4FEA-87E9-9FD4BD32070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105,27€ x m² per year (2022)</t>
        </r>
      </text>
    </comment>
    <comment ref="D35" authorId="2" shapeId="0" xr:uid="{5C479B0B-8739-4DA0-BF15-FAA564929D5D}">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Termination letter sent on 03/10/2026</t>
        </r>
      </text>
    </comment>
    <comment ref="D40" authorId="3" shapeId="0" xr:uid="{A45134F0-BC5E-4D34-8C6F-728455E76D79}">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The contract automatically renewed itself in 2022 for another 10 years</t>
        </r>
      </text>
    </comment>
    <comment ref="D51" authorId="4" shapeId="0" xr:uid="{B69292D4-0E13-427A-AB1C-E373147D14C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Includes 10 rented to Simple Insurance</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Alexander Agcaoili</author>
    <author>tc={76B58D00-1054-4BEF-877E-DFF347D333D8}</author>
  </authors>
  <commentList>
    <comment ref="L12" authorId="0" shapeId="0" xr:uid="{663DDD2A-0A32-4CBB-96AA-6264B364A2A9}">
      <text>
        <r>
          <rPr>
            <b/>
            <sz val="9"/>
            <color indexed="81"/>
            <rFont val="Tahoma"/>
            <family val="2"/>
          </rPr>
          <t>For storage and archiving of all claims</t>
        </r>
      </text>
    </comment>
    <comment ref="E40" authorId="0" shapeId="0" xr:uid="{0CF81C65-9DAB-405B-8546-0CBB2F365DEE}">
      <text>
        <r>
          <rPr>
            <b/>
            <sz val="9"/>
            <color indexed="81"/>
            <rFont val="Tahoma"/>
            <family val="2"/>
          </rPr>
          <t>SUBLEASE CONTRACT STILL IN DISCUSSION WITH ROWAN AND NADA</t>
        </r>
      </text>
    </comment>
    <comment ref="D50" authorId="1" shapeId="0" xr:uid="{76B58D00-1054-4BEF-877E-DFF347D333D8}">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44 (42 open space + 2 cabins)</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tc={A91A48DA-0338-4E6D-B7F4-8EA0ABE0A74E}</author>
    <author>tc={059FB716-1390-4E71-AB5F-BBE651DDAEEF}</author>
    <author>tc={025FFE80-3962-4EAB-9988-C2FE5D05AB2E}</author>
  </authors>
  <commentList>
    <comment ref="D42" authorId="0" shapeId="0" xr:uid="{A91A48DA-0338-4E6D-B7F4-8EA0ABE0A74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If Allianz decide that a certain percentage of the space can subleased, is existing the posibility to sublease, with the aproval of the Landlord</t>
        </r>
      </text>
    </comment>
    <comment ref="D44" authorId="1" shapeId="0" xr:uid="{059FB716-1390-4E71-AB5F-BBE651DDAEEF}">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BU: YES, WELL Health&amp;Safety Rating, BREEAM</t>
        </r>
      </text>
    </comment>
    <comment ref="D46" authorId="2" shapeId="0" xr:uid="{025FFE80-3962-4EAB-9988-C2FE5D05AB2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Active employeesL: 370
Remote employees: 170
Office: 200</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Alexander Agcaoili</author>
  </authors>
  <commentList>
    <comment ref="L12" authorId="0" shapeId="0" xr:uid="{813887CD-FA82-4334-88BD-24FB679C1F7B}">
      <text>
        <r>
          <rPr>
            <b/>
            <sz val="9"/>
            <color indexed="81"/>
            <rFont val="Tahoma"/>
            <family val="2"/>
          </rPr>
          <t>For storage and archiving of all claims</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tc={144E0DD0-4629-4A90-8C6D-DDD2DBA77460}</author>
  </authors>
  <commentList>
    <comment ref="D24" authorId="0" shapeId="0" xr:uid="{144E0DD0-4629-4A90-8C6D-DDD2DBA7746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4426 sqft</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tc={4F7C1745-E859-4F8F-97A0-C8AED2865578}</author>
    <author>tc={0FA0337E-274E-4461-AB8D-5AAFA04F4132}</author>
    <author>tc={554B3DF0-ED6E-4A4E-AF40-1959C9E51D0E}</author>
    <author>tc={F7B604A0-FA39-4D22-89D3-4E1CB7A817AC}</author>
    <author>tc={7CEAFE9A-EFFD-45A4-A5DD-43E657D93D5E}</author>
    <author>tc={614A686C-3B81-4E3E-B210-0F349FDEDA93}</author>
    <author>tc={B5D55420-B11D-4FD0-B388-64FBB2C316B5}</author>
    <author>tc={9CBE0101-AF01-40A0-9428-F0B8FD9B4340}</author>
  </authors>
  <commentList>
    <comment ref="E24" authorId="0" shapeId="0" xr:uid="{4F7C1745-E859-4F8F-97A0-C8AED2865578}">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not included parking int +ext+garden</t>
        </r>
      </text>
    </comment>
    <comment ref="E28" authorId="1" shapeId="0" xr:uid="{0FA0337E-274E-4461-AB8D-5AAFA04F413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8,15 contract; 9,87 current</t>
        </r>
      </text>
    </comment>
    <comment ref="F28" authorId="2" shapeId="0" xr:uid="{554B3DF0-ED6E-4A4E-AF40-1959C9E51D0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14,5 contract; 15,07 current</t>
        </r>
      </text>
    </comment>
    <comment ref="H28" authorId="3" shapeId="0" xr:uid="{F7B604A0-FA39-4D22-89D3-4E1CB7A817AC}">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11,5 contract; 12,34 current</t>
        </r>
      </text>
    </comment>
    <comment ref="J28" authorId="4" shapeId="0" xr:uid="{7CEAFE9A-EFFD-45A4-A5DD-43E657D93D5E}">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11 contract; 11,39 current</t>
        </r>
      </text>
    </comment>
    <comment ref="E30" authorId="5" shapeId="0" xr:uid="{614A686C-3B81-4E3E-B210-0F349FDEDA9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2,83( facilities, maintenance,reception, gardering, security)</t>
        </r>
      </text>
    </comment>
    <comment ref="F30" authorId="6" shapeId="0" xr:uid="{B5D55420-B11D-4FD0-B388-64FBB2C316B5}">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Including parking</t>
        </r>
      </text>
    </comment>
    <comment ref="H30" authorId="7" shapeId="0" xr:uid="{9CBE0101-AF01-40A0-9428-F0B8FD9B434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Including parking</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tc={C921B7B8-5EB7-4233-B8E3-EA2FEE66EB78}</author>
    <author>tc={81441687-DE1F-4FF8-9AC9-B389BA219417}</author>
    <author>tc={B2DF2048-A2E3-46FB-A836-B21A8D5962D4}</author>
  </authors>
  <commentList>
    <comment ref="D28" authorId="0" shapeId="0" xr:uid="{C921B7B8-5EB7-4233-B8E3-EA2FEE66EB78}">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Incl rent, charges &amp; parkings</t>
        </r>
      </text>
    </comment>
    <comment ref="D40" authorId="1" shapeId="0" xr:uid="{81441687-DE1F-4FF8-9AC9-B389BA21941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Contract can be extended by 5 years, when main contract of Allianz Suisse gets extended as well</t>
        </r>
      </text>
    </comment>
    <comment ref="D44" authorId="2" shapeId="0" xr:uid="{B2DF2048-A2E3-46FB-A836-B21A8D5962D4}">
      <text>
        <r>
          <rPr>
            <sz val="10"/>
            <color theme="1"/>
            <rFont val="Arial"/>
            <family val="2"/>
          </rPr>
          <t xml:space="preserve">[Threaded comment]
Your version of Excel allows you to read this threaded comment; however, any edits to it will get removed if the file is opened in a newer version of Excel. Learn more: https://go.microsoft.com/fwlink/?linkid=870924
Comment:
    Schweizer Baustandard - Minergie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Hanan Hirst</author>
    <author>NATTANAN</author>
  </authors>
  <commentList>
    <comment ref="D24" authorId="0" shapeId="0" xr:uid="{200655B5-E43B-4A23-8E4D-FA164AAC2495}">
      <text>
        <r>
          <rPr>
            <b/>
            <sz val="9"/>
            <color indexed="81"/>
            <rFont val="Tahoma"/>
            <family val="2"/>
          </rPr>
          <t>Hanan Hirst:</t>
        </r>
        <r>
          <rPr>
            <sz val="9"/>
            <color indexed="81"/>
            <rFont val="Tahoma"/>
            <family val="2"/>
          </rPr>
          <t xml:space="preserve">
reduction in space from 3741.86</t>
        </r>
      </text>
    </comment>
    <comment ref="D29" authorId="1" shapeId="0" xr:uid="{DF73F849-89D3-4CAD-AB98-94DA86339344}">
      <text>
        <r>
          <rPr>
            <b/>
            <sz val="9"/>
            <color indexed="81"/>
            <rFont val="Tahoma"/>
            <family val="2"/>
          </rPr>
          <t>NATTANAN:</t>
        </r>
        <r>
          <rPr>
            <sz val="9"/>
            <color indexed="81"/>
            <rFont val="Tahoma"/>
            <family val="2"/>
          </rPr>
          <t xml:space="preserve">
strarting 1 Aug 2027</t>
        </r>
      </text>
    </comment>
    <comment ref="D32" authorId="1" shapeId="0" xr:uid="{EEA1F876-C55E-4A66-861F-508E633282F8}">
      <text>
        <r>
          <rPr>
            <b/>
            <sz val="9"/>
            <color indexed="81"/>
            <rFont val="Tahoma"/>
            <family val="2"/>
          </rPr>
          <t>NATTANAN:</t>
        </r>
        <r>
          <rPr>
            <sz val="9"/>
            <color indexed="81"/>
            <rFont val="Tahoma"/>
            <family val="2"/>
          </rPr>
          <t xml:space="preserve">
Starting 1 Aug 2027</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Alexander Agcaoili</author>
    <author>tc={058697B8-91D3-4107-A7B2-98A0D7F8E2C1}</author>
  </authors>
  <commentList>
    <comment ref="L12" authorId="0" shapeId="0" xr:uid="{93444904-E0A6-40E2-A289-CFF93E28308D}">
      <text>
        <r>
          <rPr>
            <b/>
            <sz val="9"/>
            <color indexed="81"/>
            <rFont val="Tahoma"/>
            <family val="2"/>
          </rPr>
          <t>For storage and archiving of all claims</t>
        </r>
      </text>
    </comment>
    <comment ref="D46" authorId="1" shapeId="0" xr:uid="{058697B8-91D3-4107-A7B2-98A0D7F8E2C1}">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including 1 driver, 2 security and 1 cleaner</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Murat Babali</author>
  </authors>
  <commentList>
    <comment ref="D27" authorId="0" shapeId="0" xr:uid="{E816D088-0CA7-45EF-8327-2BE3E7F451B6}">
      <text>
        <r>
          <rPr>
            <b/>
            <sz val="9"/>
            <color indexed="81"/>
            <rFont val="Tahoma"/>
            <family val="2"/>
          </rPr>
          <t>Murat Babali:</t>
        </r>
        <r>
          <rPr>
            <sz val="9"/>
            <color indexed="81"/>
            <rFont val="Tahoma"/>
            <family val="2"/>
          </rPr>
          <t xml:space="preserve">
Montly</t>
        </r>
      </text>
    </comment>
    <comment ref="E27" authorId="0" shapeId="0" xr:uid="{16760792-E166-48B6-8CCA-8BCDAC9BA2CE}">
      <text>
        <r>
          <rPr>
            <b/>
            <sz val="9"/>
            <color indexed="81"/>
            <rFont val="Tahoma"/>
            <family val="2"/>
          </rPr>
          <t>Murat Babali:</t>
        </r>
        <r>
          <rPr>
            <sz val="9"/>
            <color indexed="81"/>
            <rFont val="Tahoma"/>
            <family val="2"/>
          </rPr>
          <t xml:space="preserve">
montly
</t>
        </r>
      </text>
    </comment>
    <comment ref="D50" authorId="0" shapeId="0" xr:uid="{1B335B7E-4FE7-4810-B8A6-E785492801B1}">
      <text>
        <r>
          <rPr>
            <b/>
            <sz val="9"/>
            <color indexed="81"/>
            <rFont val="Tahoma"/>
            <family val="2"/>
          </rPr>
          <t>Murat Babali:</t>
        </r>
        <r>
          <rPr>
            <sz val="9"/>
            <color indexed="81"/>
            <rFont val="Tahoma"/>
            <family val="2"/>
          </rPr>
          <t xml:space="preserve">
istasyon sayısı arttırıldı</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Alexander Agcaoili</author>
  </authors>
  <commentList>
    <comment ref="L12" authorId="0" shapeId="0" xr:uid="{92D2D987-BD21-447D-AD61-856373A81848}">
      <text>
        <r>
          <rPr>
            <b/>
            <sz val="9"/>
            <color indexed="81"/>
            <rFont val="Tahoma"/>
            <family val="2"/>
          </rPr>
          <t>For storage and archiving of all claims</t>
        </r>
      </text>
    </comment>
    <comment ref="E24" authorId="0" shapeId="0" xr:uid="{C092AC9C-A0AE-4070-847F-31C22CECB50F}">
      <text>
        <r>
          <rPr>
            <b/>
            <sz val="9"/>
            <color indexed="81"/>
            <rFont val="Tahoma"/>
            <family val="2"/>
          </rPr>
          <t>6539 sq Ft</t>
        </r>
        <r>
          <rPr>
            <sz val="9"/>
            <color indexed="81"/>
            <rFont val="Tahoma"/>
            <family val="2"/>
          </rPr>
          <t xml:space="preserve">
</t>
        </r>
      </text>
    </comment>
    <comment ref="F24" authorId="0" shapeId="0" xr:uid="{48E8EC65-96DC-432B-80EB-25279EF5A8E0}">
      <text>
        <r>
          <rPr>
            <b/>
            <sz val="9"/>
            <color indexed="81"/>
            <rFont val="Tahoma"/>
            <family val="2"/>
          </rPr>
          <t>1341 sq. Ft</t>
        </r>
        <r>
          <rPr>
            <sz val="9"/>
            <color indexed="81"/>
            <rFont val="Tahoma"/>
            <family val="2"/>
          </rPr>
          <t xml:space="preserve">
</t>
        </r>
      </text>
    </comment>
    <comment ref="F25" authorId="0" shapeId="0" xr:uid="{3A93B937-DC8F-41C1-83C8-1A35C99C8950}">
      <text>
        <r>
          <rPr>
            <b/>
            <sz val="9"/>
            <color indexed="81"/>
            <rFont val="Tahoma"/>
            <family val="2"/>
          </rPr>
          <t>3 parking as pe contract
2 additional parking spots valid till 30 Oct 2025</t>
        </r>
        <r>
          <rPr>
            <sz val="9"/>
            <color indexed="81"/>
            <rFont val="Tahoma"/>
            <family val="2"/>
          </rPr>
          <t xml:space="preserve">
</t>
        </r>
      </text>
    </comment>
    <comment ref="D27" authorId="0" shapeId="0" xr:uid="{5DF893F8-FDF6-4D95-B57E-84CE0EA9C9F9}">
      <text>
        <r>
          <rPr>
            <b/>
            <sz val="9"/>
            <color indexed="81"/>
            <rFont val="Tahoma"/>
            <family val="2"/>
          </rPr>
          <t xml:space="preserve"> % cost allocation to AWC: 45%</t>
        </r>
        <r>
          <rPr>
            <sz val="9"/>
            <color indexed="81"/>
            <rFont val="Tahoma"/>
            <family val="2"/>
          </rPr>
          <t xml:space="preserve">
</t>
        </r>
      </text>
    </comment>
    <comment ref="E27" authorId="0" shapeId="0" xr:uid="{5FCE4B6E-6CDB-4E4F-8E89-A8E201291526}">
      <text>
        <r>
          <rPr>
            <b/>
            <sz val="9"/>
            <color indexed="81"/>
            <rFont val="Tahoma"/>
            <family val="2"/>
          </rPr>
          <t>Exclusive of VAT</t>
        </r>
      </text>
    </comment>
    <comment ref="F27" authorId="0" shapeId="0" xr:uid="{D6CFEE3D-4087-4484-ADAA-D5C367BB8781}">
      <text>
        <r>
          <rPr>
            <b/>
            <sz val="9"/>
            <color indexed="81"/>
            <rFont val="Tahoma"/>
            <family val="2"/>
          </rPr>
          <t>Exclusive of VAT</t>
        </r>
        <r>
          <rPr>
            <sz val="9"/>
            <color indexed="81"/>
            <rFont val="Tahoma"/>
            <family val="2"/>
          </rPr>
          <t xml:space="preserve">
</t>
        </r>
      </text>
    </comment>
    <comment ref="F29" authorId="0" shapeId="0" xr:uid="{92D640D2-7202-4699-AE20-DE302E7B1C98}">
      <text>
        <r>
          <rPr>
            <b/>
            <sz val="9"/>
            <color indexed="81"/>
            <rFont val="Tahoma"/>
            <family val="2"/>
          </rPr>
          <t>The lease has been will be unti July 2027 to align with the end date of Offices 201–204</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tc={20BC9943-7FB2-4400-A88E-A0A7FE58B843}</author>
    <author>tc={2E6941BE-FD12-4326-A32A-69D0EC8447C7}</author>
  </authors>
  <commentList>
    <comment ref="D28" authorId="0" shapeId="0" xr:uid="{20BC9943-7FB2-4400-A88E-A0A7FE58B84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BU: 1.156.013</t>
        </r>
      </text>
    </comment>
    <comment ref="D46" authorId="1" shapeId="0" xr:uid="{2E6941BE-FD12-4326-A32A-69D0EC8447C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395* (Approximate)</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tc={0F7F0207-255C-4921-802D-7C81A12D118A}</author>
    <author>tc={67EF17FF-49B3-4445-9353-9EBC875F3F13}</author>
  </authors>
  <commentList>
    <comment ref="D24" authorId="0" shapeId="0" xr:uid="{0F7F0207-255C-4921-802D-7C81A12D118A}">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120,254 RSF plus 1,929 sq foot of storage space</t>
        </r>
      </text>
    </comment>
    <comment ref="D30" authorId="1" shapeId="0" xr:uid="{67EF17FF-49B3-4445-9353-9EBC875F3F1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During the period from 8/1/2023 - 7/31/2024, the annual base operating cost will be established.  In future year through the end of the lease, we will pay our proportionate share of any overages.  Our Proportionate share is based our RSF.  We do have annual budget reviews with the Landlord so that nothing is a surprise.</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Alexander Agcaoili</author>
  </authors>
  <commentList>
    <comment ref="L12" authorId="0" shapeId="0" xr:uid="{8A9856CC-4A45-414C-91C2-3C360D0B7F85}">
      <text>
        <r>
          <rPr>
            <b/>
            <sz val="9"/>
            <color indexed="81"/>
            <rFont val="Tahoma"/>
            <family val="2"/>
          </rPr>
          <t>For storage and archiving of all claims</t>
        </r>
      </text>
    </comment>
  </commentList>
</comments>
</file>

<file path=xl/sharedStrings.xml><?xml version="1.0" encoding="utf-8"?>
<sst xmlns="http://schemas.openxmlformats.org/spreadsheetml/2006/main" count="9188" uniqueCount="1507">
  <si>
    <t>Étiquettes de lignes</t>
  </si>
  <si>
    <t>End Dates of lease</t>
  </si>
  <si>
    <t>1. Europe</t>
  </si>
  <si>
    <t>Allianz Global Benefits</t>
  </si>
  <si>
    <t>Germany</t>
  </si>
  <si>
    <t>Seidlstrasse 24-24a</t>
  </si>
  <si>
    <t>Munich</t>
  </si>
  <si>
    <t>Uhlandstrasse 2</t>
  </si>
  <si>
    <t>Stuttgart</t>
  </si>
  <si>
    <t>BU Austria</t>
  </si>
  <si>
    <t>Austria</t>
  </si>
  <si>
    <t>Linzer Strasse 225</t>
  </si>
  <si>
    <t>Vienna</t>
  </si>
  <si>
    <t>Bulgaria</t>
  </si>
  <si>
    <t>16 Srebarna Str.</t>
  </si>
  <si>
    <t>Sofia</t>
  </si>
  <si>
    <t>Hungary</t>
  </si>
  <si>
    <t>Könyves Kalman krt. 48-52</t>
  </si>
  <si>
    <t>Budapest</t>
  </si>
  <si>
    <t>Romania</t>
  </si>
  <si>
    <t>Globalworth Campus, C Building · 2-4, Ing. George Constantinescu 
11th floor, 2nd District</t>
  </si>
  <si>
    <t>Bucharest</t>
  </si>
  <si>
    <t>BU Czech Republic</t>
  </si>
  <si>
    <t>Czech Republic</t>
  </si>
  <si>
    <t>Čajakova 18</t>
  </si>
  <si>
    <t>Bratislava</t>
  </si>
  <si>
    <t>Jankovcova 1596/14B</t>
  </si>
  <si>
    <t>Prague</t>
  </si>
  <si>
    <t>BU France</t>
  </si>
  <si>
    <t>France</t>
  </si>
  <si>
    <t xml:space="preserve">151 Boulevard Victor Hugo
</t>
  </si>
  <si>
    <t>Saint Ouen</t>
  </si>
  <si>
    <t xml:space="preserve">7 rue Dora Maar </t>
  </si>
  <si>
    <t>79-81 Rue Pierre Semard</t>
  </si>
  <si>
    <t>Chatillon</t>
  </si>
  <si>
    <t>85 Quai de Beauvais</t>
  </si>
  <si>
    <t>Armentières</t>
  </si>
  <si>
    <t>Chemin aux bœuf &amp; les Hunaudières</t>
  </si>
  <si>
    <t>Le Mans</t>
  </si>
  <si>
    <t>BU Germany (AHS)</t>
  </si>
  <si>
    <t>Albert-Einstein-Strasse 1a</t>
  </si>
  <si>
    <t>Berlin</t>
  </si>
  <si>
    <t>Heltorfer Strasse 4</t>
  </si>
  <si>
    <t>Düsseldorf</t>
  </si>
  <si>
    <t>Herriotstraße 1</t>
  </si>
  <si>
    <t>Frankfurt</t>
  </si>
  <si>
    <t>Heßbrühlstraße 2</t>
  </si>
  <si>
    <t>Kapstadtring 2</t>
  </si>
  <si>
    <t>Hamburg</t>
  </si>
  <si>
    <t>Maximilianstr. 5</t>
  </si>
  <si>
    <t>Neustadt</t>
  </si>
  <si>
    <t>Springerstrasse 25</t>
  </si>
  <si>
    <t>Leipzig</t>
  </si>
  <si>
    <t>BU Germany (AVS)</t>
  </si>
  <si>
    <t>Ferdinand-Stuttmann-Str. 10</t>
  </si>
  <si>
    <t>Rüsselsheim</t>
  </si>
  <si>
    <t>BU Germany (AZ Warranty)</t>
  </si>
  <si>
    <t>Beta-Str. 13</t>
  </si>
  <si>
    <t>Unterföhring</t>
  </si>
  <si>
    <t>BU Germany (MAWISTA)</t>
  </si>
  <si>
    <t>Esslinger Str. 83</t>
  </si>
  <si>
    <t>Plochingen</t>
  </si>
  <si>
    <t>BU Germany (MKS)</t>
  </si>
  <si>
    <t>Deutschherrnstraße 15-19</t>
  </si>
  <si>
    <t>Nürnberg</t>
  </si>
  <si>
    <t>BU Germany (REHACARE)</t>
  </si>
  <si>
    <t>Dornburger Str. 161</t>
  </si>
  <si>
    <t>Jena</t>
  </si>
  <si>
    <t>Frankfurter Str. 40</t>
  </si>
  <si>
    <t>Bad Vilbel</t>
  </si>
  <si>
    <t>Hildastr. 10</t>
  </si>
  <si>
    <t>Weinheim</t>
  </si>
  <si>
    <t>Kapuzinerstraße 9D</t>
  </si>
  <si>
    <t>München</t>
  </si>
  <si>
    <t>Karl-Grillenberger-Str. 1</t>
  </si>
  <si>
    <t>Marktgasse 7b</t>
  </si>
  <si>
    <t>Meisenheim</t>
  </si>
  <si>
    <t>Max-Planck-Str. 7</t>
  </si>
  <si>
    <t>Unna</t>
  </si>
  <si>
    <t>Otto-von-Guericke-Straße 87a</t>
  </si>
  <si>
    <t>Magdeburg</t>
  </si>
  <si>
    <t>Robert-Koch-Straße 9</t>
  </si>
  <si>
    <t>Pulsnitz</t>
  </si>
  <si>
    <t>Stormsweg 3</t>
  </si>
  <si>
    <t>Voithstr. 4</t>
  </si>
  <si>
    <t>Ludwigsburg</t>
  </si>
  <si>
    <t>Weidenauer Str. 167a</t>
  </si>
  <si>
    <t>Siegen</t>
  </si>
  <si>
    <t>BU Greece</t>
  </si>
  <si>
    <t>Greece</t>
  </si>
  <si>
    <t>10 Premetis Str.</t>
  </si>
  <si>
    <t>Athens</t>
  </si>
  <si>
    <t>17km Poligirou, Thermi</t>
  </si>
  <si>
    <t>Thessaloniki</t>
  </si>
  <si>
    <t>3 Premetis Str.</t>
  </si>
  <si>
    <t>370 Vouliagmenis Av</t>
  </si>
  <si>
    <t>BU Italy</t>
  </si>
  <si>
    <t>Italy</t>
  </si>
  <si>
    <t>Largo Pederzana, 16</t>
  </si>
  <si>
    <t>Villanova Castenaso (BO)</t>
  </si>
  <si>
    <t>Via Oglio, 12</t>
  </si>
  <si>
    <t>Milano (MI)</t>
  </si>
  <si>
    <t>Z.I. Tronco I</t>
  </si>
  <si>
    <t>Casarano (LE)</t>
  </si>
  <si>
    <t>BU Reunion</t>
  </si>
  <si>
    <t>32 rue du Général de Gaulle</t>
  </si>
  <si>
    <t>Sainte-Marie, 
La Réserve</t>
  </si>
  <si>
    <t>BU Spain</t>
  </si>
  <si>
    <t>Spain</t>
  </si>
  <si>
    <t>Calle Ramirez de Arellano 35</t>
  </si>
  <si>
    <t>Madrid</t>
  </si>
  <si>
    <t>BU Switzerland</t>
  </si>
  <si>
    <t>Switzerland</t>
  </si>
  <si>
    <t>Richtiplatz 1, 
8304 Wallisellen
Switzerland</t>
  </si>
  <si>
    <t xml:space="preserve">Wallisellen </t>
  </si>
  <si>
    <t>BU Turkey</t>
  </si>
  <si>
    <t>Turkey</t>
  </si>
  <si>
    <t>Altunizade Mahallesi · Kısıklı Caddesi · No: 47 · 34662 Üsküdar</t>
  </si>
  <si>
    <t>Istanbul</t>
  </si>
  <si>
    <t xml:space="preserve">Uncalı Mahallesi Toroslar Cad. City Life-2 Sitesi N:76 E Blok Daire No:101 I </t>
  </si>
  <si>
    <t>Antalya</t>
  </si>
  <si>
    <t>BU United Kingdom</t>
  </si>
  <si>
    <t>England</t>
  </si>
  <si>
    <t>15 Bishopsgate, London, EC2</t>
  </si>
  <si>
    <t>London</t>
  </si>
  <si>
    <t>United Kingdom</t>
  </si>
  <si>
    <t>102 George Street</t>
  </si>
  <si>
    <t>Croydon</t>
  </si>
  <si>
    <t>7 Hill Street, Centre City</t>
  </si>
  <si>
    <t>Birmingham</t>
  </si>
  <si>
    <t>Global Office</t>
  </si>
  <si>
    <t xml:space="preserve">7rue Dora Maar
</t>
  </si>
  <si>
    <t>Atelierstrasse 14</t>
  </si>
  <si>
    <t>Multiasistencia</t>
  </si>
  <si>
    <t>Avda.San Francisco Javier nº 15, planta 2ª modulos B y C</t>
  </si>
  <si>
    <t>Seville</t>
  </si>
  <si>
    <t>Calle Barroeta Aldamar 6, 2ªplanta mano DI - Bilbao</t>
  </si>
  <si>
    <t>Bilbao</t>
  </si>
  <si>
    <t>Roger de Lluria, 50 : Locales A y B</t>
  </si>
  <si>
    <t>Barcelona</t>
  </si>
  <si>
    <t xml:space="preserve">Ronda de Poniente, 7 </t>
  </si>
  <si>
    <t>Tres Cantos - Madrid</t>
  </si>
  <si>
    <t>Netherlands</t>
  </si>
  <si>
    <t>Poeldijkstraat 4</t>
  </si>
  <si>
    <t>Amsterdam</t>
  </si>
  <si>
    <t>Portugal</t>
  </si>
  <si>
    <t>Edificio Miraflores Premium III, Rua Miguel Serrano, 7, pisos 4 e 5
1495-173 Algés</t>
  </si>
  <si>
    <t>BU Poland</t>
  </si>
  <si>
    <t>Poland</t>
  </si>
  <si>
    <t>Konstruktorska 12</t>
  </si>
  <si>
    <t>Warsaw</t>
  </si>
  <si>
    <t>ulica Tadeusza Kościuszki 71</t>
  </si>
  <si>
    <t>Toruń</t>
  </si>
  <si>
    <t>2. Asia</t>
  </si>
  <si>
    <t>BU Australia</t>
  </si>
  <si>
    <t>Australia</t>
  </si>
  <si>
    <t>310 Ann St</t>
  </si>
  <si>
    <t>Brisbane</t>
  </si>
  <si>
    <t xml:space="preserve">310 Ann St </t>
  </si>
  <si>
    <t>BU China</t>
  </si>
  <si>
    <t>China</t>
  </si>
  <si>
    <t xml:space="preserve"> E zone, Tianfu Software Park,  Gaoxin District, Chengdu</t>
  </si>
  <si>
    <t>Chengdu</t>
  </si>
  <si>
    <t xml:space="preserve">Huitong Office Park, No.1 Yaojiayuan South Road,  Chaoyang </t>
  </si>
  <si>
    <t xml:space="preserve">Beijing </t>
  </si>
  <si>
    <t>Shanghai Tower, No.501 Yincheng Zhong Road, Pudong District</t>
  </si>
  <si>
    <t xml:space="preserve">Shanghai </t>
  </si>
  <si>
    <t>BU Hongkong</t>
  </si>
  <si>
    <t>Hongkong, China</t>
  </si>
  <si>
    <t>12 Taikoo Wan Road, Taikoo Shing</t>
  </si>
  <si>
    <t>Hongkong</t>
  </si>
  <si>
    <t>BU India</t>
  </si>
  <si>
    <t>India</t>
  </si>
  <si>
    <t xml:space="preserve"> DLF Square, M- Block, Jacaranda Marg, DLF City Phase-2</t>
  </si>
  <si>
    <t>Gurgaon, Haryana</t>
  </si>
  <si>
    <t xml:space="preserve">11th Floor, Tower -03, Candor Techspace IT Park, Plot No. B-2, Sector 62, Noida </t>
  </si>
  <si>
    <t>Noida, Uttar Pradesh</t>
  </si>
  <si>
    <t xml:space="preserve">International Tech Park Gurgaon, Block-1, 8th Floor | IT/ITES SEZ, Village Behrampur, Near Sector 59
Gurugram 122101 Haryana | India </t>
  </si>
  <si>
    <t>Gurugram</t>
  </si>
  <si>
    <t>Unit No. 601-620 And 701-724, Spaze Business Park, Sec - 66</t>
  </si>
  <si>
    <t>BU Indonesia</t>
  </si>
  <si>
    <t>Indonesia</t>
  </si>
  <si>
    <t>Gedung World Trade Centre, 6 Lantai 3A, JL Jenoral Sudirman Kavling 29-21 Karet Setiabudi Kota Adm, Jakarta Selantan Dki Jakarta</t>
  </si>
  <si>
    <t>Jakarta</t>
  </si>
  <si>
    <t>BU Malaysia</t>
  </si>
  <si>
    <t>Malaysia</t>
  </si>
  <si>
    <t>UOA Centre  ·  No. 19 Jalan Pinang, 50450 Kuala Lumpur  ·  Malaysia</t>
  </si>
  <si>
    <t>Kuala Lumpur</t>
  </si>
  <si>
    <t>UOA Centre  ·  No. 19 Jalan Pinang, 50450 Kuala Lumpur  ·  Malaysia (2nd contract)</t>
  </si>
  <si>
    <t>BU Singapore</t>
  </si>
  <si>
    <t>Singapore</t>
  </si>
  <si>
    <t>79 Robinson Road #09-01, Singapore 068897</t>
  </si>
  <si>
    <t>BU Thailand</t>
  </si>
  <si>
    <t>Thailand</t>
  </si>
  <si>
    <t>7th Floor, City Link Tower, 1091/335 Soi Petchburi 35 
New Petchburi Road, Makkasan, Rajathevi, Bangkok 10400 Thailand</t>
  </si>
  <si>
    <t>Bangkok</t>
  </si>
  <si>
    <t>825 Bangna-Trad Road, Bangna, Bangna, Bangkok  10260</t>
  </si>
  <si>
    <t>Japan</t>
  </si>
  <si>
    <t>2-3-20, Sakaimach</t>
  </si>
  <si>
    <t>Kokurakita-ku, Kitakyushu</t>
  </si>
  <si>
    <t>4-12-8, Higashishinagawa</t>
  </si>
  <si>
    <t>Shinagawa-ku, Tokyo</t>
  </si>
  <si>
    <t>New Zealand</t>
  </si>
  <si>
    <t>1 Byron Avenue, Takapuna</t>
  </si>
  <si>
    <t>Auckland</t>
  </si>
  <si>
    <t>3. Americas</t>
  </si>
  <si>
    <t>BU Brazil</t>
  </si>
  <si>
    <t>Brazil</t>
  </si>
  <si>
    <t>Rua José Versolato, 101</t>
  </si>
  <si>
    <t>São Bernardo do Campo</t>
  </si>
  <si>
    <t>Rua José Versolato, 101 (2nd contract)</t>
  </si>
  <si>
    <t xml:space="preserve">São Bernardo do Campo </t>
  </si>
  <si>
    <t>BU Canada</t>
  </si>
  <si>
    <t>Canada</t>
  </si>
  <si>
    <t>700 Jamieson Pkwy. Cambridge</t>
  </si>
  <si>
    <t>Cambridge</t>
  </si>
  <si>
    <t xml:space="preserve">BU Colombia </t>
  </si>
  <si>
    <t xml:space="preserve">Colombia </t>
  </si>
  <si>
    <t>72b Street # 6-44</t>
  </si>
  <si>
    <t xml:space="preserve">Bogota </t>
  </si>
  <si>
    <t>BU Mexico</t>
  </si>
  <si>
    <t>Mexico</t>
  </si>
  <si>
    <t>Av. Insurgentes Sur 1602, Crédito Constructor, Benito Juárez, 03940 Ciudad de México, CDMX, México CITIBUILDING</t>
  </si>
  <si>
    <t>Ciudad de Mexico</t>
  </si>
  <si>
    <t>Avenida Universidad No. 370 (Business center)  Col. La piedad CP. Delegación Municipal Centro Histórico. Santiago de Querétaro, Querétaro. PLAZA UBIKA</t>
  </si>
  <si>
    <t>Querétaro</t>
  </si>
  <si>
    <t>Nodus Busines Center, Plaza Stadium, Boulevard Adolfo Lopez Mateos, # 1702, Col. Parque Manzanares, CP 37510 floor 4, León Guanajuato</t>
  </si>
  <si>
    <t>Leon</t>
  </si>
  <si>
    <t>BU USA</t>
  </si>
  <si>
    <t>USA</t>
  </si>
  <si>
    <t>3111 West Pipken Road</t>
  </si>
  <si>
    <t>Lakeland, FL</t>
  </si>
  <si>
    <t>9950 Mayland Drive</t>
  </si>
  <si>
    <t>Richmond, VA</t>
  </si>
  <si>
    <t>4. H&amp;L</t>
  </si>
  <si>
    <t>Ireland</t>
  </si>
  <si>
    <t xml:space="preserve">Building 11 B
Joyce Way, Park West Business Campus, Nangor Road, </t>
  </si>
  <si>
    <t>Dublin</t>
  </si>
  <si>
    <t xml:space="preserve">Building 12 A
Joyce Way, Park West Business Campus, Nangor Road, </t>
  </si>
  <si>
    <t>Building 12 B
Joyce Way, Park West Business Campus, Nangor Road,</t>
  </si>
  <si>
    <t xml:space="preserve">Building 15
Joyce Way, Park West Business Campus, Nangor Road, </t>
  </si>
  <si>
    <t>International Health</t>
  </si>
  <si>
    <t>Belgium</t>
  </si>
  <si>
    <t>Allianz Tower Koning Boulevard du Roi Albert II, 32 (Albert II Laan)</t>
  </si>
  <si>
    <t>Brussels</t>
  </si>
  <si>
    <t xml:space="preserve">Building 11 A
Joyce Way, Park West Business Campus, Nangor Road,
</t>
  </si>
  <si>
    <t>Philippines</t>
  </si>
  <si>
    <t>9th floor, 
Allied Bank Center, 
6754 Ayala Avenue Corner
Legaspi Street, 
Makati City, 
Philippines</t>
  </si>
  <si>
    <t>Makati City (Manila)</t>
  </si>
  <si>
    <t xml:space="preserve">Qatar  </t>
  </si>
  <si>
    <t>Allianz Partners Office 604C , Jaidah Square Building 63 Airport Road </t>
  </si>
  <si>
    <t>Doha  </t>
  </si>
  <si>
    <t>Libya</t>
  </si>
  <si>
    <t>Lybia</t>
  </si>
  <si>
    <t>0011 Madlien Office, 
Al Nofflieen, Taqsim Ben Zaglam</t>
  </si>
  <si>
    <t>Tripoli</t>
  </si>
  <si>
    <t>Nextcare</t>
  </si>
  <si>
    <t>Egypt</t>
  </si>
  <si>
    <t xml:space="preserve">Emerald Twin Plaza, Plot No. (6), 1st settlement, New Cairo, Cairo, Egypt
</t>
  </si>
  <si>
    <t>New Cairo</t>
  </si>
  <si>
    <t>Street 9, Plot no. 8230, Mokattam city, Cairo</t>
  </si>
  <si>
    <t xml:space="preserve">Mokattem city </t>
  </si>
  <si>
    <t>Kingdom of Bahrain</t>
  </si>
  <si>
    <t>Exhibition Tower, Building No. 614, Road No. 1011, Block No. 410, Sanabis</t>
  </si>
  <si>
    <t>Manama</t>
  </si>
  <si>
    <t>Kingdom of Saudi Arabia</t>
  </si>
  <si>
    <t xml:space="preserve">Al Immam Saud Ibn Abdul Aziz Rd.Riyadh office, Riyadh - Al Nakhil - Building no. 5288 B- Building </t>
  </si>
  <si>
    <t>Riyadh</t>
  </si>
  <si>
    <t>Al Khobar Al Janubiyah, 1st Floor Al Rabiah &amp; Nassar Building</t>
  </si>
  <si>
    <t xml:space="preserve">Al Khobar  </t>
  </si>
  <si>
    <t>Lebanon</t>
  </si>
  <si>
    <t>Mkaless office, Mkaless 691 Bldg, GF</t>
  </si>
  <si>
    <t>Beirut</t>
  </si>
  <si>
    <t>Nextcare Bldg.,Father Naamtallah Kahale Street, Saloumi, Sin El Fil</t>
  </si>
  <si>
    <t xml:space="preserve">Qatar  </t>
  </si>
  <si>
    <t xml:space="preserve">Al Jaidah Square Business Centre 63 Airport Road, Umm Ghuwailina- Zone 27 </t>
  </si>
  <si>
    <t>Doha</t>
  </si>
  <si>
    <t>Sultanate of Oman</t>
  </si>
  <si>
    <t xml:space="preserve">Bldg. no. 1022, Way 1013, Block 210,  OLD EY  Building, Qurum PO Box 548, PC115 </t>
  </si>
  <si>
    <t>Muscat</t>
  </si>
  <si>
    <t>Tunisia</t>
  </si>
  <si>
    <t xml:space="preserve">3 Rue du Docteur Burnet, </t>
  </si>
  <si>
    <t>Tunis</t>
  </si>
  <si>
    <t>UAE</t>
  </si>
  <si>
    <t>B1 4207 AND 4208, Mazayya Business Avenue</t>
  </si>
  <si>
    <t>JLT, Dubai, UAE</t>
  </si>
  <si>
    <t>Boulevard Limited Building, EIFFEL - 2 Sheikh Zayed Rd</t>
  </si>
  <si>
    <t>Dubai</t>
  </si>
  <si>
    <t>Sakeena Nest Building Al Nahyan Area (mobile street) Close to Burjeel Hospital</t>
  </si>
  <si>
    <t xml:space="preserve">Abu Dhabi  </t>
  </si>
  <si>
    <t>Vakson Building 2 Next to Metropolitan Hotel, Sheikh Zayed Road</t>
  </si>
  <si>
    <t>Total général</t>
  </si>
  <si>
    <t>New Region</t>
  </si>
  <si>
    <t>BU</t>
  </si>
  <si>
    <t>Country</t>
  </si>
  <si>
    <t>City</t>
  </si>
  <si>
    <t>Postal code</t>
  </si>
  <si>
    <t>Street Address</t>
  </si>
  <si>
    <t>Rental/Owned/
Sublease</t>
  </si>
  <si>
    <t>Location unique ID</t>
  </si>
  <si>
    <t>Located at AZ entity (Yes/No)</t>
  </si>
  <si>
    <t>Unit description</t>
  </si>
  <si>
    <t>Size (m²or Ft)</t>
  </si>
  <si>
    <t>Currency code</t>
  </si>
  <si>
    <t>Rental Cost/m²</t>
  </si>
  <si>
    <t>Indexation</t>
  </si>
  <si>
    <t>Rental Cost</t>
  </si>
  <si>
    <t>Facility Costs</t>
  </si>
  <si>
    <t># of Employees</t>
  </si>
  <si>
    <t># of workstation</t>
  </si>
  <si>
    <t>Ratio workstation/ employee</t>
  </si>
  <si>
    <t>sqm/workstation</t>
  </si>
  <si>
    <t>sqm/employee</t>
  </si>
  <si>
    <t>Lease Start Date</t>
  </si>
  <si>
    <t>Lease End Date</t>
  </si>
  <si>
    <t>Next Break Date</t>
  </si>
  <si>
    <t>Sublease Contract in Place (Yes/No)</t>
  </si>
  <si>
    <t>Renewable energy? Yes/No</t>
  </si>
  <si>
    <t>Sustainability Certification</t>
  </si>
  <si>
    <t>CRE &amp; FM Function</t>
  </si>
  <si>
    <t>Last update</t>
  </si>
  <si>
    <t>Lease Notes/ Comments</t>
  </si>
  <si>
    <t>Subleaser</t>
  </si>
  <si>
    <t>Update date</t>
  </si>
  <si>
    <t>Country/BU</t>
  </si>
  <si>
    <t>sbishop@allianz-assistance.com.au</t>
  </si>
  <si>
    <t xml:space="preserve"> </t>
  </si>
  <si>
    <r>
      <t xml:space="preserve">Does your BU have multiple locations?
</t>
    </r>
    <r>
      <rPr>
        <i/>
        <sz val="8"/>
        <color theme="1"/>
        <rFont val="Arial"/>
        <family val="2"/>
      </rPr>
      <t>(Please choose "Yes" / "No")</t>
    </r>
  </si>
  <si>
    <t>No</t>
  </si>
  <si>
    <r>
      <t xml:space="preserve">How many locations does your BU have
</t>
    </r>
    <r>
      <rPr>
        <i/>
        <sz val="8"/>
        <color theme="1"/>
        <rFont val="Arial"/>
        <family val="2"/>
      </rPr>
      <t>(Please enter the number of office locations in your BU)</t>
    </r>
  </si>
  <si>
    <t>Contact person</t>
  </si>
  <si>
    <t>Location</t>
  </si>
  <si>
    <t>Location 1 -310 Ann St</t>
  </si>
  <si>
    <t>Location 1 - 310 Ann St, Sublet 3 floors</t>
  </si>
  <si>
    <t>Location 3 - xxx</t>
  </si>
  <si>
    <t>Location 4 - xxx</t>
  </si>
  <si>
    <t>Location 5 - xxx</t>
  </si>
  <si>
    <t>Location 6 - xxx</t>
  </si>
  <si>
    <t>Location 7 - xxx</t>
  </si>
  <si>
    <t>Location 8 - xxx</t>
  </si>
  <si>
    <t>Location 9 - xxx</t>
  </si>
  <si>
    <t>Location 10 - xxx</t>
  </si>
  <si>
    <t>Location 11 - xxx</t>
  </si>
  <si>
    <t>Location 12 - xxx</t>
  </si>
  <si>
    <t>Location 13 - xxx</t>
  </si>
  <si>
    <t>Location 14 - xxx</t>
  </si>
  <si>
    <t>Location 15 - xxx</t>
  </si>
  <si>
    <t>AU01</t>
  </si>
  <si>
    <t>Describe the space: e.g. "Whole Building" or "1st and 2nd Floors"</t>
  </si>
  <si>
    <t>Unit Description</t>
  </si>
  <si>
    <t>Levels 12-18</t>
  </si>
  <si>
    <t>Levels 12-14</t>
  </si>
  <si>
    <t>Please provide the postal address</t>
  </si>
  <si>
    <t>Try to use the greater metro city where possible</t>
  </si>
  <si>
    <t>Town</t>
  </si>
  <si>
    <t>Postcode or Zip code</t>
  </si>
  <si>
    <t>Postcode</t>
  </si>
  <si>
    <t>Country - NOT business unit</t>
  </si>
  <si>
    <t>Please choose</t>
  </si>
  <si>
    <t>Rental / owned?</t>
  </si>
  <si>
    <t>Rental</t>
  </si>
  <si>
    <t>Is the office sublet or rented to you by an Allianz entity?</t>
  </si>
  <si>
    <t>Is the office located at an Allianz Premises? Yes/No</t>
  </si>
  <si>
    <t>Does the Allianz entity provide the respective services as security, cleaning, etc.?</t>
  </si>
  <si>
    <t>Is the office also actively managed by an Allianz entity? Yes/No</t>
  </si>
  <si>
    <t>The business name that signed the lease</t>
  </si>
  <si>
    <t>Tenant Name</t>
  </si>
  <si>
    <t>AWP Australia Pty Ltd ACN 097227177</t>
  </si>
  <si>
    <t>RPM Global Holdings Limited ACN 010672321</t>
  </si>
  <si>
    <t>The business name that owns the property</t>
  </si>
  <si>
    <t>Landlord Name</t>
  </si>
  <si>
    <t>AM 310 Ann Street Investment Pty Ltd ACN 646 669 285 Trustee under instrument No 720672598</t>
  </si>
  <si>
    <t>Please type in "sq. Ft." or "m²"</t>
  </si>
  <si>
    <t>Office size measured in sq. Ft. or m²</t>
  </si>
  <si>
    <t>m²</t>
  </si>
  <si>
    <t>Please specify the gross area of the office in sq. Ft. or m² as per lease agreement</t>
  </si>
  <si>
    <t>Total area gross</t>
  </si>
  <si>
    <t>The number of parking spaces in the lease and NOT the area in sq. Ft. or m²</t>
  </si>
  <si>
    <t>Parking Spaces</t>
  </si>
  <si>
    <t>0</t>
  </si>
  <si>
    <t>3 digit international currency code for the local currency e.g. EUR, GBP or USD</t>
  </si>
  <si>
    <t>Currency Code</t>
  </si>
  <si>
    <t>AUD</t>
  </si>
  <si>
    <t>Total rental costs</t>
  </si>
  <si>
    <t>Total rental costs/ total sq. Ft. Or m²; in case location is owned, pls use reference prices</t>
  </si>
  <si>
    <t>Price per /m² Rent (in local currency)</t>
  </si>
  <si>
    <t>$565/ sqm Less incentive of $88.25 / sqm
Net rent $476.75</t>
  </si>
  <si>
    <t>Please specify, by how much the rent increases over which period of time (e.g.7% per year starting 2025)</t>
  </si>
  <si>
    <t>Indexation of the rent in percent per year</t>
  </si>
  <si>
    <t xml:space="preserve">3.75% per annum on anniversary date </t>
  </si>
  <si>
    <t xml:space="preserve">Please do not include the rental 
cost </t>
  </si>
  <si>
    <r>
      <t>Service fee and facility costs (According to Account 783*)</t>
    </r>
    <r>
      <rPr>
        <b/>
        <vertAlign val="superscript"/>
        <sz val="10"/>
        <rFont val="Arial"/>
        <family val="2"/>
      </rPr>
      <t>1</t>
    </r>
    <r>
      <rPr>
        <b/>
        <sz val="10"/>
        <rFont val="Arial"/>
        <family val="2"/>
      </rPr>
      <t xml:space="preserve"> - price per m²</t>
    </r>
  </si>
  <si>
    <t>Base building charges recovered from sub tenant of $98,000 per yr plus a proportion of some of the direct vendor costs that relate to the maintenance of the tenancy</t>
  </si>
  <si>
    <t>Total fee and facility costs</t>
  </si>
  <si>
    <t>Please specify, by how many % the costs increases over which period of time (e.g.7% per year starting 2025)</t>
  </si>
  <si>
    <t>Indexation of service fee and/or facility cost in percent per year</t>
  </si>
  <si>
    <t>3.75% per yr for rent</t>
  </si>
  <si>
    <t>What is the start date of the lease?</t>
  </si>
  <si>
    <t>The next fixed break date in the lease</t>
  </si>
  <si>
    <t>The date by which notice must have been served</t>
  </si>
  <si>
    <t>Next Break Notice Expiry</t>
  </si>
  <si>
    <t>N</t>
  </si>
  <si>
    <t>Can the contract be terminated before the end of the lease?</t>
  </si>
  <si>
    <t>Does a termination clause exist? Yes/No</t>
  </si>
  <si>
    <t>Please specify the exact conditions of the clause (date, notice period, penalty payments etc.)</t>
  </si>
  <si>
    <t>If yes, please specify the termination clause</t>
  </si>
  <si>
    <t>Does the lease automatically renew?</t>
  </si>
  <si>
    <t>Auto Renewing Lease? Yes/No</t>
  </si>
  <si>
    <t>How many months notice to prevent auto-renewal?</t>
  </si>
  <si>
    <t>Auto Renewal Notice Period (Months)</t>
  </si>
  <si>
    <t>N/A</t>
  </si>
  <si>
    <t>The current lease expiry date (leave blank if the lease is open ended)</t>
  </si>
  <si>
    <t>Please choose "Yes" / "No"; in case of yes, please specify in the comment field</t>
  </si>
  <si>
    <t>Does your BU have the contractual possibility to sublet your property? Yes/No</t>
  </si>
  <si>
    <t>Yes</t>
  </si>
  <si>
    <t>Please provide the details by using a separate coulmn</t>
  </si>
  <si>
    <t>If there is a sublet contract in place, please provide the details in a separate column</t>
  </si>
  <si>
    <t>subleaser</t>
  </si>
  <si>
    <r>
      <t xml:space="preserve">Please state only yes, if the </t>
    </r>
    <r>
      <rPr>
        <u/>
        <sz val="8"/>
        <rFont val="Arial"/>
        <family val="2"/>
      </rPr>
      <t>whole</t>
    </r>
    <r>
      <rPr>
        <sz val="8"/>
        <rFont val="Arial"/>
        <family val="2"/>
      </rPr>
      <t xml:space="preserve"> energy consumption of the location is covered by renewable energy </t>
    </r>
  </si>
  <si>
    <t>Is the location operated with renewable energy? Yes/No</t>
  </si>
  <si>
    <t>It could be an internationally recognized certificate (LEED, BREEAM, Green Star, etc.) or a more locally recognized certificate (e.g. DGNB in Germany)</t>
  </si>
  <si>
    <t xml:space="preserve">Does the office building hold any sustainability certificate? Yes/No - If yes please specify </t>
  </si>
  <si>
    <t>Yes- NABERS 5.5 star energy rating &amp; working on NABERS rating for waste</t>
  </si>
  <si>
    <t>Number of HC working in this location as of Sept 2025</t>
  </si>
  <si>
    <t>thereof No. of HC non-OPS</t>
  </si>
  <si>
    <t>thereof No. of HC OPS</t>
  </si>
  <si>
    <r>
      <t>Number of workstations</t>
    </r>
    <r>
      <rPr>
        <b/>
        <vertAlign val="superscript"/>
        <sz val="10"/>
        <color theme="1"/>
        <rFont val="Arial"/>
        <family val="2"/>
      </rPr>
      <t>2</t>
    </r>
    <r>
      <rPr>
        <sz val="10"/>
        <color theme="1"/>
        <rFont val="Arial"/>
        <family val="2"/>
      </rPr>
      <t xml:space="preserve"> in this location </t>
    </r>
  </si>
  <si>
    <t>H24 Operations in this site? Yes/No</t>
  </si>
  <si>
    <t>Average shifts per day for Operations people</t>
  </si>
  <si>
    <t>Maximum shifts per day for Operations people</t>
  </si>
  <si>
    <t>WFO rule for Platform operations people (number of days per week in the office)</t>
  </si>
  <si>
    <t>WFO rule for non Platform operations people (number of days per week in the office)</t>
  </si>
  <si>
    <r>
      <rPr>
        <vertAlign val="superscript"/>
        <sz val="10"/>
        <color theme="1"/>
        <rFont val="Arial"/>
        <family val="2"/>
      </rPr>
      <t>1</t>
    </r>
    <r>
      <rPr>
        <sz val="10"/>
        <color theme="1"/>
        <rFont val="Arial"/>
        <family val="2"/>
      </rPr>
      <t>783* - Accommodation Expenses</t>
    </r>
  </si>
  <si>
    <t>7831005 - Facilities IC rental expense: Premises IC rent → NOT TO BE INCLUDED</t>
  </si>
  <si>
    <t xml:space="preserve">7832001 - Utilities expenses </t>
  </si>
  <si>
    <t>7832002 - Maintenance expenses</t>
  </si>
  <si>
    <t>7832003 - Other occupancy expenses</t>
  </si>
  <si>
    <t>7833001 - Office equipment - scheduled</t>
  </si>
  <si>
    <t>7833004 - Other Office Costs</t>
  </si>
  <si>
    <r>
      <rPr>
        <vertAlign val="superscript"/>
        <sz val="10"/>
        <rFont val="Arial"/>
        <family val="2"/>
      </rPr>
      <t>2</t>
    </r>
    <r>
      <rPr>
        <sz val="10"/>
        <rFont val="Arial"/>
        <family val="2"/>
      </rPr>
      <t xml:space="preserve"> The workstation needs to qualify as regular work place with a sufficient desktop and an appropriate office chair. Agile and collaboration areas are excluded</t>
    </r>
  </si>
  <si>
    <t>3 (Bulgaria + Hungary)</t>
  </si>
  <si>
    <t>Contact Person</t>
  </si>
  <si>
    <t>Location 1 - Vienna</t>
  </si>
  <si>
    <t>Location 2 - Vienna - Extend</t>
  </si>
  <si>
    <t>AT01</t>
  </si>
  <si>
    <t>3rd floor</t>
  </si>
  <si>
    <t>rental</t>
  </si>
  <si>
    <t>AWP Austria GmbH</t>
  </si>
  <si>
    <t>Allianz Technology GmbH</t>
  </si>
  <si>
    <t>EUR</t>
  </si>
  <si>
    <t>Price per sq. Ft./m² Rent (in local currency)</t>
  </si>
  <si>
    <t>16,80/m²</t>
  </si>
  <si>
    <t>CPI</t>
  </si>
  <si>
    <r>
      <t>Service fee and facility costs (According to Account 783*)</t>
    </r>
    <r>
      <rPr>
        <b/>
        <vertAlign val="superscript"/>
        <sz val="10"/>
        <rFont val="Arial"/>
        <family val="2"/>
      </rPr>
      <t>1</t>
    </r>
    <r>
      <rPr>
        <b/>
        <sz val="10"/>
        <rFont val="Arial"/>
        <family val="2"/>
      </rPr>
      <t xml:space="preserve"> - price per sq. Ft. or m²</t>
    </r>
  </si>
  <si>
    <t>included in the rent</t>
  </si>
  <si>
    <t xml:space="preserve">6 months </t>
  </si>
  <si>
    <t>if terminated early, outstanding depreciation costs need to be paid</t>
  </si>
  <si>
    <r>
      <t>Please provide the details of the sublease agreement i</t>
    </r>
    <r>
      <rPr>
        <b/>
        <u/>
        <sz val="8"/>
        <rFont val="Arial"/>
        <family val="2"/>
      </rPr>
      <t xml:space="preserve">n a separate column of the document </t>
    </r>
  </si>
  <si>
    <t xml:space="preserve">If there is a sublease agreement in place, please provide the details in a separate column </t>
  </si>
  <si>
    <t>26/01/2026</t>
  </si>
  <si>
    <t>Angelyn Valeza</t>
  </si>
  <si>
    <t>Location 21 - Manama</t>
  </si>
  <si>
    <t>Location 22 - Manama</t>
  </si>
  <si>
    <t>Location 3 -</t>
  </si>
  <si>
    <t>Location 4 -</t>
  </si>
  <si>
    <t>Location 5 -</t>
  </si>
  <si>
    <t>Location 6 -</t>
  </si>
  <si>
    <t>Location 7 -</t>
  </si>
  <si>
    <t>Location 8 -</t>
  </si>
  <si>
    <t>Location 9 -</t>
  </si>
  <si>
    <t>Location 10 -</t>
  </si>
  <si>
    <t>BH01</t>
  </si>
  <si>
    <t>12th floor - office 1501 + 1502</t>
  </si>
  <si>
    <t>12th floor - office 1503 + 1504</t>
  </si>
  <si>
    <t>Nextcare Bahrain Ancillary Services B.S.C. Closed</t>
  </si>
  <si>
    <t>AWP MEA Holdings Co WLL</t>
  </si>
  <si>
    <t>Tylos Building Materials W.L.L.</t>
  </si>
  <si>
    <t>Unit sq FT or m²</t>
  </si>
  <si>
    <t>BHD</t>
  </si>
  <si>
    <t>6% every two years</t>
  </si>
  <si>
    <t>anytime</t>
  </si>
  <si>
    <t>1 month notice can be given to vacate but after 1 year</t>
  </si>
  <si>
    <t>1 month</t>
  </si>
  <si>
    <t xml:space="preserve">If there is a sublease agreement (external or internal) in place, please provide the details in a separate column </t>
  </si>
  <si>
    <t>Number of HC working in this location</t>
  </si>
  <si>
    <t>thereof No. of HC not working on operations platforms (call centers)</t>
  </si>
  <si>
    <t>thereof No. of HC working in operations platforms (call centers)</t>
  </si>
  <si>
    <t>thereof No. of HC non-platform operations</t>
  </si>
  <si>
    <t xml:space="preserve">thereof No. of HC platform operations </t>
  </si>
  <si>
    <t>Average shifts per day for Platform Operations people</t>
  </si>
  <si>
    <t>Maximum shifts per day for Platform Operations people</t>
  </si>
  <si>
    <t>Location 1 - Brussels Office</t>
  </si>
  <si>
    <t>Location 2 -</t>
  </si>
  <si>
    <t>BE01</t>
  </si>
  <si>
    <t>4th floor &amp; 50% of the 5th floor</t>
  </si>
  <si>
    <t>AWP P&amp;C SA - Belgian Branch</t>
  </si>
  <si>
    <t>AZ Benelux</t>
  </si>
  <si>
    <t>app. 3%</t>
  </si>
  <si>
    <t>NO</t>
  </si>
  <si>
    <t>Unknown</t>
  </si>
  <si>
    <t>Incl. RSA, TCC, MGCC, OPS Finance, P&amp;N</t>
  </si>
  <si>
    <t>Sales, Board, etc…</t>
  </si>
  <si>
    <t>7,5 hours</t>
  </si>
  <si>
    <t>Location 1 - Sofia</t>
  </si>
  <si>
    <t>Location 2 - xxx</t>
  </si>
  <si>
    <t>BU01</t>
  </si>
  <si>
    <t>part of a floor</t>
  </si>
  <si>
    <t>AWP P&amp;C S.A., branch Bulgaria</t>
  </si>
  <si>
    <t>Park Lane Srebarna</t>
  </si>
  <si>
    <t>Location 1 - Sao Bernardo do Campo</t>
  </si>
  <si>
    <t>BR01</t>
  </si>
  <si>
    <t xml:space="preserve">5th, 6th, 8th and 9th floor  </t>
  </si>
  <si>
    <t>50% of the 6th floor</t>
  </si>
  <si>
    <t>09751-020</t>
  </si>
  <si>
    <t>Allianz Partners Brazil</t>
  </si>
  <si>
    <t>Domo Corporate</t>
  </si>
  <si>
    <t>BRL</t>
  </si>
  <si>
    <t>Total Rental Cost</t>
  </si>
  <si>
    <t>2023 - 7%
2024 - 7%
2025 - 7%</t>
  </si>
  <si>
    <t>2023 - 0%
2024 - 7%
2025 - 7%</t>
  </si>
  <si>
    <t>Break penalty: (1 year rent / months of contract duration) * remaining months of the contract</t>
  </si>
  <si>
    <t>Location 1 - Cambridge</t>
  </si>
  <si>
    <t>Location 2 - Subleaese 1</t>
  </si>
  <si>
    <t>Location 3 - Sublease 2</t>
  </si>
  <si>
    <t>CA01</t>
  </si>
  <si>
    <t>Single story unattached office dwelling</t>
  </si>
  <si>
    <t>N3C 4N6</t>
  </si>
  <si>
    <t>Sublease</t>
  </si>
  <si>
    <t>AZGA</t>
  </si>
  <si>
    <t>Superior Propane</t>
  </si>
  <si>
    <t>Reid's Heritage Homes</t>
  </si>
  <si>
    <t>CF Property Management</t>
  </si>
  <si>
    <t>CAD</t>
  </si>
  <si>
    <t>Year 1-5 - $17.50
Year 6-10 - $19.35
Year 11-15- $21.35</t>
  </si>
  <si>
    <t>Year 1-5 - $17.00
Year 6-10 - $18.00
Year 11-14 - $19.00</t>
  </si>
  <si>
    <t>Year 1-4 - $18.50
Year 5-8- $19.50
Year 9-11 - $20.50</t>
  </si>
  <si>
    <t>Not indexed. Actual costs updaded yearly</t>
  </si>
  <si>
    <t>Sublet: Superior Propane Aug 01/20-Mar 30/34</t>
  </si>
  <si>
    <t>2nd Sublet: Reeds Heritage Homes(no details at this time)</t>
  </si>
  <si>
    <t>LEED Silver</t>
  </si>
  <si>
    <t>2 (8 hours)</t>
  </si>
  <si>
    <t>2 days in the office (recommended but not mandatory)</t>
  </si>
  <si>
    <t>Location 1 - Bogota</t>
  </si>
  <si>
    <t>CO01</t>
  </si>
  <si>
    <t>Location from floor 2 to floor 4</t>
  </si>
  <si>
    <t>|</t>
  </si>
  <si>
    <t xml:space="preserve">Yes </t>
  </si>
  <si>
    <t>Allianz Partners Colombia</t>
  </si>
  <si>
    <t>Allianz Seguros de Vida SAS</t>
  </si>
  <si>
    <t>243 MTR</t>
  </si>
  <si>
    <t xml:space="preserve">COP </t>
  </si>
  <si>
    <t>IPC (CPI)</t>
  </si>
  <si>
    <t>1. With the exception of monetary obligations, in the event of breach of any of the obligations of this Contract by any of the Parties, the Party in breach shall make it debtor, as the case may be, by way of penalty, a sum equal to double the Fee in force at the time of the breach, without the need for private or judicial injunctions. In addition, the Party in default may collect damages and demand performance of the principal obligation. In this way, the payment of the penalty does not extinguish the principal obligation.
2. In the event of early termination of this Contract by the LESSEE without just cause, the LESSEE shall pay to the other party at the time of termination a sum equivalent to three (3) rental fees in force on the same date, proportional to the time elapsed in the contract, all of the above, without prejudice to the judicial or extrajudicial pursuit of the payment of all damages that any of the parties may incur for any reason, as expressly stipulated, in accordance with the power established in Articles 1600 and 1616 of the Civil Code.</t>
  </si>
  <si>
    <t>YES / 1 year</t>
  </si>
  <si>
    <t xml:space="preserve">Three months </t>
  </si>
  <si>
    <t xml:space="preserve">No </t>
  </si>
  <si>
    <t>Location 1 - Bejing</t>
  </si>
  <si>
    <t>Location 2 - Chengdu</t>
  </si>
  <si>
    <t>Location 3 - Shanghai</t>
  </si>
  <si>
    <t>CN01</t>
  </si>
  <si>
    <t>CN02</t>
  </si>
  <si>
    <t>CN03</t>
  </si>
  <si>
    <t>A Zone, Building 7#
Floor 3-5</t>
    <phoneticPr fontId="0" type="noConversion"/>
  </si>
  <si>
    <t>9F, Tower  E2</t>
  </si>
  <si>
    <t>Unit 1401</t>
  </si>
  <si>
    <t>Is the office located at an Allianz Premises? Y/N</t>
    <phoneticPr fontId="0" type="noConversion"/>
  </si>
  <si>
    <t>Does the Allianz entity provide the respective services as security, cleaning, etc.?</t>
    <phoneticPr fontId="0" type="noConversion"/>
  </si>
  <si>
    <t>Is the office also actively managed by an Allianz entity? Y/N</t>
  </si>
  <si>
    <t>N</t>
    <phoneticPr fontId="0" type="noConversion"/>
  </si>
  <si>
    <t xml:space="preserve">N </t>
  </si>
  <si>
    <t>AzP China - 3594㎡                 Fusang - 300㎡                        FuAn - 100㎡                          Broker - 200㎡</t>
  </si>
  <si>
    <t>AzP China Chengdu</t>
  </si>
  <si>
    <t>AzP China Shanghai</t>
  </si>
  <si>
    <t>Beijing Mintong Jiye Investment Management Co., Ltd.</t>
  </si>
  <si>
    <t xml:space="preserve">Chengdu Hi-tech Investment Group Co., Ltd. </t>
  </si>
  <si>
    <t>Shanghai Tower Construction and Development Co., Ltd.</t>
  </si>
  <si>
    <t>CNY</t>
  </si>
  <si>
    <t>-</t>
  </si>
  <si>
    <t>The next fixed break date in the lease</t>
    <phoneticPr fontId="0" type="noConversion"/>
  </si>
  <si>
    <t>Can the contract be terminated before the end of the lease?</t>
    <phoneticPr fontId="0" type="noConversion"/>
  </si>
  <si>
    <t>Does a termination clause exist? Y/N</t>
  </si>
  <si>
    <t>Y</t>
  </si>
  <si>
    <t>Application with offical notification letter to the landlord via 3 months in advance and also need bear limit 3 momths rental fee as dedit.</t>
  </si>
  <si>
    <t>Auto Renewing Lease? Y/N</t>
  </si>
  <si>
    <t>-</t>
    <phoneticPr fontId="0" type="noConversion"/>
  </si>
  <si>
    <t>The current lease expiry date (leave blank if the lease is open ended)</t>
    <phoneticPr fontId="0" type="noConversion"/>
  </si>
  <si>
    <t>Does your BU have the contractual possibility to sublet your property? Y/N</t>
  </si>
  <si>
    <t>Name of the tenant, no. of floors, size of the area, etc.</t>
  </si>
  <si>
    <t>If there is a sublet contract in place, please provide details for all the agreements in place</t>
  </si>
  <si>
    <t>Is the location operated with renewable energy? Y/N</t>
  </si>
  <si>
    <t xml:space="preserve">Does the office building hold any sustainability certificate? Y/N - If yes please specify </t>
  </si>
  <si>
    <t>HRO = Human Resource Outsourcing, employees who signed a lanor contract with a 3rd party provider</t>
  </si>
  <si>
    <t>8working Hrs/Day</t>
    <phoneticPr fontId="0" type="noConversion"/>
  </si>
  <si>
    <t>8 working Hrs/Day</t>
    <phoneticPr fontId="0" type="noConversion"/>
  </si>
  <si>
    <t>Location 1 - Prague</t>
  </si>
  <si>
    <t>Location 2 - Bratislava</t>
  </si>
  <si>
    <t>CZ01</t>
  </si>
  <si>
    <t>CZ02</t>
  </si>
  <si>
    <t xml:space="preserve">2nd floor in new constructed bulding </t>
  </si>
  <si>
    <t>2nd floor old bulding, downtown of the city</t>
  </si>
  <si>
    <t>170 00</t>
  </si>
  <si>
    <t>811 05</t>
  </si>
  <si>
    <t xml:space="preserve">Slovakia </t>
  </si>
  <si>
    <t>AP Solutions GmbH Česká republika - odštěpný závod zahraniční právnické osoby</t>
  </si>
  <si>
    <t>AP Solutions GmbH Slovenská republika, organizačná zložka</t>
  </si>
  <si>
    <t>PM Office center One s.r.o.</t>
  </si>
  <si>
    <t>Sintec spol s.r.o.</t>
  </si>
  <si>
    <t>CZK/EUR</t>
  </si>
  <si>
    <t>indexation only for the price per offices - for 2025 = 2,5%</t>
  </si>
  <si>
    <t>no indexation</t>
  </si>
  <si>
    <t>The possibility of indexation is in the agreement. But there was no indexation for previous years.</t>
  </si>
  <si>
    <t>3 months notice at any given time</t>
  </si>
  <si>
    <t>1.2.2025 - 14.2.2025</t>
  </si>
  <si>
    <t>If the notice is delivered between 1.2.2025 and 14.2.2025 there is a possibility to terminater the lease before the lease end date without any penatly payments. The notice period in 6 months and begins from the first day of the calendar month following the calendar month in which the notice was delivered. The tenant is entitled to terminate the Lease Agreement early before the Lease End Date only for the following reasons: 1. The premises or part of them cannot be used for reasons not attributable to the tenant. 2. The landlord repeatedly violates the obligations arising from the Lease Agreement by limiting the tenant's use of the premises. 3. The premises becime demonstrably unfit for the contracted use through no fault of the tenant and this will not be rectified by the landlord. 4. The court will make a final decision on the declaration of bankruptcy ot the landlord. 5. The landlord general meeting will decide on the landlord's entry into liquidation. These clauses are detailed int he Lease Agreement in paragraph 10. Early termination of the Lease</t>
  </si>
  <si>
    <t>Termination may be given without giving any reason. The notice period is 3 months and starts from the first day of the month following the month in which the notice was delivered. The landlord is entitled to give the tenant immediate notice in the event of violation of the deadlines of the rent and energy pamyents if the delay is more than 30 days. Tenant is entitled to give immediate notice if there is no possibility to use the premises for the agreed purposes for more than 30 days.  The lease agreement ends with the demise of subject of the lease ot the demise of the tenant.</t>
  </si>
  <si>
    <t>Indefinite</t>
  </si>
  <si>
    <t>only with the landlord's consent</t>
  </si>
  <si>
    <t>Ismail Abdelfatah /Amal Evram</t>
  </si>
  <si>
    <t>Location 7 - Cairo</t>
  </si>
  <si>
    <t>Location 8 - Cairo</t>
  </si>
  <si>
    <t>Location 9 - Cairo</t>
  </si>
  <si>
    <t>EG01</t>
  </si>
  <si>
    <t>EG02</t>
  </si>
  <si>
    <t>Car Parking Contract</t>
  </si>
  <si>
    <t>Warehouse Rental Contract</t>
  </si>
  <si>
    <t xml:space="preserve">2nd floor
</t>
  </si>
  <si>
    <t>M1</t>
  </si>
  <si>
    <t xml:space="preserve">ground floor </t>
  </si>
  <si>
    <t>Nextcare LLC</t>
  </si>
  <si>
    <t>NEXTCARE LLC</t>
  </si>
  <si>
    <t>Egyptians for housing and development, joint stock company</t>
  </si>
  <si>
    <t xml:space="preserve">Ali Hassan Ali </t>
  </si>
  <si>
    <t xml:space="preserve">slot </t>
  </si>
  <si>
    <t>EGP</t>
  </si>
  <si>
    <t>Price per sq. Ft./m² Rent (in local currency)/ month</t>
  </si>
  <si>
    <t>8% annual</t>
  </si>
  <si>
    <t>NA</t>
  </si>
  <si>
    <t>10% Annual</t>
  </si>
  <si>
    <t>8% for service fee</t>
  </si>
  <si>
    <t>the minimum leasing term is 2 years. If we wish to terminate the lease after 2 years, we need to give notice of 3 months before exit date</t>
  </si>
  <si>
    <t xml:space="preserve">2 months notice period </t>
  </si>
  <si>
    <t>Location 1 - ESQ 2</t>
  </si>
  <si>
    <t>Location 2 - Le Mans</t>
  </si>
  <si>
    <t>Location 3 - ESQ 1</t>
  </si>
  <si>
    <t>Location 4 - Chatillon</t>
  </si>
  <si>
    <t>Location 5 - Armentières</t>
  </si>
  <si>
    <t>St. Ouen / Eurosquare 2</t>
  </si>
  <si>
    <t>FR01</t>
  </si>
  <si>
    <t>FR02</t>
  </si>
  <si>
    <t>FR03</t>
  </si>
  <si>
    <t>FR05</t>
  </si>
  <si>
    <t>FR06</t>
  </si>
  <si>
    <t>Group of 2 buildings composed of 
all ground floor
part of 1st floor 
2nd, 3rd, 4th, 5th,7th floors</t>
  </si>
  <si>
    <t xml:space="preserve">Group of 2 buildings </t>
  </si>
  <si>
    <t>Ground, 1st and 2nd Floor</t>
  </si>
  <si>
    <t>Whole Building</t>
  </si>
  <si>
    <t>6 &amp; 8th floor</t>
  </si>
  <si>
    <t>AWP France SAS</t>
  </si>
  <si>
    <t>Allianz Partners SAS</t>
  </si>
  <si>
    <t>GTS</t>
  </si>
  <si>
    <t>SCPI ACCIMO - PIERRE</t>
  </si>
  <si>
    <t>SECOS</t>
  </si>
  <si>
    <t>HECF FRANCE 2 SCI</t>
  </si>
  <si>
    <t>PF1</t>
  </si>
  <si>
    <t>SOCIETE CIVILE IMMOBILIERE DU STADE</t>
  </si>
  <si>
    <t>SCPI ACCIMMO PIERRE</t>
  </si>
  <si>
    <t>ILAT Indice</t>
  </si>
  <si>
    <t>ILAT indice</t>
  </si>
  <si>
    <t>ILAT</t>
  </si>
  <si>
    <t xml:space="preserve">yearly ILAT </t>
  </si>
  <si>
    <t>yearly ILC</t>
  </si>
  <si>
    <t>between 7 and 9 % depending on the evolution of wage costs and energy</t>
  </si>
  <si>
    <t xml:space="preserve">2024 vs 2023 : +7 % </t>
  </si>
  <si>
    <t>2024 vs 2023 / + 29 %</t>
  </si>
  <si>
    <t>yes</t>
  </si>
  <si>
    <t>Each triennium</t>
  </si>
  <si>
    <t>12 months notification to end on next break date</t>
  </si>
  <si>
    <t>12 months notification to cancel the contract after the first 6 years</t>
  </si>
  <si>
    <t>6 months notice before each triennium</t>
  </si>
  <si>
    <t xml:space="preserve">6 month before the end of the triennal period </t>
  </si>
  <si>
    <t>no</t>
  </si>
  <si>
    <t>12 months</t>
  </si>
  <si>
    <t>6 months</t>
  </si>
  <si>
    <t>Only for a company belonging to ALLIANZ PARTNERS with prior consent of the owner</t>
  </si>
  <si>
    <t>HQE exploitation</t>
  </si>
  <si>
    <t>Remarks</t>
  </si>
  <si>
    <t>we are no longer in the building; rental contract taken over by Allianz ONE</t>
  </si>
  <si>
    <t>Move to Allianz Campus planned for Q2/26 - contract terminated</t>
  </si>
  <si>
    <t>Contract terminated as of 31 March 2026</t>
  </si>
  <si>
    <t>Data missing - need to follow up</t>
  </si>
  <si>
    <t>under evaluation</t>
  </si>
  <si>
    <t>Daniel Krauss</t>
  </si>
  <si>
    <t>Location 1 - Aschheim - AP Deutschland GmbH</t>
  </si>
  <si>
    <t>Location 2 - Aschheim - AHS</t>
  </si>
  <si>
    <t>Location 3 - Berlin - AHS</t>
  </si>
  <si>
    <t>Location 5 - Bad Vibel - Rehacare</t>
  </si>
  <si>
    <t>Location 8 - Düsseldorf AHS</t>
  </si>
  <si>
    <t>Location 9 - Frankfurt - AHS</t>
  </si>
  <si>
    <t>Location 10 - Hamburg - AHS</t>
  </si>
  <si>
    <t>Location 11 - Hamburg - Rehacare</t>
  </si>
  <si>
    <t>Location 12 - Jena - Rehacare</t>
  </si>
  <si>
    <t>Location 13 - Leipzig - AHS</t>
  </si>
  <si>
    <t>Location 14 - Ludwigsburg - Rehacare</t>
  </si>
  <si>
    <t>Location 15 - Magdeburg - Rehacare</t>
  </si>
  <si>
    <t>Location 16 - Meisenheim - Rehacare</t>
  </si>
  <si>
    <t>Location 17 - München - Rehacare</t>
  </si>
  <si>
    <t>Location 18 - Neustadt - AHS</t>
  </si>
  <si>
    <t>Location 19 - Nürnberg - MKS</t>
  </si>
  <si>
    <t>Location 20 - Nürnberg - Rehacare</t>
  </si>
  <si>
    <t>Location 22 - Plochingen - Mawista</t>
  </si>
  <si>
    <t>Location 23 - Pulsnitz - Rehacare</t>
  </si>
  <si>
    <t>Location 24 - Rüsselsheim - AVS</t>
  </si>
  <si>
    <t>Location 25 - Siegen - Rehacare</t>
  </si>
  <si>
    <t>Location 26 - Stuttgart - AHS</t>
  </si>
  <si>
    <t>Location 28 - Weinheim - Rehacare</t>
  </si>
  <si>
    <t>Location 29 - Unna - Rehacare</t>
  </si>
  <si>
    <t>Location 30 - Unterföhring - Az Warranty</t>
  </si>
  <si>
    <t>Location 1 - Munich</t>
  </si>
  <si>
    <t>Location 2 - Stuttgart</t>
  </si>
  <si>
    <t>DE02</t>
  </si>
  <si>
    <t>DE14</t>
  </si>
  <si>
    <t>DE03</t>
  </si>
  <si>
    <t>DE04</t>
  </si>
  <si>
    <t>DE05</t>
  </si>
  <si>
    <t>DE16</t>
  </si>
  <si>
    <t>DE17</t>
  </si>
  <si>
    <t>DE06</t>
  </si>
  <si>
    <t>DE18</t>
  </si>
  <si>
    <t>DE19</t>
  </si>
  <si>
    <t>DE20</t>
  </si>
  <si>
    <t>DE21</t>
  </si>
  <si>
    <t>DE07</t>
  </si>
  <si>
    <t>DE13</t>
  </si>
  <si>
    <t>DE22</t>
  </si>
  <si>
    <t>DE12</t>
  </si>
  <si>
    <t>DE24</t>
  </si>
  <si>
    <t>DE09</t>
  </si>
  <si>
    <t>DE25</t>
  </si>
  <si>
    <t>DE08</t>
  </si>
  <si>
    <t>DE27</t>
  </si>
  <si>
    <t>DE28</t>
  </si>
  <si>
    <t>DE10</t>
  </si>
  <si>
    <t>AGB01</t>
  </si>
  <si>
    <t>AGB02</t>
  </si>
  <si>
    <t>DE29</t>
  </si>
  <si>
    <t>Ground floor, 1st- 4th floor</t>
  </si>
  <si>
    <t>Ground floor</t>
  </si>
  <si>
    <t>Ground floor, 1st and 2nd floor</t>
  </si>
  <si>
    <t>1st Floor</t>
  </si>
  <si>
    <t>2nd floor</t>
  </si>
  <si>
    <t>part of second floor</t>
  </si>
  <si>
    <t>6th Floor</t>
  </si>
  <si>
    <t>2nd Floor</t>
  </si>
  <si>
    <t>1st floor</t>
  </si>
  <si>
    <t>2nd Floor Building B</t>
  </si>
  <si>
    <t>3rd Floor</t>
  </si>
  <si>
    <t>Whole 1st floor</t>
  </si>
  <si>
    <t>?</t>
  </si>
  <si>
    <t>5th Floor</t>
  </si>
  <si>
    <t>part of the 4th floor</t>
  </si>
  <si>
    <t>Ground Floor</t>
  </si>
  <si>
    <t>50% ground floor</t>
  </si>
  <si>
    <t>part of ground floor</t>
  </si>
  <si>
    <t>part of 1st floor</t>
  </si>
  <si>
    <t>4th and 5th floor</t>
  </si>
  <si>
    <t>Bahnhofstrasse 16</t>
  </si>
  <si>
    <t>Aschheim/München</t>
  </si>
  <si>
    <t>07743</t>
  </si>
  <si>
    <t>04105</t>
  </si>
  <si>
    <t>01896</t>
  </si>
  <si>
    <t>AP Solution GmbH</t>
  </si>
  <si>
    <t>included in Location 1</t>
  </si>
  <si>
    <t>Rehacare</t>
  </si>
  <si>
    <t>MAWISTA GmbH</t>
  </si>
  <si>
    <t>Warranty GmbH</t>
  </si>
  <si>
    <t>Allianz Global Benefits GmbH</t>
  </si>
  <si>
    <t>Allianz Partners S.A.S. German Branch</t>
  </si>
  <si>
    <t>MG-Dornach Bestandsgebäude GmbH</t>
  </si>
  <si>
    <t>Europa-Center AG</t>
  </si>
  <si>
    <t>Knodt, Lothar</t>
  </si>
  <si>
    <t>Sirius Narcissus GmbH &amp; Go. KG</t>
  </si>
  <si>
    <t>Deka Immobilien Investment GmbH</t>
  </si>
  <si>
    <t>Allianz ONE Business</t>
  </si>
  <si>
    <t>Wördemann, Gerd</t>
  </si>
  <si>
    <t>Kommunale Immobilien Jena</t>
  </si>
  <si>
    <t>LE Property 2 GmbH</t>
  </si>
  <si>
    <t>Weda, Peter</t>
  </si>
  <si>
    <t>Trigon Grundstücks-gesellschaft mbH &amp; Co</t>
  </si>
  <si>
    <t>Haas, Constanze</t>
  </si>
  <si>
    <t>Grundbesitzgesell-
schaft Gebrüder Kurz GbR</t>
  </si>
  <si>
    <t>Bruchteilsgemeinschaft/ Hausgemeinschaft Maximilianstraße 5</t>
  </si>
  <si>
    <t>Plum Crocos Property GmbH (AroundTown)</t>
  </si>
  <si>
    <t>Tetris Grundbesitz GmbH &amp; Co.KG</t>
  </si>
  <si>
    <t>Grundstücksgemeinschaft Plochingen – Dagmar, Thomas und Oliver Kube
Esslinger Straße 8, 73207 Plochingen/N.</t>
  </si>
  <si>
    <t>Schelzel, Falk</t>
  </si>
  <si>
    <t>ImPro Immobilienprojektierung und Verwaltungs-GmbH</t>
  </si>
  <si>
    <t>Dr. Fischer, Gerd</t>
  </si>
  <si>
    <t>Moritz Andersen GmbH</t>
  </si>
  <si>
    <t>Allianz One- Business Solutions GmbH</t>
  </si>
  <si>
    <t>Allianz One - Business Solutions GmbH</t>
  </si>
  <si>
    <t>Werksviertel Vermietungs GmbH</t>
  </si>
  <si>
    <t>1 (+80 € / month)</t>
  </si>
  <si>
    <t>1 (+35 € / month)</t>
  </si>
  <si>
    <t>8 (+432 €)</t>
  </si>
  <si>
    <t>2 (+320 €)</t>
  </si>
  <si>
    <t>1 (+142,80 €)</t>
  </si>
  <si>
    <t>1 (+79,56 €)</t>
  </si>
  <si>
    <t>1 (+29 €)</t>
  </si>
  <si>
    <t>13.135,67 EUR</t>
  </si>
  <si>
    <t>???</t>
  </si>
  <si>
    <t>3,57 EUR/m²</t>
  </si>
  <si>
    <t>---</t>
  </si>
  <si>
    <t>2 % per year starting 2027</t>
  </si>
  <si>
    <t>5 % index if consumer-index is high enough</t>
  </si>
  <si>
    <t>Indexation according to Consumer Price Index (VPI); adjustment if VPI increases by ≥ 5 %. No fixed annual percentage.</t>
  </si>
  <si>
    <t>incl</t>
  </si>
  <si>
    <t xml:space="preserve"> 01.05.2019</t>
  </si>
  <si>
    <t>not fixed</t>
  </si>
  <si>
    <t>undetermined</t>
  </si>
  <si>
    <t>The tenancy ends automatically at the end of the fixed rental period, on 31.12.2026, without requiring notice</t>
  </si>
  <si>
    <t>31.03.2026 (12 months before break date)</t>
  </si>
  <si>
    <t>Notice Period: 9 months</t>
  </si>
  <si>
    <t>Notice Period: 8 months</t>
  </si>
  <si>
    <t>Notice Period: 12 months</t>
  </si>
  <si>
    <t>Notice Period: 6 months</t>
  </si>
  <si>
    <t>Ordinary termination with 12 months’ notice is possible; immediate termination without notice in the event of a breach of contractual obligations (§5).</t>
  </si>
  <si>
    <t>Termination after 3 years with a penalty payment of 9 months of rent</t>
  </si>
  <si>
    <t>yes, 3 Years for 2 times</t>
  </si>
  <si>
    <t>n.a.</t>
  </si>
  <si>
    <t>12 Months</t>
  </si>
  <si>
    <t>indefinite</t>
  </si>
  <si>
    <t>No, but In individual cases, the landlord can approve a sublease</t>
  </si>
  <si>
    <t>Yes (with landlord’s consent)</t>
  </si>
  <si>
    <t>Yes but only in consensus with the landlord</t>
  </si>
  <si>
    <t>No sublease agreement currently in place</t>
  </si>
  <si>
    <t>partially</t>
  </si>
  <si>
    <t>moved out of the building</t>
  </si>
  <si>
    <t>14, possible second workplace line (20-24)</t>
  </si>
  <si>
    <t>normal day shift</t>
  </si>
  <si>
    <t>officially 1 office day per week, but there are also employees who come in more often or daily</t>
  </si>
  <si>
    <t>2 - 5 Days Week</t>
  </si>
  <si>
    <t>no non Plattform Ops</t>
  </si>
  <si>
    <t>3 till 5</t>
  </si>
  <si>
    <t>Location 1 - Athens (HQ)</t>
  </si>
  <si>
    <t>Location 2 - Athens</t>
  </si>
  <si>
    <t>Location 3 - Thessaloniki</t>
  </si>
  <si>
    <t>Location 4 - Athens</t>
  </si>
  <si>
    <t>GR01</t>
  </si>
  <si>
    <t>GR02</t>
  </si>
  <si>
    <t>GR03</t>
  </si>
  <si>
    <t>GR04</t>
  </si>
  <si>
    <t>whole building</t>
  </si>
  <si>
    <t>2 floors</t>
  </si>
  <si>
    <t>Allianz Partners Hellas</t>
  </si>
  <si>
    <t>MARNI SA
IOMAR SA</t>
  </si>
  <si>
    <t>Smartnet</t>
  </si>
  <si>
    <t>Karnapati</t>
  </si>
  <si>
    <t>various</t>
  </si>
  <si>
    <t>None</t>
  </si>
  <si>
    <t>inside the building</t>
  </si>
  <si>
    <t>not provided</t>
  </si>
  <si>
    <t>Location 1 - Hongkong</t>
  </si>
  <si>
    <t>HK01</t>
  </si>
  <si>
    <t>Suites 304 - 306</t>
  </si>
  <si>
    <t>ALLIANZ WORLDWIDE PARTNERS (HONG KONG) LIMITED</t>
  </si>
  <si>
    <t>EULER HERMES HONG KONG SERVICES LIMITED</t>
  </si>
  <si>
    <t>nil</t>
  </si>
  <si>
    <t>HKD</t>
  </si>
  <si>
    <t>see tab</t>
  </si>
  <si>
    <t>Location 1 - Budapest</t>
  </si>
  <si>
    <t>HU01</t>
  </si>
  <si>
    <t>AWP P&amp;C S.A</t>
  </si>
  <si>
    <t>Allianz Hungária Zrt.</t>
  </si>
  <si>
    <t>11,4/m²</t>
  </si>
  <si>
    <t>7,8/m2</t>
  </si>
  <si>
    <t>22 +3 from Jan 2026</t>
  </si>
  <si>
    <t>India GSD</t>
  </si>
  <si>
    <t>Location 1 - Gurgaon</t>
  </si>
  <si>
    <t>Location 2 - Gurgaon</t>
  </si>
  <si>
    <t>Location 3 - Noida</t>
  </si>
  <si>
    <t xml:space="preserve">Location 4 - </t>
  </si>
  <si>
    <t>IN01</t>
  </si>
  <si>
    <t>IN02</t>
  </si>
  <si>
    <t>IN03</t>
  </si>
  <si>
    <t>IN04</t>
  </si>
  <si>
    <t>6th and 7th floor</t>
  </si>
  <si>
    <t>11th floor</t>
  </si>
  <si>
    <t>8th Floor, Block-1</t>
  </si>
  <si>
    <t xml:space="preserve">AWP ASSISTANCE (INDIA) PRIVATE LIMITED </t>
  </si>
  <si>
    <t>Allianz Partners Global Business Solutions Pvt. Ltd.</t>
  </si>
  <si>
    <t>Renkon Partners</t>
  </si>
  <si>
    <t>Spaze Towers Private Limited</t>
  </si>
  <si>
    <t xml:space="preserve">SHANTINIKETAN PROPERTIES PRIVATE LIMITED  </t>
  </si>
  <si>
    <t>ITPG Developers Phase I Private Limited</t>
  </si>
  <si>
    <t>INR</t>
  </si>
  <si>
    <t>Next escaltion is 15% in 2024 Nov</t>
  </si>
  <si>
    <t>Next escalation iis 10% in 2024 Sept</t>
  </si>
  <si>
    <t>Next escaltion is 15% in 2025 Jun</t>
  </si>
  <si>
    <t>no increase in CAM, it charged on actual comsumption</t>
  </si>
  <si>
    <t>anytime - 6 months notice</t>
  </si>
  <si>
    <t>contract can be terminated by giving 6 month notice</t>
  </si>
  <si>
    <t>After expiry of the lock-in period, the lesse can terminate the lease by providing 6 months written notice to the lessor</t>
  </si>
  <si>
    <t>Yes (LEED)</t>
  </si>
  <si>
    <t>9 hours</t>
  </si>
  <si>
    <t>Hybrid (WFH and WFO - 
depending on alignment with LOBs)</t>
  </si>
  <si>
    <t>DLF</t>
  </si>
  <si>
    <t>Spaze</t>
  </si>
  <si>
    <t>Noida</t>
  </si>
  <si>
    <t>Vendor Name</t>
  </si>
  <si>
    <t>Jan'23</t>
  </si>
  <si>
    <t>Feb'23</t>
  </si>
  <si>
    <t>Cleaning (Housekeeping)</t>
  </si>
  <si>
    <t>Security (physical guards)</t>
  </si>
  <si>
    <t>Utility (Electricity)</t>
  </si>
  <si>
    <t>Total</t>
  </si>
  <si>
    <t>Average</t>
  </si>
  <si>
    <t>1 Year Extrapolation</t>
  </si>
  <si>
    <t>Size in sqft</t>
  </si>
  <si>
    <t>Size in sqm</t>
  </si>
  <si>
    <t>Price per sqm/year</t>
  </si>
  <si>
    <t>Location 1 - Indonesia</t>
  </si>
  <si>
    <t>ID01</t>
  </si>
  <si>
    <t>1 floor at level 6</t>
  </si>
  <si>
    <t>PT AzP Services Indonesia</t>
  </si>
  <si>
    <t>PT Kiprah Sukses Bersama</t>
  </si>
  <si>
    <t>3 car parks (1 free of charge) and 15 motorcycle parks</t>
  </si>
  <si>
    <t>IDR</t>
  </si>
  <si>
    <t>Clause no. 12</t>
  </si>
  <si>
    <t>5 in Dublin, 1 in Brussels, 1 in Qatar, 1 in Libya</t>
  </si>
  <si>
    <t>seamus.reilly@allianz.com</t>
  </si>
  <si>
    <t>Location 1 - Building 11 A</t>
  </si>
  <si>
    <t>Location 2 - Building 11 B</t>
  </si>
  <si>
    <t>Location 3 - Building  12 A</t>
  </si>
  <si>
    <t>Location 4 - Building 12 B</t>
  </si>
  <si>
    <t>Location 5 - Building 15</t>
  </si>
  <si>
    <t>Building 11B sublease details</t>
  </si>
  <si>
    <t>IR01</t>
  </si>
  <si>
    <t>IR02</t>
  </si>
  <si>
    <t>IR03</t>
  </si>
  <si>
    <t>IR04</t>
  </si>
  <si>
    <t>IR05</t>
  </si>
  <si>
    <t>Part of 2nd Floor</t>
  </si>
  <si>
    <t>Part of 1st Floor</t>
  </si>
  <si>
    <t>D12 C4V6</t>
  </si>
  <si>
    <t>D12 KD63</t>
  </si>
  <si>
    <t>D12 XE93</t>
  </si>
  <si>
    <t>D12 P651</t>
  </si>
  <si>
    <t>Rental / owned / sublease</t>
  </si>
  <si>
    <t>Owned</t>
  </si>
  <si>
    <t>N/A - we own building</t>
  </si>
  <si>
    <t>Yes - we own the building</t>
  </si>
  <si>
    <t>AWP</t>
  </si>
  <si>
    <t>AGA</t>
  </si>
  <si>
    <t>Allianz Ireland - Disaster recovery area</t>
  </si>
  <si>
    <t>Allianz Technology</t>
  </si>
  <si>
    <t>m2</t>
  </si>
  <si>
    <t>5, annual cost 650 per spot</t>
  </si>
  <si>
    <t>8, annual cost 650 EUR per spot</t>
  </si>
  <si>
    <t>181,47 year/m² (true up)</t>
  </si>
  <si>
    <t xml:space="preserve">Fixed </t>
  </si>
  <si>
    <t>Fixed</t>
  </si>
  <si>
    <t>Fi9xed</t>
  </si>
  <si>
    <t>Pro rata - 10.72% of 11B</t>
  </si>
  <si>
    <t>Rates only</t>
  </si>
  <si>
    <t>35.41% of 11B</t>
  </si>
  <si>
    <t>24/10/2015 - revised Jan 25</t>
  </si>
  <si>
    <t>18/12/2019 - - in revision currently - awating their variations</t>
  </si>
  <si>
    <t>3 months notice required</t>
  </si>
  <si>
    <t>3 months notice</t>
  </si>
  <si>
    <t>3 months notice period for the Licensee and 6 months for the Licensor</t>
  </si>
  <si>
    <t>3 months notice period for the Licensee and 9 months for the Licensor</t>
  </si>
  <si>
    <t>3 months notice period for the Licensee and 3 months for the Licensor</t>
  </si>
  <si>
    <t>Licence rather than lease and it continues until notice is served</t>
  </si>
  <si>
    <t>4 months notice period for the Licensee and 3 months for the Licensor</t>
  </si>
  <si>
    <t>open end</t>
  </si>
  <si>
    <t>Yes - portions sublet to AGA, AZ Ire and Aztech</t>
  </si>
  <si>
    <t>Licences with AGA for area of 11B. AGA pay a licence fee per sqm, pay a portion of the buildng charges. No end date and 3 months termiantion for both parties</t>
  </si>
  <si>
    <t>Licences with Allianz Ireland for area of 11B. Allianz Ireland pay a licence fee per sqm, pay aportion of the buildng charges. No end date and 3 months termiantion for both parties</t>
  </si>
  <si>
    <t>Licences with Allianz Technology for area of 11B. Allianz Technology pay a licence fee per sqm, pay aportion of the buildng charges. No end date and 3 months termiantion for both parties</t>
  </si>
  <si>
    <t>Number of HC working in this location as of sept 2025</t>
  </si>
  <si>
    <t>23/09/2025</t>
  </si>
  <si>
    <t>Location 1 - Milano</t>
  </si>
  <si>
    <t>Location 2 - Casarano</t>
  </si>
  <si>
    <t>Location 3 - Castenaso</t>
  </si>
  <si>
    <t>IT01</t>
  </si>
  <si>
    <t>IT02</t>
  </si>
  <si>
    <t>IT03</t>
  </si>
  <si>
    <t>2nd &amp; 3rd floor</t>
  </si>
  <si>
    <t>Ground &amp; 1st floor</t>
  </si>
  <si>
    <t>AWP P&amp;C S.A.</t>
  </si>
  <si>
    <t>AWP Contact Center Italia Srl</t>
  </si>
  <si>
    <t>Allianz SpA</t>
  </si>
  <si>
    <t>Project Srl</t>
  </si>
  <si>
    <t>ALFA HOLDING Srl</t>
  </si>
  <si>
    <t>675000 € /year</t>
  </si>
  <si>
    <t>50895 € / year</t>
  </si>
  <si>
    <t>22380 €/ year</t>
  </si>
  <si>
    <t>100% of the percentage change (only if positive) in the consumer price index as determined by ISTAT in the previous year.
It applies each year.</t>
  </si>
  <si>
    <t>annual adjustment through revaluation equal to 75% of the change in the ISTAT index, starting from the second year</t>
  </si>
  <si>
    <t>2,5%</t>
  </si>
  <si>
    <t>Option to terminate effective at the 4th or 10th year from the commencement date; notice to be sent with at least 12 months' advance notice</t>
  </si>
  <si>
    <t>Option to terminate the agreement with at least 6 months' advance notice</t>
  </si>
  <si>
    <t>in the absence of termination - to be communicated at least 6 months before the expiration - the agreement will be considered renewed under the same conditions for an additional 6 (six) years, and so on + termination at any time with 6 months' notice</t>
  </si>
  <si>
    <t>Yes, It is limited to companies or entities that are part of the Allianz Group, previously informing Allianz s.p.a.</t>
  </si>
  <si>
    <t>Yes (Breeam)</t>
  </si>
  <si>
    <t>12 shifts/day</t>
  </si>
  <si>
    <t>57 shifts/day</t>
  </si>
  <si>
    <t>from 1 to 6/week on a weekly basis</t>
  </si>
  <si>
    <t xml:space="preserve">6 days </t>
  </si>
  <si>
    <t>from 1 to 5/week on a weekly basis</t>
  </si>
  <si>
    <t>5 days</t>
  </si>
  <si>
    <t>Agreements are signed ad personam. Standard agreements are based on a SW percentage of 50/60/80%</t>
  </si>
  <si>
    <t>Location 1 - Tokyo</t>
  </si>
  <si>
    <t>Location 2 - Kitakyushu</t>
  </si>
  <si>
    <t>JP01</t>
  </si>
  <si>
    <t>JP02</t>
  </si>
  <si>
    <t xml:space="preserve">5th Floor </t>
  </si>
  <si>
    <t>Is the office sublet or rented to you by an Allianz entity?</t>
    <phoneticPr fontId="0"/>
  </si>
  <si>
    <t>Is the office located at an Allianz Premises? Yes/No</t>
    <phoneticPr fontId="0"/>
  </si>
  <si>
    <t>No</t>
    <phoneticPr fontId="0"/>
  </si>
  <si>
    <t>Does the Allianz entity provide the respective services as security, cleaning, etc.?</t>
    <phoneticPr fontId="0"/>
  </si>
  <si>
    <t>AWP Japan Co,.Ltd.</t>
  </si>
  <si>
    <t>Mitsubshi UFJ Trust and Banking Corporation</t>
  </si>
  <si>
    <t>Taiyo Seimei</t>
  </si>
  <si>
    <t>Office size measured in sq. Ft. or m²</t>
    <phoneticPr fontId="0"/>
  </si>
  <si>
    <t>NA</t>
    <phoneticPr fontId="0"/>
  </si>
  <si>
    <t>JPY</t>
  </si>
  <si>
    <t>Total rental costs/ total sq. Ft. Or m²; in case location is owned, pls use reference prices</t>
    <phoneticPr fontId="0"/>
  </si>
  <si>
    <t>Please specify, by how much the rent increases over which period of time (e.g.7% per year starting 2025)</t>
    <phoneticPr fontId="0"/>
  </si>
  <si>
    <t>Indexation of the rent in percent per year</t>
    <phoneticPr fontId="0"/>
  </si>
  <si>
    <t>Does a termination clause exist? Yes/No</t>
    <phoneticPr fontId="0"/>
  </si>
  <si>
    <t>Y</t>
    <phoneticPr fontId="0"/>
  </si>
  <si>
    <t>notice period:6 months before</t>
    <phoneticPr fontId="0"/>
  </si>
  <si>
    <t>6 months</t>
    <phoneticPr fontId="0"/>
  </si>
  <si>
    <t>Does your BU have the contractual possibility to sublet your property? Yes/No</t>
    <phoneticPr fontId="0"/>
  </si>
  <si>
    <t xml:space="preserve">If there is a sublease agreement in place, please provide the details in a separate column </t>
    <phoneticPr fontId="0"/>
  </si>
  <si>
    <t> 177</t>
  </si>
  <si>
    <t> 0</t>
  </si>
  <si>
    <t> 25</t>
  </si>
  <si>
    <t> 102</t>
  </si>
  <si>
    <t>7am to 10pm</t>
  </si>
  <si>
    <t>Location 1 - Sainte-Marie, La Réserve 2</t>
  </si>
  <si>
    <t>Location 2 - Sainte-Marie, La Réserve 1</t>
  </si>
  <si>
    <t>Location 3 - Sainte-Marie, La Réserve 3</t>
  </si>
  <si>
    <t>Location 4 - Sainte-Marie, La Réserve 4</t>
  </si>
  <si>
    <t>FR04</t>
  </si>
  <si>
    <t>SCI ASLA</t>
  </si>
  <si>
    <t>AWP REUNION SAS</t>
  </si>
  <si>
    <t>125,39€ m²/year soit 12,54€ m²/month</t>
  </si>
  <si>
    <t>Leave at the end of each three-year period at least 6 months in advance</t>
  </si>
  <si>
    <t>Youmna Aoun</t>
  </si>
  <si>
    <t xml:space="preserve">Location 15 - Sin El Fil 130 </t>
  </si>
  <si>
    <t xml:space="preserve">Location 16 - Mkaless 961 </t>
  </si>
  <si>
    <t>Location 17 - Sin el Fil 1397-1398-1399</t>
  </si>
  <si>
    <t>Location 18 - Sin El Fil 131</t>
  </si>
  <si>
    <t>LE01</t>
  </si>
  <si>
    <t>LE02</t>
  </si>
  <si>
    <t>still in negotiation</t>
  </si>
  <si>
    <t>Whole Building (GF+5 Floors+Storage)</t>
  </si>
  <si>
    <t>GF</t>
  </si>
  <si>
    <t>Plot for Parking</t>
  </si>
  <si>
    <t xml:space="preserve">Nextcare  </t>
  </si>
  <si>
    <t>Haddad</t>
  </si>
  <si>
    <t>Elie Maalouf</t>
  </si>
  <si>
    <t>Georges Akar</t>
  </si>
  <si>
    <t>Akar Family</t>
  </si>
  <si>
    <t>USD</t>
  </si>
  <si>
    <t>18.5% every 3 years</t>
  </si>
  <si>
    <t>10% every 3 years</t>
  </si>
  <si>
    <t>4 months</t>
  </si>
  <si>
    <t>1 months</t>
  </si>
  <si>
    <t>Clause 3</t>
  </si>
  <si>
    <t>Rental period paragraph</t>
  </si>
  <si>
    <t>Clause 4</t>
  </si>
  <si>
    <t xml:space="preserve">In case there are any breach of the contract by the tenant and it has not been corrected within fifteen days. This will add to the termination of the agreement automatically and the tenant should vacate the leased premises immediately or he will pay a penalty of USD 150 for each day of delay.
</t>
  </si>
  <si>
    <t>Location 1 - Tripoli</t>
  </si>
  <si>
    <t>LY01</t>
  </si>
  <si>
    <t>First Floor</t>
  </si>
  <si>
    <t>Rental / owned / Sublease</t>
  </si>
  <si>
    <t>The Zeglam Group 
+ Takaful Insurrance</t>
  </si>
  <si>
    <t>230Euro /m</t>
  </si>
  <si>
    <t>Please refer to Lease agreement provided.</t>
  </si>
  <si>
    <t>Location 1 - Kuala Lumpur</t>
  </si>
  <si>
    <t>Location 2  - Kuala Lumpur</t>
  </si>
  <si>
    <t>MY01</t>
  </si>
  <si>
    <t>13th floor Office suite 19-13-2</t>
  </si>
  <si>
    <t>17th floor Office suite 19-17-1 &amp; 3 &amp; 5</t>
  </si>
  <si>
    <t>AWP Services Sdn Bhd</t>
  </si>
  <si>
    <t>RHB Trustee Berhad</t>
  </si>
  <si>
    <t>MYR</t>
  </si>
  <si>
    <t>no rent increase</t>
  </si>
  <si>
    <t>none</t>
  </si>
  <si>
    <t>thereof No. of HC MY/SG non-OPS</t>
  </si>
  <si>
    <t>thereof No. of HC MY/SG OPS</t>
  </si>
  <si>
    <t>thereof No. of HC AQUA</t>
  </si>
  <si>
    <t>thereof No. of seat MY/SG non-OPS</t>
  </si>
  <si>
    <t>thereof No. of seat MY/SG OPS</t>
  </si>
  <si>
    <t>thereof No. of seat AQUA</t>
  </si>
  <si>
    <t>thereof No. seat not suitable to be allocated for permanent seat (due to fire hazard walk path)</t>
  </si>
  <si>
    <t>Balance of seat available to be allocated</t>
  </si>
  <si>
    <t>31/09/2025</t>
  </si>
  <si>
    <t>Location 1 - Mexico City</t>
  </si>
  <si>
    <t>Location 2 - Querétaro</t>
  </si>
  <si>
    <t>Location 3 - Leon</t>
  </si>
  <si>
    <t>MX01</t>
  </si>
  <si>
    <t>MX02</t>
  </si>
  <si>
    <t>MX03</t>
  </si>
  <si>
    <t>8th Floor</t>
  </si>
  <si>
    <t>4th floor (401-404)</t>
  </si>
  <si>
    <t xml:space="preserve">4th floor </t>
  </si>
  <si>
    <t xml:space="preserve">AWP SERVICIOS SA DE CV </t>
  </si>
  <si>
    <t>AWP MEXICO SA DE CV</t>
  </si>
  <si>
    <t>CI BANCO, FIDEICOMISO NUMERO CIB/148</t>
  </si>
  <si>
    <t>KIVA ADMINISTRACION SDE RL DE CV</t>
  </si>
  <si>
    <t xml:space="preserve">IT CREATIVE S.A DE C.V </t>
  </si>
  <si>
    <t>MXN</t>
  </si>
  <si>
    <t>INPC</t>
  </si>
  <si>
    <t>Each year there is an increase according to INPC</t>
  </si>
  <si>
    <t>The increase will be taken from 2025 and will be carried out according to the INPC</t>
  </si>
  <si>
    <t>Not until the third year</t>
  </si>
  <si>
    <t>After three years the contract can be terminated with a 90 days notice period</t>
  </si>
  <si>
    <t>Location 1 - Amsterdam</t>
  </si>
  <si>
    <t>NL01</t>
  </si>
  <si>
    <t>floors 1A, 3A, 4A</t>
  </si>
  <si>
    <t>1059 VM</t>
  </si>
  <si>
    <t>Rembrand Holland 2 B.V.</t>
  </si>
  <si>
    <t>31.04.2027</t>
  </si>
  <si>
    <t>tbd</t>
  </si>
  <si>
    <t>Number of HC working in this location as of December 2022</t>
  </si>
  <si>
    <t>Location 1 - Aukland</t>
  </si>
  <si>
    <t>NZ01</t>
  </si>
  <si>
    <t>2nd and 3rd floors</t>
  </si>
  <si>
    <t>0622</t>
  </si>
  <si>
    <t>AWP Services New Zealand Limited</t>
  </si>
  <si>
    <t>Macau Investments Limited</t>
  </si>
  <si>
    <t>NZD</t>
  </si>
  <si>
    <t>Market indexed</t>
  </si>
  <si>
    <t>NA - we pay a proportion of the outgoings</t>
  </si>
  <si>
    <t>Yes with landlord consent</t>
  </si>
  <si>
    <t>Aparna Syed</t>
  </si>
  <si>
    <t>Location 19 - Muscat</t>
  </si>
  <si>
    <t>Location 20 - Muscat</t>
  </si>
  <si>
    <t>OM01</t>
  </si>
  <si>
    <t>Single office 1st Floor Office no #17</t>
  </si>
  <si>
    <t>Single office 2nd Floor Office no #21</t>
  </si>
  <si>
    <t>Nextcare Claims Management LLC</t>
  </si>
  <si>
    <t>Oman Real Estate Fund</t>
  </si>
  <si>
    <t>OMR</t>
  </si>
  <si>
    <t>rest are not allocated</t>
  </si>
  <si>
    <t>5 shifts for call center
2 shifts for Direct Billing Approval doctors</t>
  </si>
  <si>
    <t>3 shifts for approval doctors from Aug 2025</t>
  </si>
  <si>
    <t>Ramil G. Eugenio</t>
  </si>
  <si>
    <t>Location 1 - Makati City (Manila)</t>
  </si>
  <si>
    <t>PH01</t>
  </si>
  <si>
    <t>Whole 9th floor</t>
  </si>
  <si>
    <t>Unit 1208 (12th floor)</t>
  </si>
  <si>
    <t>12th floor unit 1208, 
Allied Bank Center, 
6754 Ayala Avenue Corner
Legaspi Street, 
Makati City, 
Philippines</t>
  </si>
  <si>
    <t>AWP Health &amp; Life SA</t>
  </si>
  <si>
    <t>Allianz PNB Life Insurance, Inc</t>
  </si>
  <si>
    <t>10 slots as per contract, 7 slot for AzP and 3 slots which is chargeable for Az PNB life</t>
  </si>
  <si>
    <t>PHP</t>
  </si>
  <si>
    <t>5 every year</t>
  </si>
  <si>
    <t>PHP 220 per square meter per month for the common area and maintenance charges</t>
  </si>
  <si>
    <t>3 months</t>
  </si>
  <si>
    <t>9 months notice shall be provided by the Lessee to the Lessor.</t>
  </si>
  <si>
    <t>4/12/2026 (As per meeting 1/27/2026, PNB life will extend he contract up until this date. Initilayy, beyond 4/13/2026 , the contract will be named to AZ Partners PH</t>
  </si>
  <si>
    <t>8 hours</t>
  </si>
  <si>
    <t>none yet</t>
  </si>
  <si>
    <t>12 hours (This will depend on the demand of the department if they needed only)</t>
  </si>
  <si>
    <t>Hybrid (2 days work from home and 3 days work on site.)</t>
  </si>
  <si>
    <t>Location 1 - Warsaw</t>
  </si>
  <si>
    <t>Location 2 - Toruń</t>
  </si>
  <si>
    <t>Location 3-xxx</t>
  </si>
  <si>
    <t>PL01</t>
  </si>
  <si>
    <t>PL02</t>
  </si>
  <si>
    <t>4th floor</t>
  </si>
  <si>
    <t>02-672</t>
  </si>
  <si>
    <t>87-100</t>
  </si>
  <si>
    <t xml:space="preserve">AWP Polska Sp. Zo.o, /AWP P&amp;C S.A. Oddział w Polsce </t>
  </si>
  <si>
    <t xml:space="preserve">AWP Polska Spółka zo.o, /AWP P&amp;C S.A. Oddział w Polsce </t>
  </si>
  <si>
    <t>EPP Office- Park Rozwoju sp.zo.o.</t>
  </si>
  <si>
    <t>KOŚCIUSZKO BUSINESS POINT</t>
  </si>
  <si>
    <t xml:space="preserve">795,32 </t>
  </si>
  <si>
    <t>PLN</t>
  </si>
  <si>
    <t xml:space="preserve"> 53,50</t>
  </si>
  <si>
    <t>In accordance with the provisions of the lease agreement binding us, the building's landlord adjusted the rental rates by adopting the official inflation rate for the euro of 9,2% (EICP) and 8,4% (MUICP) - subject to the official CPI</t>
  </si>
  <si>
    <t>New building</t>
  </si>
  <si>
    <t xml:space="preserve">31/12/2029 </t>
  </si>
  <si>
    <t xml:space="preserve">Yes  </t>
  </si>
  <si>
    <t>Rio Foundation uses 400m² free of charge until 31.12.2023, which got extended until 31.12.2024 - Email Sylwia 07.05.2024</t>
  </si>
  <si>
    <t>yes (the company has adopted an ESG strategy in every area of the business )</t>
  </si>
  <si>
    <r>
      <t>2</t>
    </r>
    <r>
      <rPr>
        <sz val="10"/>
        <rFont val="Arial"/>
        <family val="2"/>
      </rPr>
      <t xml:space="preserve"> The workstation needs to qualify as regular work place with a sufficient desktop and an appropriate office chair. Agile and collaboration areas are excluded</t>
    </r>
  </si>
  <si>
    <t>Alzira Alves</t>
  </si>
  <si>
    <t>Location 1 - Lisboa</t>
  </si>
  <si>
    <t>PT01</t>
  </si>
  <si>
    <t>AZWP Services Portugal, Lda</t>
  </si>
  <si>
    <t>Zuheila Miranda / Maria Herrera</t>
  </si>
  <si>
    <t>Location 1 - Doha - IHE</t>
  </si>
  <si>
    <t>Location 2 - Doha - Nextcare</t>
  </si>
  <si>
    <t>QT01</t>
  </si>
  <si>
    <t>6th floor</t>
  </si>
  <si>
    <t>Single office (6th floor) 604 D</t>
  </si>
  <si>
    <t>sublease</t>
  </si>
  <si>
    <t xml:space="preserve">Jaidah Investments and Real Estate Development Company </t>
  </si>
  <si>
    <t>AWP Health &amp; Life SA (Jaidah Investment &amp; Real Estate Development Company WLL)</t>
  </si>
  <si>
    <t>QAR</t>
  </si>
  <si>
    <t>10% of rent costs pa</t>
  </si>
  <si>
    <t>No unless leaving Qatar forever</t>
  </si>
  <si>
    <t>Yes 25% leased to nextcare</t>
  </si>
  <si>
    <t>2 workstations + 1 cabin</t>
  </si>
  <si>
    <t>9 workstation</t>
  </si>
  <si>
    <t>Location 1 - Bucharest</t>
  </si>
  <si>
    <t>RO01</t>
  </si>
  <si>
    <t xml:space="preserve">AWP P&amp;C Saint-Ouen, Bucharest Branch </t>
  </si>
  <si>
    <t>NETRON INVESTMENT SRL</t>
  </si>
  <si>
    <t>0 until 2025. At 5 years anniversary, based on market status, if the net difference in the net effective rent per square meter per month between the term of the lease and the market benchmark is above 15% then the rent will be amended, if is less the rent will remain unchanged</t>
  </si>
  <si>
    <t>Indexation of service fee and/or facility cost in percent per year
Cost increase:  2021 and 2022</t>
  </si>
  <si>
    <t>No, but parts of the area can be returend after 5 years</t>
  </si>
  <si>
    <t>According p 18 from contract</t>
  </si>
  <si>
    <t>YES</t>
  </si>
  <si>
    <t>BREEAM</t>
  </si>
  <si>
    <t>120 workstations with TC &amp; Monitors
60 Travelers (with laptop)</t>
  </si>
  <si>
    <t>Office work thereof No. of HC non-OPS</t>
  </si>
  <si>
    <t>Office work thereof No. of HC OPS</t>
  </si>
  <si>
    <t>Murtadha Abdulmuhsin</t>
  </si>
  <si>
    <t>Location 10 - Al Khobar</t>
  </si>
  <si>
    <t>Location 11 - Riyadh</t>
  </si>
  <si>
    <t>SA01</t>
  </si>
  <si>
    <t>SA02</t>
  </si>
  <si>
    <t>Comtract in progress</t>
  </si>
  <si>
    <t xml:space="preserve">contract renewed </t>
  </si>
  <si>
    <t>2 floors (M01-M02 : full floor \ office: 1st floor)  </t>
  </si>
  <si>
    <t>Single office 1st floor Office B/9</t>
  </si>
  <si>
    <t>RANCO</t>
  </si>
  <si>
    <t>ALNEMER</t>
  </si>
  <si>
    <t>RANCO Real Estate</t>
  </si>
  <si>
    <t>ALNEMER Real Estate</t>
  </si>
  <si>
    <t>TBC</t>
  </si>
  <si>
    <t>SAR</t>
  </si>
  <si>
    <t>unknown</t>
  </si>
  <si>
    <t>2 months</t>
  </si>
  <si>
    <t>Location 1 - Singapore</t>
  </si>
  <si>
    <t>SG01</t>
  </si>
  <si>
    <t>9th floor</t>
  </si>
  <si>
    <t>AWP Services Singapore Pte.. Ltd</t>
  </si>
  <si>
    <t>Southerwood Property Pte Ltd</t>
  </si>
  <si>
    <t>sqft</t>
  </si>
  <si>
    <t>SGD</t>
  </si>
  <si>
    <t>Location 1 - Madrid</t>
  </si>
  <si>
    <t>Location 2-  Tres Cantos -Madrid</t>
  </si>
  <si>
    <t>Location 3 - Barcelona</t>
  </si>
  <si>
    <t>Location 4 - Seville</t>
  </si>
  <si>
    <t>Location 5 -  Bilbao</t>
  </si>
  <si>
    <t>SP01</t>
  </si>
  <si>
    <t>MA01</t>
  </si>
  <si>
    <t>MA02</t>
  </si>
  <si>
    <t>MA03</t>
  </si>
  <si>
    <t>MA04</t>
  </si>
  <si>
    <t>Second floor completly  and Third floor two parts.</t>
  </si>
  <si>
    <t>Partial 3rd Floor</t>
  </si>
  <si>
    <t>Parking</t>
  </si>
  <si>
    <t>Partial 2nd Floor</t>
  </si>
  <si>
    <t>Partial, 2nd floor</t>
  </si>
  <si>
    <t>08009</t>
  </si>
  <si>
    <t>08010</t>
  </si>
  <si>
    <t>AWP P&amp;C / AWP Assistance</t>
  </si>
  <si>
    <t>Multiasistencia, S.A.</t>
  </si>
  <si>
    <t>Allianz Seguros</t>
  </si>
  <si>
    <t>Kyrene, S.A.</t>
  </si>
  <si>
    <t>Fundació Vila Casas</t>
  </si>
  <si>
    <t>Hotsun Condal, S.L.</t>
  </si>
  <si>
    <t>Insur Patrimonial SLU</t>
  </si>
  <si>
    <t>Genar Ossorio</t>
  </si>
  <si>
    <t>IPC+2,5% max. 5,5%</t>
  </si>
  <si>
    <t>IPC March YTD</t>
  </si>
  <si>
    <t>IPC October YTD</t>
  </si>
  <si>
    <t>IPC December YTD</t>
  </si>
  <si>
    <t>IPC MARCH YTD</t>
  </si>
  <si>
    <t>IPC OCTOBER YTD</t>
  </si>
  <si>
    <t>IPC DECEMBER YTD</t>
  </si>
  <si>
    <t>15/01/2013</t>
  </si>
  <si>
    <t>After the mandatory 2 years have been completed, as of 15/10/2023, the contract can be rescinded early at any time with 3 months' notice.</t>
  </si>
  <si>
    <t>After the mandatory 2 years have been completed, as of 31/12/2023, the contract can be rescinded early at any time with 3 months' notice.</t>
  </si>
  <si>
    <t>LEED - Gold</t>
  </si>
  <si>
    <t>Numero de empleados</t>
  </si>
  <si>
    <t>Empleados no OPS</t>
  </si>
  <si>
    <t>Empleados OPS</t>
  </si>
  <si>
    <t>numero de puestos de trabajo</t>
  </si>
  <si>
    <t>Puestos no OPS</t>
  </si>
  <si>
    <t>Puestos OPS</t>
  </si>
  <si>
    <t>preguntar a Celia</t>
  </si>
  <si>
    <t>Location 1 - Wallisellen</t>
  </si>
  <si>
    <t>CH01</t>
  </si>
  <si>
    <t>A part of the 1st and 2nd floor &amp; parking</t>
  </si>
  <si>
    <t>AWP P&amp;C S.A., Saint-Ouen (Paris)  ·  Zweigniederlassung Wallisellen (Schweiz)</t>
  </si>
  <si>
    <t>Allianz Suisse</t>
  </si>
  <si>
    <t>CHF</t>
  </si>
  <si>
    <t>including operating infrastructure, ancillary,   parking costs</t>
  </si>
  <si>
    <t xml:space="preserve">Depends on National Index of consumer prices </t>
  </si>
  <si>
    <t>The costs are included in the total rental costs.</t>
  </si>
  <si>
    <t>No, the tenancy agreement is fixed-term until 31 December 2029 and may be terminated by the tenant in writing at the earliest on this date, subject to a notice period of 12 months.</t>
  </si>
  <si>
    <t>Yes, but Allianz Suisse must give it's approval.</t>
  </si>
  <si>
    <t>Verein Association Minergie - Certified standard 2009</t>
  </si>
  <si>
    <t>40-60%</t>
  </si>
  <si>
    <t>Local Area</t>
  </si>
  <si>
    <t xml:space="preserve">Direct Sale </t>
  </si>
  <si>
    <t>TH01</t>
  </si>
  <si>
    <t>TH02</t>
  </si>
  <si>
    <t>7 floor</t>
  </si>
  <si>
    <t>8 floor</t>
  </si>
  <si>
    <t>AWP Services Thailnad</t>
  </si>
  <si>
    <t>AWP Services Thailand</t>
  </si>
  <si>
    <t>Proud Property Co.,Ltd.</t>
  </si>
  <si>
    <t>Phairojkijja Co., Ltd.</t>
  </si>
  <si>
    <t>6,100 sqm.</t>
  </si>
  <si>
    <t>4,750 sqm.</t>
  </si>
  <si>
    <t>THB</t>
  </si>
  <si>
    <t>In the event that the service or rental terminates the agreement shall be liable for the penalty in the amount equivalent to 6 months of the service or rental fee and the security deposit pursuant.</t>
  </si>
  <si>
    <t>security deposit</t>
  </si>
  <si>
    <t> 25 SHIFTS</t>
  </si>
  <si>
    <t>1 SHIFT</t>
  </si>
  <si>
    <t>At Phairojkijja building we have no plan to reduce cause  (email Nattan 10.05.2023)</t>
  </si>
  <si>
    <t>1. We keep that a second location to BCP back up plan.</t>
  </si>
  <si>
    <t>2. We have managed to maximize the use of the space. By reducing the size of the desk to accommodate the number of employees to increase. Normally, we use approximately 2.4 square meters of space per person for this area we only use 2 square meters per person.</t>
  </si>
  <si>
    <t xml:space="preserve">3. Both locations have planned further growth </t>
  </si>
  <si>
    <t>Remarks by Montira / Q1</t>
  </si>
  <si>
    <t>Address 7th floor</t>
  </si>
  <si>
    <t>Local Operation</t>
  </si>
  <si>
    <t>GCC 1</t>
  </si>
  <si>
    <t>GCC 2</t>
  </si>
  <si>
    <t>Total SQM</t>
  </si>
  <si>
    <t>Remarks by Nattanan / Q2</t>
  </si>
  <si>
    <t>Remarks by Nattanan / Q4</t>
  </si>
  <si>
    <t>Cancle the contract Renewal</t>
  </si>
  <si>
    <t>Sabrine Boughdiri</t>
  </si>
  <si>
    <t>Location 1 - Tunis</t>
  </si>
  <si>
    <t>Location 2 - XXX</t>
  </si>
  <si>
    <t>Location 3 - XXX</t>
  </si>
  <si>
    <t>Location 4 - XXX</t>
  </si>
  <si>
    <t>TU01</t>
  </si>
  <si>
    <t>All employees are located in this building</t>
  </si>
  <si>
    <t>whole building (basement, ground, 1st and 2nd floors)</t>
  </si>
  <si>
    <t>Nextcare Tunisie</t>
  </si>
  <si>
    <t>SH IMMOBILIERE, SARL</t>
  </si>
  <si>
    <t>TND</t>
  </si>
  <si>
    <t>5% annually</t>
  </si>
  <si>
    <t xml:space="preserve">Fixed term 3 years
12 months notice after the 3 years </t>
  </si>
  <si>
    <t>12 months (after 3 years)</t>
  </si>
  <si>
    <t>Undetermined (Automatically Renewed)</t>
  </si>
  <si>
    <t>Location 1 - Antalya</t>
  </si>
  <si>
    <t>Location 2 - Istanbul</t>
  </si>
  <si>
    <t>TR01</t>
  </si>
  <si>
    <t>TR02</t>
  </si>
  <si>
    <t>AWP Servis Hizmetleri A.Ş.</t>
  </si>
  <si>
    <t>Pınarlar Grup</t>
  </si>
  <si>
    <t>Çilingir Ailesi</t>
  </si>
  <si>
    <t>TRY</t>
  </si>
  <si>
    <t xml:space="preserve">
Average annual inflation</t>
  </si>
  <si>
    <t>Very high and erratic inflation. year 2025. %45.8</t>
  </si>
  <si>
    <t xml:space="preserve"> lease ends with 3 months notice</t>
  </si>
  <si>
    <t>here is no penalty pay with 3 months advance notice.</t>
  </si>
  <si>
    <t>3 month</t>
  </si>
  <si>
    <t xml:space="preserve">Number of workstations2 in this location </t>
  </si>
  <si>
    <t xml:space="preserve">Shirin Syed </t>
  </si>
  <si>
    <t>Mahmood Kuniyil</t>
  </si>
  <si>
    <t>Location 1 - Dubai</t>
  </si>
  <si>
    <t>Location 2 - Dubai</t>
  </si>
  <si>
    <t>Location 3 - Dubai</t>
  </si>
  <si>
    <t>Location 4 - Abu Dhabi</t>
  </si>
  <si>
    <t>Location 5 - Health in Hand</t>
  </si>
  <si>
    <t>UA01</t>
  </si>
  <si>
    <t>UA02</t>
  </si>
  <si>
    <t>UA03</t>
  </si>
  <si>
    <t>UA04</t>
  </si>
  <si>
    <t>First floor (entire floor)</t>
  </si>
  <si>
    <t>4 offices (second floor) 201 to 204</t>
  </si>
  <si>
    <t>1 office (second floor) - Vakson Extension - 206</t>
  </si>
  <si>
    <t>Single office (Mezzanie floor)</t>
  </si>
  <si>
    <t xml:space="preserve">This property is rented and we have occupied 2 offices </t>
  </si>
  <si>
    <t>Nextcare Claims Mangement LLC</t>
  </si>
  <si>
    <t>Nextcare Claims Mangement LLC - Branch</t>
  </si>
  <si>
    <t>Nextcare Claims Management LLC - Branch of Abu Dhabi 1</t>
  </si>
  <si>
    <t>Health at Hand DMCC</t>
  </si>
  <si>
    <t>Eiffel Boulevard Limited</t>
  </si>
  <si>
    <t>Vakson Real Estate LLC</t>
  </si>
  <si>
    <t>Ebrahim Hussain Baqer (owner of the building)</t>
  </si>
  <si>
    <t xml:space="preserve">Dolly Bhatia </t>
  </si>
  <si>
    <t>AED</t>
  </si>
  <si>
    <t>Total rental costs annual</t>
  </si>
  <si>
    <t>6% annual</t>
  </si>
  <si>
    <t>6% rent increase effective from 2024 through 2027 (covering a period of 3 years), after which the lease contract will require renewal</t>
  </si>
  <si>
    <t>Approx. 5.83% rent increase from April 2026 to January 2027. From April 2027 to July 2027, the rent will be AED 70,453</t>
  </si>
  <si>
    <t>0% - annual contract</t>
  </si>
  <si>
    <t>5% annual increase until Feb 2026, then rent remains until end of lease 2028</t>
  </si>
  <si>
    <t>written notice no later than 6 months before the expiry</t>
  </si>
  <si>
    <t>3 months notice before vacate</t>
  </si>
  <si>
    <t>2 months notice prior to the end of the 6th month of the lease period</t>
  </si>
  <si>
    <t>if we want to terminate early, payment up to date + 3 months penalty</t>
  </si>
  <si>
    <t xml:space="preserve">if we want to terminate early, payment up to date +3 month penalty                                    </t>
  </si>
  <si>
    <t>if we want to vacate it is based on a six monthly term according to the cheque dates. Notice should be submitted before the forth month of each cheque date</t>
  </si>
  <si>
    <t xml:space="preserve">if we want to terminate early, the landlord will require 3 months written notice &amp; a penalty of equivalent of 2 months rent </t>
  </si>
  <si>
    <t>Location 1 - Croydon</t>
  </si>
  <si>
    <t>Location 2 - Birmingham</t>
  </si>
  <si>
    <t>Gracechurch / Bisopsgate sublease details</t>
  </si>
  <si>
    <t>UK01</t>
  </si>
  <si>
    <t>UK02</t>
  </si>
  <si>
    <t>Whole Buidling</t>
  </si>
  <si>
    <t>Half of 3rd floor</t>
  </si>
  <si>
    <t>7 desks - hotdesking for sales and pricing</t>
  </si>
  <si>
    <t>CR9 6HD</t>
  </si>
  <si>
    <t>B5 4UA</t>
  </si>
  <si>
    <t>EC2</t>
  </si>
  <si>
    <t>AWP Assistance UK L td</t>
  </si>
  <si>
    <t>AWP Assistance UK Ltd</t>
  </si>
  <si>
    <t>AWP P&amp;C (trading as “Allianz Partners”)</t>
  </si>
  <si>
    <t>Bridgewater Properties 
Ltd</t>
  </si>
  <si>
    <t>Bruntwood AV Limited</t>
  </si>
  <si>
    <t>AZ Management Services</t>
  </si>
  <si>
    <t>7 desks</t>
  </si>
  <si>
    <t>GBP</t>
  </si>
  <si>
    <t>Stg</t>
  </si>
  <si>
    <t>20k per desk p/a. Final figures to be advised</t>
  </si>
  <si>
    <t>140k approx</t>
  </si>
  <si>
    <t>Rent review November 2026</t>
  </si>
  <si>
    <t>n/a</t>
  </si>
  <si>
    <t>Advised by Az Mgt Serv annaully</t>
  </si>
  <si>
    <t>Included in cost per desk</t>
  </si>
  <si>
    <t>TBA</t>
  </si>
  <si>
    <t>increase likely to increase in line with inflation circa 10% for 2023</t>
  </si>
  <si>
    <t>14/11/2021</t>
  </si>
  <si>
    <t>18/11/2024</t>
  </si>
  <si>
    <t>Nov 25 approx</t>
  </si>
  <si>
    <t>13/11/2031</t>
  </si>
  <si>
    <t>monthly</t>
  </si>
  <si>
    <t>We have 1 year rolling approval</t>
  </si>
  <si>
    <t>No break notice on either side</t>
  </si>
  <si>
    <t>TBA - being discussed</t>
  </si>
  <si>
    <t>4 weeks notice period</t>
  </si>
  <si>
    <t>Being discussed and they propsoe 3 months before end of following year which is insustanable</t>
  </si>
  <si>
    <t>No - we need to seek approval</t>
  </si>
  <si>
    <t>9 months min</t>
  </si>
  <si>
    <t>1 year approval</t>
  </si>
  <si>
    <t>yes - two floors</t>
  </si>
  <si>
    <t>Once signed it will be provided</t>
  </si>
  <si>
    <t>27 currently</t>
  </si>
  <si>
    <t>140* (approximate)</t>
  </si>
  <si>
    <t>255 (includes all functions reporting to COO)</t>
  </si>
  <si>
    <t>Location 1 - Richmnond</t>
  </si>
  <si>
    <t>Location 2 - Lakeland</t>
  </si>
  <si>
    <t>US01</t>
  </si>
  <si>
    <t>US02</t>
  </si>
  <si>
    <t>Training Rooms and 4 Private Offices</t>
  </si>
  <si>
    <t>AGA, Inc</t>
  </si>
  <si>
    <t>AGA Service Company</t>
  </si>
  <si>
    <t>DRCC Properties, LLC.</t>
  </si>
  <si>
    <t>Navajo Expedited, LLC.</t>
  </si>
  <si>
    <t>Not renting by square foot but by space</t>
  </si>
  <si>
    <t>Not detailed</t>
  </si>
  <si>
    <t>included in monthly rent</t>
  </si>
  <si>
    <t>There is no set % increase.  It si based on actual cost of services</t>
  </si>
  <si>
    <t>Month to Month</t>
  </si>
  <si>
    <t>termination after 7 years at a cost of 3.7mn USD</t>
  </si>
  <si>
    <t>Can be cacelled on a monthly basis</t>
  </si>
  <si>
    <t>We have the option to sub-lease, but only with written approval of the Landlord.  Terms to be decided at time of sub-lease</t>
  </si>
  <si>
    <t>No, RECs are purchased to offset usage</t>
  </si>
  <si>
    <t>4 furninshed offices and training for up to 30</t>
  </si>
  <si>
    <t>Location 1 -</t>
  </si>
  <si>
    <t>keep locations as is for the moment</t>
  </si>
  <si>
    <t>move to macherei beginning March</t>
  </si>
  <si>
    <t>building will be closed</t>
  </si>
  <si>
    <t>Wharehouse</t>
  </si>
  <si>
    <t>Location ID</t>
  </si>
  <si>
    <t>Address</t>
  </si>
  <si>
    <t>lease end</t>
  </si>
  <si>
    <t>project started</t>
  </si>
  <si>
    <t>Will be closed</t>
  </si>
  <si>
    <t>Colombia</t>
  </si>
  <si>
    <t>will be extending 1 year at the same rate</t>
  </si>
  <si>
    <t>Virtual office that we only pay for as needed. No actual cost associated with it</t>
  </si>
  <si>
    <t xml:space="preserve">Renewed </t>
  </si>
  <si>
    <t>12 Rue  Dr. Alphonse Laveran, 1002</t>
  </si>
  <si>
    <t>Office is closed, contract is not be renewed</t>
  </si>
  <si>
    <t>Saudi Arabia</t>
  </si>
  <si>
    <t>In progress. The contract is under renewal</t>
  </si>
  <si>
    <t>Closing end of December</t>
  </si>
  <si>
    <t>will be closed</t>
  </si>
  <si>
    <t>Office will be closed and contract will not be renewed</t>
  </si>
  <si>
    <t>Business case due for renewal (required for BCM)</t>
  </si>
  <si>
    <t xml:space="preserve">12 Rue  Dr. Alphonse Laveran, 1002 </t>
  </si>
  <si>
    <t>Qatar</t>
  </si>
  <si>
    <t>There is a current discussion to move lease contract under Nextcare as LE.</t>
  </si>
  <si>
    <t>No update</t>
  </si>
  <si>
    <t>United Arab Emirates</t>
  </si>
  <si>
    <t>was renewed for one year</t>
  </si>
  <si>
    <t>HongKong</t>
  </si>
  <si>
    <t>Bahrain</t>
  </si>
  <si>
    <t>new location</t>
  </si>
  <si>
    <t>has been renewed</t>
  </si>
  <si>
    <t>Oman</t>
  </si>
  <si>
    <t xml:space="preserve">reduced space </t>
  </si>
  <si>
    <t xml:space="preserve">indefinte </t>
  </si>
  <si>
    <t>dw</t>
  </si>
  <si>
    <t>Lisboa</t>
  </si>
  <si>
    <t>Avenida do Brasil, nº 4 - Piso 3</t>
  </si>
  <si>
    <t>UK</t>
  </si>
  <si>
    <t>Allianz Tower Boulevard du Roi Albert II 32</t>
  </si>
  <si>
    <t>consolidation in new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</si>
</sst>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0\ &quot;€&quot;;[Red]\-#,##0\ &quot;€&quot;"/>
    <numFmt numFmtId="8" formatCode="#,##0.00\ &quot;€&quot;;[Red]\-#,##0.00\ &quot;€&quot;"/>
    <numFmt numFmtId="44" formatCode="_-* #,##0.00\ &quot;€&quot;_-;\-* #,##0.00\ &quot;€&quot;_-;_-* &quot;-&quot;??\ &quot;€&quot;_-;_-@_-"/>
    <numFmt numFmtId="164" formatCode="_(&quot;$&quot;* #,##0.00_);_(&quot;$&quot;* \(#,##0.00\);_(&quot;$&quot;* &quot;-&quot;??_);_(@_)"/>
    <numFmt numFmtId="165" formatCode="_-* #,##0.00_-;\-* #,##0.00_-;_-* &quot;-&quot;??_-;_-@_-"/>
    <numFmt numFmtId="166" formatCode="_-* #,##0_-;\-* #,##0_-;_-* &quot;-&quot;??_-;_-@_-"/>
    <numFmt numFmtId="167" formatCode="_-&quot;$&quot;\ * #,##0.00_-;\-&quot;$&quot;\ * #,##0.00_-;_-&quot;$&quot;\ * &quot;-&quot;??_-;_-@_-"/>
    <numFmt numFmtId="168" formatCode="#,##0.00_ ;\-#,##0.00\ "/>
    <numFmt numFmtId="169" formatCode="#,##0\ [$USD]"/>
    <numFmt numFmtId="170" formatCode="&quot;$&quot;#,##0.00;[Red]\-&quot;$&quot;#,##0.00"/>
    <numFmt numFmtId="171" formatCode="#,##0.00\ [$INR]"/>
    <numFmt numFmtId="172" formatCode="_ * #,##0.00_ ;_ * \-#,##0.00_ ;_ * &quot;-&quot;??_ ;_ @_ "/>
    <numFmt numFmtId="173" formatCode="&quot;$&quot;#,##0.00"/>
    <numFmt numFmtId="174" formatCode="#,##0.00\ &quot;€&quot;"/>
    <numFmt numFmtId="175" formatCode="&quot;£&quot;#,##0.00;[Red]\-&quot;£&quot;#,##0.00"/>
    <numFmt numFmtId="176" formatCode="#,##0_ ;\-#,##0\ "/>
    <numFmt numFmtId="177" formatCode="[$$-C09]#,##0;\-[$$-C09]#,##0"/>
  </numFmts>
  <fonts count="46">
    <font>
      <sz val="10"/>
      <color theme="1"/>
      <name val="Arial"/>
      <family val="2"/>
    </font>
    <font>
      <sz val="10"/>
      <color theme="1"/>
      <name val="Arial"/>
      <family val="2"/>
    </font>
    <font>
      <b/>
      <sz val="10"/>
      <color theme="1"/>
      <name val="Arial"/>
      <family val="2"/>
    </font>
    <font>
      <b/>
      <sz val="10"/>
      <name val="Arial"/>
      <family val="2"/>
    </font>
    <font>
      <i/>
      <sz val="10"/>
      <color theme="1"/>
      <name val="Arial"/>
      <family val="2"/>
    </font>
    <font>
      <i/>
      <sz val="8"/>
      <color theme="1"/>
      <name val="Arial"/>
      <family val="2"/>
    </font>
    <font>
      <sz val="10"/>
      <name val="Arial"/>
      <family val="2"/>
    </font>
    <font>
      <b/>
      <sz val="10"/>
      <name val="MS Sans"/>
      <family val="2"/>
    </font>
    <font>
      <sz val="8"/>
      <name val="Arial"/>
      <family val="2"/>
    </font>
    <font>
      <sz val="11"/>
      <color theme="1"/>
      <name val="Aptos Narrow"/>
      <family val="2"/>
      <scheme val="minor"/>
    </font>
    <font>
      <b/>
      <vertAlign val="superscript"/>
      <sz val="10"/>
      <name val="Arial"/>
      <family val="2"/>
    </font>
    <font>
      <b/>
      <u/>
      <sz val="8"/>
      <name val="Arial"/>
      <family val="2"/>
    </font>
    <font>
      <u/>
      <sz val="8"/>
      <name val="Arial"/>
      <family val="2"/>
    </font>
    <font>
      <b/>
      <vertAlign val="superscript"/>
      <sz val="10"/>
      <color theme="1"/>
      <name val="Arial"/>
      <family val="2"/>
    </font>
    <font>
      <strike/>
      <sz val="10"/>
      <color theme="1"/>
      <name val="Arial"/>
      <family val="2"/>
    </font>
    <font>
      <sz val="10"/>
      <color rgb="FFC00000"/>
      <name val="Arial"/>
      <family val="2"/>
    </font>
    <font>
      <b/>
      <sz val="9"/>
      <color indexed="81"/>
      <name val="Tahoma"/>
      <family val="2"/>
    </font>
    <font>
      <sz val="10"/>
      <color rgb="FFFF0000"/>
      <name val="Arial"/>
      <family val="2"/>
    </font>
    <font>
      <vertAlign val="superscript"/>
      <sz val="10"/>
      <name val="Arial"/>
      <family val="2"/>
    </font>
    <font>
      <vertAlign val="superscript"/>
      <sz val="10"/>
      <color theme="1"/>
      <name val="Arial"/>
      <family val="2"/>
    </font>
    <font>
      <sz val="9"/>
      <color indexed="81"/>
      <name val="Tahoma"/>
      <family val="2"/>
    </font>
    <font>
      <u/>
      <sz val="10"/>
      <color theme="10"/>
      <name val="Arial"/>
      <family val="2"/>
    </font>
    <font>
      <b/>
      <sz val="10"/>
      <color rgb="FF000000"/>
      <name val="Arial"/>
      <family val="2"/>
    </font>
    <font>
      <b/>
      <sz val="10"/>
      <color indexed="8"/>
      <name val="Arial"/>
      <family val="2"/>
    </font>
    <font>
      <sz val="10"/>
      <color rgb="FF000000"/>
      <name val="Arial"/>
      <family val="2"/>
    </font>
    <font>
      <b/>
      <strike/>
      <sz val="10"/>
      <color rgb="FFFF0000"/>
      <name val="Arial"/>
      <family val="2"/>
    </font>
    <font>
      <b/>
      <sz val="10"/>
      <color theme="1"/>
      <name val="宋体"/>
      <family val="3"/>
      <charset val="134"/>
    </font>
    <font>
      <strike/>
      <sz val="10"/>
      <color rgb="FFFF0000"/>
      <name val="Arial"/>
      <family val="2"/>
    </font>
    <font>
      <b/>
      <sz val="11"/>
      <color rgb="FFFFFFFF"/>
      <name val="Calibri"/>
      <family val="2"/>
    </font>
    <font>
      <sz val="11"/>
      <color rgb="FF000000"/>
      <name val="Calibri"/>
      <family val="2"/>
    </font>
    <font>
      <sz val="9"/>
      <color rgb="FF000000"/>
      <name val="Calibri"/>
      <family val="2"/>
    </font>
    <font>
      <sz val="11"/>
      <color theme="1"/>
      <name val="Calibri"/>
      <family val="2"/>
    </font>
    <font>
      <sz val="11"/>
      <color theme="1"/>
      <name val="Allianz Sans"/>
    </font>
    <font>
      <b/>
      <sz val="10"/>
      <name val="Arial"/>
      <family val="2"/>
      <charset val="238"/>
    </font>
    <font>
      <b/>
      <sz val="10"/>
      <color theme="1"/>
      <name val="Arial"/>
      <family val="2"/>
      <charset val="238"/>
    </font>
    <font>
      <b/>
      <sz val="10"/>
      <color rgb="FFFF0000"/>
      <name val="Arial"/>
      <family val="2"/>
    </font>
    <font>
      <i/>
      <sz val="12"/>
      <color theme="1"/>
      <name val="Arial"/>
      <family val="2"/>
    </font>
    <font>
      <i/>
      <sz val="14"/>
      <color theme="1"/>
      <name val="Arial"/>
      <family val="2"/>
    </font>
    <font>
      <b/>
      <sz val="10"/>
      <color rgb="FF7030A0"/>
      <name val="Arial"/>
      <family val="2"/>
    </font>
    <font>
      <b/>
      <sz val="12"/>
      <name val="Aptos"/>
      <family val="2"/>
    </font>
    <font>
      <b/>
      <sz val="12"/>
      <color rgb="FF000000"/>
      <name val="Arial"/>
      <family val="2"/>
    </font>
    <font>
      <b/>
      <sz val="11"/>
      <color rgb="FFFF0000"/>
      <name val="Aptos Narrow"/>
      <family val="2"/>
      <scheme val="minor"/>
    </font>
    <font>
      <b/>
      <sz val="11"/>
      <color theme="1"/>
      <name val="Arial"/>
      <family val="2"/>
    </font>
    <font>
      <sz val="11"/>
      <color theme="1"/>
      <name val="Aptos"/>
      <family val="2"/>
    </font>
    <font>
      <sz val="10"/>
      <color rgb="FF002060"/>
      <name val="Arial"/>
      <family val="2"/>
    </font>
    <font>
      <b/>
      <sz val="11"/>
      <color theme="1"/>
      <name val="Aptos Narrow"/>
      <family val="2"/>
      <scheme val="minor"/>
    </font>
  </fonts>
  <fills count="33">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bgColor indexed="64"/>
      </patternFill>
    </fill>
    <fill>
      <patternFill patternType="solid">
        <fgColor theme="8" tint="0.59999389629810485"/>
        <bgColor indexed="64"/>
      </patternFill>
    </fill>
    <fill>
      <patternFill patternType="solid">
        <fgColor rgb="FF00B0F0"/>
        <bgColor indexed="64"/>
      </patternFill>
    </fill>
    <fill>
      <patternFill patternType="solid">
        <fgColor theme="0" tint="-0.14999847407452621"/>
        <bgColor indexed="64"/>
      </patternFill>
    </fill>
    <fill>
      <patternFill patternType="solid">
        <fgColor rgb="FFFF99FF"/>
        <bgColor indexed="64"/>
      </patternFill>
    </fill>
    <fill>
      <patternFill patternType="solid">
        <fgColor theme="7" tint="0.59999389629810485"/>
        <bgColor indexed="64"/>
      </patternFill>
    </fill>
    <fill>
      <patternFill patternType="solid">
        <fgColor rgb="FFFFC000"/>
        <bgColor indexed="64"/>
      </patternFill>
    </fill>
    <fill>
      <patternFill patternType="solid">
        <fgColor rgb="FF00FFFF"/>
        <bgColor indexed="64"/>
      </patternFill>
    </fill>
    <fill>
      <patternFill patternType="solid">
        <fgColor rgb="FF66FFFF"/>
        <bgColor indexed="64"/>
      </patternFill>
    </fill>
    <fill>
      <patternFill patternType="solid">
        <fgColor rgb="FFCCCCFF"/>
        <bgColor indexed="64"/>
      </patternFill>
    </fill>
    <fill>
      <patternFill patternType="solid">
        <fgColor rgb="FF9667EB"/>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FFFF"/>
        <bgColor rgb="FF000000"/>
      </patternFill>
    </fill>
    <fill>
      <patternFill patternType="solid">
        <fgColor rgb="FFFBE2D5"/>
        <bgColor rgb="FF000000"/>
      </patternFill>
    </fill>
    <fill>
      <patternFill patternType="solid">
        <fgColor theme="5" tint="0.79998168889431442"/>
        <bgColor rgb="FF000000"/>
      </patternFill>
    </fill>
    <fill>
      <patternFill patternType="solid">
        <fgColor rgb="FFFFC000"/>
        <bgColor rgb="FF000000"/>
      </patternFill>
    </fill>
    <fill>
      <patternFill patternType="solid">
        <fgColor rgb="FFB5E6A2"/>
        <bgColor rgb="FF000000"/>
      </patternFill>
    </fill>
    <fill>
      <patternFill patternType="solid">
        <fgColor rgb="FF833C0C"/>
        <bgColor indexed="64"/>
      </patternFill>
    </fill>
    <fill>
      <patternFill patternType="solid">
        <fgColor rgb="FFD9D9D9"/>
        <bgColor indexed="64"/>
      </patternFill>
    </fill>
    <fill>
      <patternFill patternType="solid">
        <fgColor rgb="FFFCE4D6"/>
        <bgColor indexed="64"/>
      </patternFill>
    </fill>
    <fill>
      <patternFill patternType="solid">
        <fgColor rgb="FFFFFFFF"/>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FCE4D6"/>
        <bgColor rgb="FF000000"/>
      </patternFill>
    </fill>
    <fill>
      <patternFill patternType="solid">
        <fgColor theme="4" tint="0.79998168889431442"/>
        <bgColor indexed="64"/>
      </patternFill>
    </fill>
    <fill>
      <patternFill patternType="solid">
        <fgColor rgb="FFD9E1F2"/>
        <bgColor rgb="FF000000"/>
      </patternFill>
    </fill>
    <fill>
      <patternFill patternType="solid">
        <fgColor rgb="FFFBE2D5"/>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bottom style="thick">
        <color rgb="FFFFFFFF"/>
      </bottom>
      <diagonal/>
    </border>
  </borders>
  <cellStyleXfs count="21">
    <xf numFmtId="0" fontId="0" fillId="0" borderId="0"/>
    <xf numFmtId="0" fontId="7" fillId="0" borderId="0" applyNumberFormat="0" applyFill="0" applyBorder="0" applyAlignment="0" applyProtection="0"/>
    <xf numFmtId="0" fontId="9" fillId="0" borderId="0"/>
    <xf numFmtId="165" fontId="9" fillId="0" borderId="0" applyFont="0" applyFill="0" applyBorder="0" applyAlignment="0" applyProtection="0"/>
    <xf numFmtId="165" fontId="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165" fontId="1" fillId="0" borderId="0" applyFont="0" applyFill="0" applyBorder="0" applyAlignment="0" applyProtection="0"/>
    <xf numFmtId="0" fontId="21" fillId="0" borderId="0" applyNumberFormat="0" applyFill="0" applyBorder="0" applyAlignment="0" applyProtection="0"/>
    <xf numFmtId="167"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0" fontId="1" fillId="0" borderId="0"/>
    <xf numFmtId="0" fontId="21" fillId="0" borderId="0" applyNumberFormat="0" applyFill="0" applyBorder="0" applyAlignment="0" applyProtection="0"/>
    <xf numFmtId="165" fontId="1" fillId="0" borderId="0" applyFont="0" applyFill="0" applyBorder="0" applyAlignment="0" applyProtection="0"/>
    <xf numFmtId="44" fontId="1" fillId="0" borderId="0" applyFont="0" applyFill="0" applyBorder="0" applyAlignment="0" applyProtection="0"/>
    <xf numFmtId="165" fontId="9" fillId="0" borderId="0" applyFont="0" applyFill="0" applyBorder="0" applyAlignment="0" applyProtection="0"/>
    <xf numFmtId="165" fontId="1" fillId="0" borderId="0" applyFont="0" applyFill="0" applyBorder="0" applyAlignment="0" applyProtection="0"/>
  </cellStyleXfs>
  <cellXfs count="600">
    <xf numFmtId="0" fontId="0" fillId="0" borderId="0" xfId="0"/>
    <xf numFmtId="0" fontId="0" fillId="2" borderId="0" xfId="0" applyFill="1"/>
    <xf numFmtId="0" fontId="2" fillId="2" borderId="0" xfId="0" applyFont="1" applyFill="1"/>
    <xf numFmtId="0" fontId="0" fillId="2" borderId="0" xfId="0" applyFill="1" applyAlignment="1">
      <alignment horizontal="right"/>
    </xf>
    <xf numFmtId="14" fontId="0" fillId="2" borderId="0" xfId="0" applyNumberFormat="1" applyFill="1" applyAlignment="1">
      <alignment horizontal="right"/>
    </xf>
    <xf numFmtId="0" fontId="4" fillId="0" borderId="0" xfId="0" applyFont="1" applyAlignment="1">
      <alignment horizontal="center" vertical="center"/>
    </xf>
    <xf numFmtId="0" fontId="2" fillId="3" borderId="1" xfId="0" applyFont="1" applyFill="1" applyBorder="1" applyAlignment="1">
      <alignment horizontal="center" vertical="center"/>
    </xf>
    <xf numFmtId="0" fontId="8" fillId="4" borderId="1" xfId="1" applyNumberFormat="1" applyFont="1" applyFill="1" applyBorder="1" applyAlignment="1">
      <alignment vertical="center" wrapText="1"/>
    </xf>
    <xf numFmtId="0" fontId="3" fillId="5" borderId="1" xfId="1" applyFont="1" applyFill="1" applyBorder="1" applyAlignment="1">
      <alignment vertical="center" wrapText="1"/>
    </xf>
    <xf numFmtId="0" fontId="8" fillId="6" borderId="1" xfId="2" applyFont="1" applyFill="1" applyBorder="1" applyAlignment="1">
      <alignment vertical="center" wrapText="1"/>
    </xf>
    <xf numFmtId="4" fontId="3" fillId="7" borderId="1" xfId="2" applyNumberFormat="1" applyFont="1" applyFill="1" applyBorder="1" applyAlignment="1">
      <alignment vertical="center" wrapText="1"/>
    </xf>
    <xf numFmtId="0" fontId="8" fillId="8" borderId="1" xfId="2" applyFont="1" applyFill="1" applyBorder="1" applyAlignment="1">
      <alignment vertical="center" wrapText="1"/>
    </xf>
    <xf numFmtId="0" fontId="3" fillId="9" borderId="1" xfId="2" applyFont="1" applyFill="1" applyBorder="1" applyAlignment="1">
      <alignment vertical="center" wrapText="1"/>
    </xf>
    <xf numFmtId="0" fontId="8" fillId="10" borderId="1" xfId="2" applyFont="1" applyFill="1" applyBorder="1" applyAlignment="1">
      <alignment vertical="center" wrapText="1"/>
    </xf>
    <xf numFmtId="0" fontId="3" fillId="11" borderId="1" xfId="2" applyFont="1" applyFill="1" applyBorder="1" applyAlignment="1">
      <alignment vertical="center" wrapText="1"/>
    </xf>
    <xf numFmtId="3" fontId="8" fillId="10" borderId="1" xfId="3" applyNumberFormat="1" applyFont="1" applyFill="1" applyBorder="1" applyAlignment="1">
      <alignment vertical="center" wrapText="1"/>
    </xf>
    <xf numFmtId="3" fontId="3" fillId="11" borderId="1" xfId="3" applyNumberFormat="1" applyFont="1" applyFill="1" applyBorder="1" applyAlignment="1">
      <alignment vertical="center" wrapText="1"/>
    </xf>
    <xf numFmtId="4" fontId="3" fillId="11" borderId="1" xfId="2" applyNumberFormat="1" applyFont="1" applyFill="1" applyBorder="1" applyAlignment="1">
      <alignment vertical="center" wrapText="1"/>
    </xf>
    <xf numFmtId="0" fontId="8" fillId="12" borderId="1" xfId="2" applyFont="1" applyFill="1" applyBorder="1" applyAlignment="1">
      <alignment vertical="center" wrapText="1"/>
    </xf>
    <xf numFmtId="14" fontId="3" fillId="7" borderId="1" xfId="2" applyNumberFormat="1" applyFont="1" applyFill="1" applyBorder="1" applyAlignment="1">
      <alignment vertical="center" wrapText="1"/>
    </xf>
    <xf numFmtId="14" fontId="8" fillId="13" borderId="1" xfId="2" applyNumberFormat="1" applyFont="1" applyFill="1" applyBorder="1" applyAlignment="1">
      <alignment vertical="center" wrapText="1"/>
    </xf>
    <xf numFmtId="14" fontId="3" fillId="7" borderId="5" xfId="2" applyNumberFormat="1" applyFont="1" applyFill="1" applyBorder="1" applyAlignment="1">
      <alignment vertical="center" wrapText="1"/>
    </xf>
    <xf numFmtId="14" fontId="8" fillId="14" borderId="1" xfId="2" applyNumberFormat="1" applyFont="1" applyFill="1" applyBorder="1" applyAlignment="1">
      <alignment vertical="center" wrapText="1"/>
    </xf>
    <xf numFmtId="14" fontId="3" fillId="15" borderId="5" xfId="2" applyNumberFormat="1" applyFont="1" applyFill="1" applyBorder="1" applyAlignment="1">
      <alignment vertical="center" wrapText="1"/>
    </xf>
    <xf numFmtId="14" fontId="8" fillId="14" borderId="6" xfId="2" applyNumberFormat="1" applyFont="1" applyFill="1" applyBorder="1" applyAlignment="1">
      <alignment vertical="center" wrapText="1"/>
    </xf>
    <xf numFmtId="14" fontId="8" fillId="16" borderId="1" xfId="2" applyNumberFormat="1" applyFont="1" applyFill="1" applyBorder="1" applyAlignment="1">
      <alignment vertical="center" wrapText="1"/>
    </xf>
    <xf numFmtId="14" fontId="3" fillId="5" borderId="1" xfId="2" applyNumberFormat="1" applyFont="1" applyFill="1" applyBorder="1" applyAlignment="1">
      <alignment vertical="center" wrapText="1"/>
    </xf>
    <xf numFmtId="0" fontId="0" fillId="2" borderId="0" xfId="0" applyFill="1" applyAlignment="1">
      <alignment vertical="center"/>
    </xf>
    <xf numFmtId="0" fontId="0" fillId="4" borderId="2" xfId="0" applyFill="1" applyBorder="1" applyAlignment="1">
      <alignment vertical="center" wrapText="1"/>
    </xf>
    <xf numFmtId="0" fontId="0" fillId="4" borderId="2" xfId="0" applyFill="1" applyBorder="1" applyAlignment="1">
      <alignment horizontal="right" vertical="center" wrapText="1"/>
    </xf>
    <xf numFmtId="0" fontId="6" fillId="2" borderId="2" xfId="0" applyFont="1" applyFill="1" applyBorder="1" applyAlignment="1">
      <alignment vertical="center" wrapText="1"/>
    </xf>
    <xf numFmtId="0" fontId="0" fillId="2" borderId="2" xfId="0" applyFill="1" applyBorder="1" applyAlignment="1">
      <alignment vertical="center" wrapText="1"/>
    </xf>
    <xf numFmtId="0" fontId="14" fillId="2" borderId="0" xfId="0" applyFont="1" applyFill="1" applyAlignment="1">
      <alignment horizontal="left" vertical="center" wrapText="1"/>
    </xf>
    <xf numFmtId="0" fontId="2" fillId="2" borderId="6" xfId="0" applyFont="1" applyFill="1" applyBorder="1"/>
    <xf numFmtId="0" fontId="3" fillId="3" borderId="6" xfId="0" applyFont="1" applyFill="1" applyBorder="1" applyAlignment="1">
      <alignment horizontal="center" vertical="center"/>
    </xf>
    <xf numFmtId="0" fontId="2" fillId="0" borderId="7" xfId="0" applyFont="1" applyBorder="1"/>
    <xf numFmtId="0" fontId="0" fillId="0" borderId="7" xfId="0" applyBorder="1"/>
    <xf numFmtId="0" fontId="0" fillId="2" borderId="0" xfId="0" applyFill="1" applyAlignment="1">
      <alignment horizontal="center"/>
    </xf>
    <xf numFmtId="4" fontId="3" fillId="11" borderId="1" xfId="2" applyNumberFormat="1" applyFont="1" applyFill="1" applyBorder="1" applyAlignment="1">
      <alignment horizontal="center" vertical="center" wrapText="1"/>
    </xf>
    <xf numFmtId="3" fontId="3" fillId="11" borderId="1" xfId="3" applyNumberFormat="1" applyFont="1" applyFill="1" applyBorder="1" applyAlignment="1">
      <alignment horizontal="center" vertical="center" wrapText="1"/>
    </xf>
    <xf numFmtId="3" fontId="8" fillId="10" borderId="1" xfId="3" applyNumberFormat="1" applyFont="1" applyFill="1" applyBorder="1" applyAlignment="1">
      <alignment horizontal="center" vertical="center" wrapText="1"/>
    </xf>
    <xf numFmtId="0" fontId="15" fillId="2"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0" fillId="2" borderId="1" xfId="0" applyFill="1" applyBorder="1" applyAlignment="1">
      <alignment horizontal="center"/>
    </xf>
    <xf numFmtId="0" fontId="15"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0" borderId="1" xfId="0" applyBorder="1" applyAlignment="1">
      <alignment horizontal="center" vertical="center"/>
    </xf>
    <xf numFmtId="14" fontId="3" fillId="5" borderId="1" xfId="5" applyNumberFormat="1" applyFont="1" applyFill="1" applyBorder="1" applyAlignment="1">
      <alignment vertical="center" wrapText="1"/>
    </xf>
    <xf numFmtId="14" fontId="8" fillId="16" borderId="1" xfId="5" applyNumberFormat="1" applyFont="1" applyFill="1" applyBorder="1" applyAlignment="1">
      <alignment vertical="center" wrapText="1"/>
    </xf>
    <xf numFmtId="14" fontId="3" fillId="15" borderId="5" xfId="5" applyNumberFormat="1" applyFont="1" applyFill="1" applyBorder="1" applyAlignment="1">
      <alignment vertical="center" wrapText="1"/>
    </xf>
    <xf numFmtId="14" fontId="8" fillId="14" borderId="6" xfId="5" applyNumberFormat="1" applyFont="1" applyFill="1" applyBorder="1" applyAlignment="1">
      <alignment vertical="center" wrapText="1"/>
    </xf>
    <xf numFmtId="14" fontId="8" fillId="14" borderId="1" xfId="5" applyNumberFormat="1" applyFont="1" applyFill="1" applyBorder="1" applyAlignment="1">
      <alignment vertical="center" wrapText="1"/>
    </xf>
    <xf numFmtId="14" fontId="3" fillId="7" borderId="5" xfId="5" applyNumberFormat="1" applyFont="1" applyFill="1" applyBorder="1" applyAlignment="1">
      <alignment vertical="center" wrapText="1"/>
    </xf>
    <xf numFmtId="14" fontId="8" fillId="13" borderId="1" xfId="5" applyNumberFormat="1" applyFont="1" applyFill="1" applyBorder="1" applyAlignment="1">
      <alignment vertical="center" wrapText="1"/>
    </xf>
    <xf numFmtId="14" fontId="3" fillId="7" borderId="1" xfId="5" applyNumberFormat="1" applyFont="1" applyFill="1" applyBorder="1" applyAlignment="1">
      <alignment vertical="center" wrapText="1"/>
    </xf>
    <xf numFmtId="0" fontId="8" fillId="12" borderId="1" xfId="5" applyFont="1" applyFill="1" applyBorder="1" applyAlignment="1">
      <alignment vertical="center" wrapText="1"/>
    </xf>
    <xf numFmtId="4" fontId="3" fillId="11" borderId="1" xfId="5" applyNumberFormat="1" applyFont="1" applyFill="1" applyBorder="1" applyAlignment="1">
      <alignment vertical="center" wrapText="1"/>
    </xf>
    <xf numFmtId="0" fontId="8" fillId="10" borderId="1" xfId="5" applyFont="1" applyFill="1" applyBorder="1" applyAlignment="1">
      <alignment vertical="center" wrapText="1"/>
    </xf>
    <xf numFmtId="3" fontId="3" fillId="11" borderId="1" xfId="6" applyNumberFormat="1" applyFont="1" applyFill="1" applyBorder="1" applyAlignment="1">
      <alignment vertical="center" wrapText="1"/>
    </xf>
    <xf numFmtId="3" fontId="8" fillId="10" borderId="1" xfId="6" applyNumberFormat="1" applyFont="1" applyFill="1" applyBorder="1" applyAlignment="1">
      <alignment vertical="center" wrapText="1"/>
    </xf>
    <xf numFmtId="0" fontId="3" fillId="11" borderId="1" xfId="5" applyFont="1" applyFill="1" applyBorder="1" applyAlignment="1">
      <alignment vertical="center" wrapText="1"/>
    </xf>
    <xf numFmtId="0" fontId="3" fillId="9" borderId="1" xfId="5" applyFont="1" applyFill="1" applyBorder="1" applyAlignment="1">
      <alignment vertical="center" wrapText="1"/>
    </xf>
    <xf numFmtId="0" fontId="8" fillId="8" borderId="1" xfId="5" applyFont="1" applyFill="1" applyBorder="1" applyAlignment="1">
      <alignment vertical="center" wrapText="1"/>
    </xf>
    <xf numFmtId="4" fontId="3" fillId="7" borderId="1" xfId="5" applyNumberFormat="1" applyFont="1" applyFill="1" applyBorder="1" applyAlignment="1">
      <alignment vertical="center" wrapText="1"/>
    </xf>
    <xf numFmtId="0" fontId="8" fillId="6" borderId="1" xfId="5" applyFont="1" applyFill="1" applyBorder="1" applyAlignment="1">
      <alignment vertical="center" wrapText="1"/>
    </xf>
    <xf numFmtId="0" fontId="4" fillId="3" borderId="1" xfId="0" applyFont="1" applyFill="1" applyBorder="1" applyAlignment="1">
      <alignment horizontal="right"/>
    </xf>
    <xf numFmtId="0" fontId="0" fillId="2" borderId="0" xfId="0" applyFill="1" applyAlignment="1">
      <alignment horizontal="left" vertical="center" wrapText="1"/>
    </xf>
    <xf numFmtId="0" fontId="2" fillId="0" borderId="1" xfId="0" applyFont="1" applyBorder="1" applyAlignment="1">
      <alignment vertical="center"/>
    </xf>
    <xf numFmtId="0" fontId="2" fillId="2" borderId="1" xfId="0" applyFont="1" applyFill="1" applyBorder="1" applyAlignment="1">
      <alignment horizontal="left" vertical="center" wrapText="1"/>
    </xf>
    <xf numFmtId="0" fontId="0" fillId="3" borderId="1" xfId="0" applyFill="1" applyBorder="1"/>
    <xf numFmtId="0" fontId="9" fillId="2" borderId="0" xfId="2" applyFill="1"/>
    <xf numFmtId="0" fontId="9" fillId="0" borderId="0" xfId="2"/>
    <xf numFmtId="0" fontId="2" fillId="3" borderId="1" xfId="2" applyFont="1" applyFill="1" applyBorder="1" applyAlignment="1">
      <alignment horizontal="center" vertical="center"/>
    </xf>
    <xf numFmtId="0" fontId="3" fillId="3" borderId="1" xfId="2" applyFont="1" applyFill="1" applyBorder="1" applyAlignment="1">
      <alignment horizontal="left" vertical="center" wrapText="1"/>
    </xf>
    <xf numFmtId="0" fontId="9" fillId="4" borderId="2" xfId="2" applyFill="1" applyBorder="1" applyAlignment="1">
      <alignment vertical="center" wrapText="1"/>
    </xf>
    <xf numFmtId="0" fontId="17" fillId="2" borderId="0" xfId="2" applyFont="1" applyFill="1" applyAlignment="1">
      <alignment horizontal="left" indent="3"/>
    </xf>
    <xf numFmtId="0" fontId="9" fillId="2" borderId="0" xfId="2" applyFill="1" applyAlignment="1">
      <alignment horizontal="left" indent="3"/>
    </xf>
    <xf numFmtId="0" fontId="18" fillId="2" borderId="0" xfId="2" applyFont="1" applyFill="1"/>
    <xf numFmtId="14" fontId="2" fillId="2" borderId="0" xfId="0" applyNumberFormat="1" applyFont="1" applyFill="1"/>
    <xf numFmtId="0" fontId="2" fillId="2" borderId="1" xfId="0" applyFont="1" applyFill="1" applyBorder="1"/>
    <xf numFmtId="0" fontId="3" fillId="3" borderId="1" xfId="0" applyFont="1" applyFill="1" applyBorder="1" applyAlignment="1">
      <alignment horizontal="center" vertical="center"/>
    </xf>
    <xf numFmtId="0" fontId="4" fillId="2" borderId="0" xfId="0" applyFont="1" applyFill="1" applyAlignment="1">
      <alignment horizontal="right"/>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11" borderId="1" xfId="2" applyFont="1" applyFill="1" applyBorder="1" applyAlignment="1">
      <alignment horizontal="center" vertical="center" wrapText="1"/>
    </xf>
    <xf numFmtId="4" fontId="3" fillId="3" borderId="1" xfId="0" applyNumberFormat="1" applyFont="1" applyFill="1" applyBorder="1" applyAlignment="1">
      <alignment horizontal="left" vertical="center" wrapText="1"/>
    </xf>
    <xf numFmtId="166" fontId="3" fillId="3" borderId="1" xfId="8" applyNumberFormat="1" applyFont="1" applyFill="1" applyBorder="1" applyAlignment="1">
      <alignment horizontal="left" vertical="center" wrapText="1"/>
    </xf>
    <xf numFmtId="3" fontId="3" fillId="3" borderId="1" xfId="0" applyNumberFormat="1" applyFont="1" applyFill="1" applyBorder="1" applyAlignment="1">
      <alignment horizontal="left" vertical="center" wrapText="1"/>
    </xf>
    <xf numFmtId="14" fontId="3" fillId="3" borderId="1" xfId="0" applyNumberFormat="1" applyFont="1" applyFill="1" applyBorder="1" applyAlignment="1">
      <alignment horizontal="left" vertical="center" wrapText="1"/>
    </xf>
    <xf numFmtId="14" fontId="3" fillId="3" borderId="6" xfId="0" quotePrefix="1" applyNumberFormat="1" applyFont="1" applyFill="1" applyBorder="1" applyAlignment="1">
      <alignment horizontal="left" vertical="center" wrapText="1"/>
    </xf>
    <xf numFmtId="14" fontId="3" fillId="3" borderId="6" xfId="0" applyNumberFormat="1" applyFont="1" applyFill="1" applyBorder="1" applyAlignment="1">
      <alignment horizontal="left" vertical="center" wrapText="1"/>
    </xf>
    <xf numFmtId="14" fontId="6" fillId="3" borderId="6" xfId="0" quotePrefix="1" applyNumberFormat="1"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1" xfId="0" applyFont="1" applyFill="1" applyBorder="1" applyAlignment="1">
      <alignment horizontal="left" vertical="center" wrapText="1"/>
    </xf>
    <xf numFmtId="0" fontId="17" fillId="2" borderId="0" xfId="0" applyFont="1" applyFill="1" applyAlignment="1">
      <alignment horizontal="left" indent="3"/>
    </xf>
    <xf numFmtId="0" fontId="0" fillId="2" borderId="0" xfId="0" applyFill="1" applyAlignment="1">
      <alignment horizontal="left" indent="3"/>
    </xf>
    <xf numFmtId="0" fontId="18" fillId="2" borderId="0" xfId="0" applyFont="1" applyFill="1"/>
    <xf numFmtId="14" fontId="22" fillId="19" borderId="2" xfId="0" applyNumberFormat="1" applyFont="1" applyFill="1" applyBorder="1" applyAlignment="1">
      <alignment horizontal="center" vertical="center"/>
    </xf>
    <xf numFmtId="0" fontId="0" fillId="2" borderId="0" xfId="0" applyFill="1" applyAlignment="1">
      <alignment vertical="center" wrapText="1"/>
    </xf>
    <xf numFmtId="0" fontId="21" fillId="2" borderId="1" xfId="9" applyFill="1" applyBorder="1" applyAlignment="1">
      <alignment horizontal="center" vertical="center"/>
    </xf>
    <xf numFmtId="0" fontId="0" fillId="2" borderId="1" xfId="0" applyFill="1" applyBorder="1"/>
    <xf numFmtId="0" fontId="23" fillId="2" borderId="1" xfId="0" applyFont="1" applyFill="1" applyBorder="1" applyAlignment="1">
      <alignment horizontal="left" vertical="center" wrapText="1"/>
    </xf>
    <xf numFmtId="0" fontId="3" fillId="2" borderId="0" xfId="0" applyFont="1" applyFill="1" applyAlignment="1">
      <alignment horizontal="center" vertical="center" wrapText="1"/>
    </xf>
    <xf numFmtId="0" fontId="3" fillId="17" borderId="1" xfId="0" applyFont="1" applyFill="1" applyBorder="1" applyAlignment="1">
      <alignment horizontal="left" vertical="center" wrapText="1"/>
    </xf>
    <xf numFmtId="4" fontId="3" fillId="17" borderId="1" xfId="0" applyNumberFormat="1" applyFont="1" applyFill="1" applyBorder="1" applyAlignment="1">
      <alignment horizontal="left" vertical="center" wrapText="1"/>
    </xf>
    <xf numFmtId="14" fontId="3" fillId="17" borderId="1" xfId="0" applyNumberFormat="1" applyFont="1" applyFill="1" applyBorder="1" applyAlignment="1">
      <alignment horizontal="left" vertical="center" wrapText="1"/>
    </xf>
    <xf numFmtId="14" fontId="2" fillId="3" borderId="1" xfId="0" applyNumberFormat="1" applyFont="1" applyFill="1" applyBorder="1"/>
    <xf numFmtId="0" fontId="0" fillId="0" borderId="0" xfId="0" applyAlignment="1">
      <alignment horizontal="right"/>
    </xf>
    <xf numFmtId="14" fontId="0" fillId="0" borderId="0" xfId="0" applyNumberFormat="1" applyAlignment="1">
      <alignment horizontal="right"/>
    </xf>
    <xf numFmtId="0" fontId="4" fillId="0" borderId="0" xfId="0" applyFont="1" applyAlignment="1">
      <alignment horizontal="right"/>
    </xf>
    <xf numFmtId="0" fontId="0" fillId="2" borderId="0" xfId="0" applyFill="1" applyAlignment="1">
      <alignment horizontal="center" vertical="center" wrapText="1"/>
    </xf>
    <xf numFmtId="0" fontId="2" fillId="3" borderId="6" xfId="0" applyFont="1" applyFill="1" applyBorder="1" applyAlignment="1">
      <alignment horizontal="center" vertical="center" wrapText="1"/>
    </xf>
    <xf numFmtId="12" fontId="3" fillId="2" borderId="3" xfId="0" applyNumberFormat="1"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3" xfId="0" applyFont="1" applyFill="1" applyBorder="1" applyAlignment="1">
      <alignment horizontal="left" vertical="top"/>
    </xf>
    <xf numFmtId="0" fontId="3" fillId="3" borderId="9" xfId="0" applyFont="1" applyFill="1" applyBorder="1" applyAlignment="1">
      <alignment horizontal="left" vertical="center" wrapText="1"/>
    </xf>
    <xf numFmtId="1" fontId="3" fillId="3" borderId="1" xfId="8" applyNumberFormat="1" applyFont="1" applyFill="1" applyBorder="1" applyAlignment="1">
      <alignment horizontal="left" vertical="center" wrapText="1"/>
    </xf>
    <xf numFmtId="2" fontId="3" fillId="3" borderId="1" xfId="8" applyNumberFormat="1" applyFont="1" applyFill="1" applyBorder="1" applyAlignment="1">
      <alignment horizontal="left" vertical="center" wrapText="1"/>
    </xf>
    <xf numFmtId="10" fontId="3" fillId="3" borderId="1" xfId="8" applyNumberFormat="1" applyFont="1" applyFill="1" applyBorder="1" applyAlignment="1">
      <alignment horizontal="left" vertical="center" wrapText="1"/>
    </xf>
    <xf numFmtId="2" fontId="3" fillId="3" borderId="1" xfId="0" applyNumberFormat="1" applyFont="1" applyFill="1" applyBorder="1" applyAlignment="1">
      <alignment horizontal="left" vertical="center" wrapText="1"/>
    </xf>
    <xf numFmtId="0" fontId="0" fillId="3" borderId="1" xfId="0" applyFill="1" applyBorder="1" applyAlignment="1">
      <alignment horizontal="center" vertical="center"/>
    </xf>
    <xf numFmtId="0" fontId="0" fillId="0" borderId="0" xfId="0" applyAlignment="1">
      <alignment vertical="center" wrapText="1"/>
    </xf>
    <xf numFmtId="0" fontId="2" fillId="3" borderId="4" xfId="0" applyFont="1" applyFill="1" applyBorder="1" applyAlignment="1">
      <alignment horizontal="center" vertical="center" wrapText="1"/>
    </xf>
    <xf numFmtId="0" fontId="3" fillId="2" borderId="4" xfId="0" applyFont="1" applyFill="1" applyBorder="1" applyAlignment="1">
      <alignment horizontal="left" vertical="top"/>
    </xf>
    <xf numFmtId="0" fontId="3" fillId="3" borderId="1" xfId="8" applyNumberFormat="1" applyFont="1" applyFill="1" applyBorder="1" applyAlignment="1">
      <alignment horizontal="left" vertical="center" wrapText="1"/>
    </xf>
    <xf numFmtId="164" fontId="3" fillId="3" borderId="1" xfId="8" applyNumberFormat="1" applyFont="1" applyFill="1" applyBorder="1" applyAlignment="1">
      <alignment horizontal="left" vertical="center" wrapText="1"/>
    </xf>
    <xf numFmtId="164" fontId="3" fillId="3" borderId="1" xfId="0" applyNumberFormat="1" applyFont="1" applyFill="1" applyBorder="1" applyAlignment="1">
      <alignment horizontal="left" vertical="center" wrapText="1"/>
    </xf>
    <xf numFmtId="0" fontId="24" fillId="20"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3" fillId="0" borderId="0" xfId="0" applyFont="1" applyAlignment="1">
      <alignment horizontal="center" vertical="center" wrapText="1"/>
    </xf>
    <xf numFmtId="167" fontId="3" fillId="3" borderId="1" xfId="10" applyFont="1" applyFill="1" applyBorder="1" applyAlignment="1">
      <alignment vertical="center" wrapText="1"/>
    </xf>
    <xf numFmtId="167" fontId="3" fillId="3" borderId="1" xfId="10" applyFont="1" applyFill="1" applyBorder="1" applyAlignment="1">
      <alignment horizontal="left" vertical="center" wrapText="1"/>
    </xf>
    <xf numFmtId="9" fontId="3" fillId="3" borderId="1" xfId="0" applyNumberFormat="1" applyFont="1" applyFill="1" applyBorder="1" applyAlignment="1">
      <alignment horizontal="left" vertical="center" wrapText="1"/>
    </xf>
    <xf numFmtId="0" fontId="3" fillId="3" borderId="6" xfId="0" quotePrefix="1" applyFont="1" applyFill="1" applyBorder="1" applyAlignment="1">
      <alignment horizontal="left" vertical="center" wrapText="1"/>
    </xf>
    <xf numFmtId="168" fontId="3" fillId="3" borderId="1" xfId="8" applyNumberFormat="1" applyFont="1" applyFill="1" applyBorder="1" applyAlignment="1">
      <alignment horizontal="left" vertical="center" wrapText="1"/>
    </xf>
    <xf numFmtId="169" fontId="3" fillId="3" borderId="1" xfId="8" applyNumberFormat="1" applyFont="1" applyFill="1" applyBorder="1" applyAlignment="1">
      <alignment horizontal="left" vertical="center" wrapText="1"/>
    </xf>
    <xf numFmtId="0" fontId="1" fillId="2" borderId="0" xfId="11" applyFill="1"/>
    <xf numFmtId="0" fontId="2" fillId="2" borderId="1" xfId="11" applyFont="1" applyFill="1" applyBorder="1"/>
    <xf numFmtId="14" fontId="2" fillId="2" borderId="0" xfId="11" applyNumberFormat="1" applyFont="1" applyFill="1"/>
    <xf numFmtId="0" fontId="1" fillId="2" borderId="0" xfId="11" applyFill="1" applyAlignment="1">
      <alignment horizontal="right"/>
    </xf>
    <xf numFmtId="14" fontId="1" fillId="2" borderId="0" xfId="11" applyNumberFormat="1" applyFill="1" applyAlignment="1">
      <alignment horizontal="right"/>
    </xf>
    <xf numFmtId="0" fontId="3" fillId="3" borderId="1" xfId="11" applyFont="1" applyFill="1" applyBorder="1" applyAlignment="1">
      <alignment horizontal="center" vertical="center"/>
    </xf>
    <xf numFmtId="0" fontId="4" fillId="2" borderId="0" xfId="11" applyFont="1" applyFill="1" applyAlignment="1">
      <alignment horizontal="right"/>
    </xf>
    <xf numFmtId="0" fontId="4" fillId="0" borderId="0" xfId="11" applyFont="1" applyAlignment="1">
      <alignment horizontal="center" vertical="center"/>
    </xf>
    <xf numFmtId="0" fontId="21" fillId="3" borderId="1" xfId="9" applyFill="1" applyBorder="1"/>
    <xf numFmtId="0" fontId="2" fillId="3" borderId="2" xfId="11" applyFont="1" applyFill="1" applyBorder="1" applyAlignment="1">
      <alignment horizontal="center" vertical="center"/>
    </xf>
    <xf numFmtId="0" fontId="1" fillId="0" borderId="8" xfId="11" applyBorder="1" applyAlignment="1">
      <alignment vertical="center" wrapText="1"/>
    </xf>
    <xf numFmtId="0" fontId="1" fillId="0" borderId="0" xfId="11" applyAlignment="1">
      <alignment vertical="center" wrapText="1"/>
    </xf>
    <xf numFmtId="0" fontId="1" fillId="2" borderId="1" xfId="11" applyFill="1" applyBorder="1" applyAlignment="1">
      <alignment vertical="center"/>
    </xf>
    <xf numFmtId="0" fontId="1" fillId="3" borderId="4" xfId="11" applyFill="1" applyBorder="1"/>
    <xf numFmtId="0" fontId="1" fillId="3" borderId="1" xfId="11" applyFill="1" applyBorder="1"/>
    <xf numFmtId="0" fontId="1" fillId="2" borderId="1" xfId="11" applyFill="1" applyBorder="1" applyAlignment="1">
      <alignment horizontal="left" vertical="center" wrapText="1"/>
    </xf>
    <xf numFmtId="0" fontId="2" fillId="3" borderId="10" xfId="11" applyFont="1" applyFill="1" applyBorder="1" applyAlignment="1">
      <alignment horizontal="center" vertical="center" wrapText="1"/>
    </xf>
    <xf numFmtId="0" fontId="2" fillId="3" borderId="9" xfId="11" applyFont="1" applyFill="1" applyBorder="1" applyAlignment="1">
      <alignment horizontal="center" vertical="center" wrapText="1"/>
    </xf>
    <xf numFmtId="0" fontId="1" fillId="2" borderId="1" xfId="12" applyFill="1" applyBorder="1" applyAlignment="1">
      <alignment horizontal="left" vertical="center" wrapText="1"/>
    </xf>
    <xf numFmtId="0" fontId="2" fillId="3" borderId="1" xfId="12" applyFont="1" applyFill="1" applyBorder="1" applyAlignment="1">
      <alignment horizontal="center" vertical="center" wrapText="1"/>
    </xf>
    <xf numFmtId="0" fontId="14" fillId="2" borderId="0" xfId="11" applyFont="1" applyFill="1" applyAlignment="1">
      <alignment horizontal="left" vertical="center" wrapText="1"/>
    </xf>
    <xf numFmtId="0" fontId="3" fillId="2" borderId="1" xfId="11" applyFont="1" applyFill="1" applyBorder="1" applyAlignment="1">
      <alignment horizontal="center" vertical="center" wrapText="1"/>
    </xf>
    <xf numFmtId="0" fontId="6" fillId="2" borderId="1" xfId="11" applyFont="1" applyFill="1" applyBorder="1"/>
    <xf numFmtId="0" fontId="3" fillId="3" borderId="1" xfId="11" applyFont="1" applyFill="1" applyBorder="1" applyAlignment="1">
      <alignment horizontal="left" vertical="center" wrapText="1"/>
    </xf>
    <xf numFmtId="3" fontId="3" fillId="3" borderId="1" xfId="11" applyNumberFormat="1" applyFont="1" applyFill="1" applyBorder="1" applyAlignment="1">
      <alignment horizontal="left" vertical="center" wrapText="1"/>
    </xf>
    <xf numFmtId="4" fontId="3" fillId="3" borderId="1" xfId="11" applyNumberFormat="1" applyFont="1" applyFill="1" applyBorder="1" applyAlignment="1">
      <alignment horizontal="left" vertical="center" wrapText="1"/>
    </xf>
    <xf numFmtId="166" fontId="3" fillId="3" borderId="1" xfId="13" quotePrefix="1" applyNumberFormat="1" applyFont="1" applyFill="1" applyBorder="1" applyAlignment="1">
      <alignment horizontal="left" vertical="center" wrapText="1"/>
    </xf>
    <xf numFmtId="166" fontId="3" fillId="3" borderId="1" xfId="13" applyNumberFormat="1" applyFont="1" applyFill="1" applyBorder="1" applyAlignment="1">
      <alignment horizontal="left" vertical="center" wrapText="1"/>
    </xf>
    <xf numFmtId="0" fontId="3" fillId="21" borderId="1" xfId="11" applyFont="1" applyFill="1" applyBorder="1" applyAlignment="1">
      <alignment horizontal="center" vertical="center" wrapText="1"/>
    </xf>
    <xf numFmtId="2" fontId="3" fillId="3" borderId="1" xfId="13" applyNumberFormat="1" applyFont="1" applyFill="1" applyBorder="1" applyAlignment="1">
      <alignment horizontal="left" vertical="center" wrapText="1"/>
    </xf>
    <xf numFmtId="170" fontId="3" fillId="3" borderId="1" xfId="11" applyNumberFormat="1" applyFont="1" applyFill="1" applyBorder="1" applyAlignment="1">
      <alignment horizontal="left" vertical="center" wrapText="1"/>
    </xf>
    <xf numFmtId="14" fontId="3" fillId="3" borderId="1" xfId="11" applyNumberFormat="1" applyFont="1" applyFill="1" applyBorder="1" applyAlignment="1">
      <alignment horizontal="left" vertical="center" wrapText="1"/>
    </xf>
    <xf numFmtId="14" fontId="3" fillId="3" borderId="1" xfId="13" applyNumberFormat="1" applyFont="1" applyFill="1" applyBorder="1" applyAlignment="1">
      <alignment horizontal="left" vertical="center" wrapText="1"/>
    </xf>
    <xf numFmtId="14" fontId="3" fillId="3" borderId="6" xfId="11" quotePrefix="1" applyNumberFormat="1" applyFont="1" applyFill="1" applyBorder="1" applyAlignment="1">
      <alignment horizontal="left" vertical="center" wrapText="1"/>
    </xf>
    <xf numFmtId="14" fontId="3" fillId="3" borderId="6" xfId="11" applyNumberFormat="1" applyFont="1" applyFill="1" applyBorder="1" applyAlignment="1">
      <alignment horizontal="left" vertical="center" wrapText="1"/>
    </xf>
    <xf numFmtId="0" fontId="3" fillId="3" borderId="6" xfId="11" applyFont="1" applyFill="1" applyBorder="1" applyAlignment="1">
      <alignment horizontal="left" vertical="center" wrapText="1"/>
    </xf>
    <xf numFmtId="0" fontId="1" fillId="2" borderId="0" xfId="11" applyFill="1" applyAlignment="1">
      <alignment vertical="center"/>
    </xf>
    <xf numFmtId="0" fontId="1" fillId="4" borderId="2" xfId="11" applyFill="1" applyBorder="1" applyAlignment="1">
      <alignment vertical="center" wrapText="1"/>
    </xf>
    <xf numFmtId="0" fontId="1" fillId="4" borderId="2" xfId="11" applyFill="1" applyBorder="1" applyAlignment="1">
      <alignment horizontal="right" vertical="center" wrapText="1"/>
    </xf>
    <xf numFmtId="0" fontId="6" fillId="2" borderId="2" xfId="11" applyFont="1" applyFill="1" applyBorder="1" applyAlignment="1">
      <alignment vertical="center" wrapText="1"/>
    </xf>
    <xf numFmtId="0" fontId="3" fillId="2" borderId="1" xfId="11" applyFont="1" applyFill="1" applyBorder="1" applyAlignment="1">
      <alignment horizontal="left" vertical="center" wrapText="1"/>
    </xf>
    <xf numFmtId="0" fontId="1" fillId="2" borderId="2" xfId="11" applyFill="1" applyBorder="1" applyAlignment="1">
      <alignment vertical="center" wrapText="1"/>
    </xf>
    <xf numFmtId="0" fontId="24" fillId="22" borderId="2" xfId="11" applyFont="1" applyFill="1" applyBorder="1" applyAlignment="1">
      <alignment vertical="center" wrapText="1"/>
    </xf>
    <xf numFmtId="0" fontId="24" fillId="0" borderId="0" xfId="11" applyFont="1" applyAlignment="1">
      <alignment vertical="center" wrapText="1"/>
    </xf>
    <xf numFmtId="0" fontId="17" fillId="2" borderId="0" xfId="11" applyFont="1" applyFill="1" applyAlignment="1">
      <alignment horizontal="left" indent="3"/>
    </xf>
    <xf numFmtId="0" fontId="1" fillId="2" borderId="0" xfId="11" applyFill="1" applyAlignment="1">
      <alignment horizontal="left" indent="3"/>
    </xf>
    <xf numFmtId="0" fontId="18" fillId="2" borderId="0" xfId="11" applyFont="1" applyFill="1"/>
    <xf numFmtId="0" fontId="2" fillId="2" borderId="0" xfId="11" applyFont="1" applyFill="1" applyAlignment="1">
      <alignment horizontal="left" vertical="center" wrapText="1"/>
    </xf>
    <xf numFmtId="0" fontId="2" fillId="2" borderId="0" xfId="11" applyFont="1" applyFill="1"/>
    <xf numFmtId="0" fontId="3" fillId="3" borderId="9" xfId="11" applyFont="1" applyFill="1" applyBorder="1" applyAlignment="1">
      <alignment horizontal="center" vertical="center" wrapText="1"/>
    </xf>
    <xf numFmtId="0" fontId="25" fillId="3" borderId="9" xfId="11" applyFont="1" applyFill="1" applyBorder="1" applyAlignment="1">
      <alignment horizontal="center" vertical="center" wrapText="1"/>
    </xf>
    <xf numFmtId="0" fontId="3" fillId="3" borderId="1" xfId="12" applyFont="1" applyFill="1" applyBorder="1" applyAlignment="1">
      <alignment horizontal="center" vertical="center" wrapText="1"/>
    </xf>
    <xf numFmtId="0" fontId="25" fillId="2" borderId="1" xfId="11" applyFont="1" applyFill="1" applyBorder="1" applyAlignment="1">
      <alignment horizontal="center" vertical="center" wrapText="1"/>
    </xf>
    <xf numFmtId="0" fontId="26" fillId="2" borderId="0" xfId="11" applyFont="1" applyFill="1" applyAlignment="1">
      <alignment horizontal="left" vertical="center" wrapText="1"/>
    </xf>
    <xf numFmtId="0" fontId="3" fillId="3" borderId="1" xfId="11" applyFont="1" applyFill="1" applyBorder="1" applyAlignment="1">
      <alignment horizontal="left" vertical="top" wrapText="1"/>
    </xf>
    <xf numFmtId="0" fontId="25" fillId="3" borderId="1" xfId="11" applyFont="1" applyFill="1" applyBorder="1" applyAlignment="1">
      <alignment horizontal="left" vertical="top" wrapText="1"/>
    </xf>
    <xf numFmtId="4" fontId="3" fillId="3" borderId="1" xfId="11" applyNumberFormat="1" applyFont="1" applyFill="1" applyBorder="1" applyAlignment="1">
      <alignment horizontal="left" vertical="top" wrapText="1"/>
    </xf>
    <xf numFmtId="4" fontId="25" fillId="3" borderId="1" xfId="11" applyNumberFormat="1" applyFont="1" applyFill="1" applyBorder="1" applyAlignment="1">
      <alignment horizontal="left" vertical="top" wrapText="1"/>
    </xf>
    <xf numFmtId="0" fontId="3" fillId="3" borderId="1" xfId="13" applyNumberFormat="1" applyFont="1" applyFill="1" applyBorder="1" applyAlignment="1">
      <alignment horizontal="left" vertical="top" wrapText="1"/>
    </xf>
    <xf numFmtId="166" fontId="3" fillId="3" borderId="1" xfId="13" applyNumberFormat="1" applyFont="1" applyFill="1" applyBorder="1" applyAlignment="1">
      <alignment horizontal="left" vertical="top" wrapText="1"/>
    </xf>
    <xf numFmtId="4" fontId="3" fillId="3" borderId="1" xfId="13" applyNumberFormat="1" applyFont="1" applyFill="1" applyBorder="1" applyAlignment="1">
      <alignment horizontal="left" vertical="top" wrapText="1"/>
    </xf>
    <xf numFmtId="166" fontId="25" fillId="3" borderId="1" xfId="13" applyNumberFormat="1" applyFont="1" applyFill="1" applyBorder="1" applyAlignment="1">
      <alignment horizontal="left" vertical="top" wrapText="1"/>
    </xf>
    <xf numFmtId="4" fontId="25" fillId="3" borderId="1" xfId="13" applyNumberFormat="1" applyFont="1" applyFill="1" applyBorder="1" applyAlignment="1">
      <alignment horizontal="left" vertical="top" wrapText="1"/>
    </xf>
    <xf numFmtId="0" fontId="3" fillId="3" borderId="1" xfId="11" applyFont="1" applyFill="1" applyBorder="1" applyAlignment="1">
      <alignment horizontal="right" vertical="top" wrapText="1"/>
    </xf>
    <xf numFmtId="0" fontId="25" fillId="3" borderId="1" xfId="11" applyFont="1" applyFill="1" applyBorder="1" applyAlignment="1">
      <alignment horizontal="right" vertical="top" wrapText="1"/>
    </xf>
    <xf numFmtId="14" fontId="3" fillId="3" borderId="1" xfId="11" applyNumberFormat="1" applyFont="1" applyFill="1" applyBorder="1" applyAlignment="1">
      <alignment horizontal="left" vertical="top" wrapText="1"/>
    </xf>
    <xf numFmtId="14" fontId="25" fillId="3" borderId="1" xfId="11" applyNumberFormat="1" applyFont="1" applyFill="1" applyBorder="1" applyAlignment="1">
      <alignment horizontal="left" vertical="top" wrapText="1"/>
    </xf>
    <xf numFmtId="14" fontId="3" fillId="3" borderId="6" xfId="11" quotePrefix="1" applyNumberFormat="1" applyFont="1" applyFill="1" applyBorder="1" applyAlignment="1">
      <alignment horizontal="left" vertical="top" wrapText="1"/>
    </xf>
    <xf numFmtId="14" fontId="3" fillId="3" borderId="6" xfId="11" applyNumberFormat="1" applyFont="1" applyFill="1" applyBorder="1" applyAlignment="1">
      <alignment horizontal="left" vertical="top" wrapText="1"/>
    </xf>
    <xf numFmtId="14" fontId="25" fillId="3" borderId="6" xfId="11" applyNumberFormat="1" applyFont="1" applyFill="1" applyBorder="1" applyAlignment="1">
      <alignment horizontal="left" vertical="top" wrapText="1"/>
    </xf>
    <xf numFmtId="14" fontId="25" fillId="3" borderId="6" xfId="11" quotePrefix="1" applyNumberFormat="1" applyFont="1" applyFill="1" applyBorder="1" applyAlignment="1">
      <alignment horizontal="left" vertical="top" wrapText="1"/>
    </xf>
    <xf numFmtId="0" fontId="3" fillId="3" borderId="6" xfId="11" applyFont="1" applyFill="1" applyBorder="1" applyAlignment="1">
      <alignment horizontal="left" vertical="top" wrapText="1"/>
    </xf>
    <xf numFmtId="0" fontId="25" fillId="3" borderId="6" xfId="11" applyFont="1" applyFill="1" applyBorder="1" applyAlignment="1">
      <alignment horizontal="left" vertical="top" wrapText="1"/>
    </xf>
    <xf numFmtId="0" fontId="6" fillId="2" borderId="0" xfId="11" applyFont="1" applyFill="1"/>
    <xf numFmtId="0" fontId="27" fillId="2" borderId="0" xfId="11" applyFont="1" applyFill="1"/>
    <xf numFmtId="0" fontId="17" fillId="2" borderId="0" xfId="11" applyFont="1" applyFill="1"/>
    <xf numFmtId="0" fontId="3" fillId="2" borderId="1" xfId="11" applyFont="1" applyFill="1" applyBorder="1" applyAlignment="1">
      <alignment horizontal="left" vertical="top" wrapText="1"/>
    </xf>
    <xf numFmtId="0" fontId="25" fillId="2" borderId="1" xfId="11" applyFont="1" applyFill="1" applyBorder="1" applyAlignment="1">
      <alignment horizontal="left" vertical="top" wrapText="1"/>
    </xf>
    <xf numFmtId="4" fontId="1" fillId="2" borderId="0" xfId="11" applyNumberFormat="1" applyFill="1"/>
    <xf numFmtId="1" fontId="3" fillId="3" borderId="1" xfId="13" applyNumberFormat="1" applyFont="1" applyFill="1" applyBorder="1" applyAlignment="1">
      <alignment horizontal="left" vertical="center" wrapText="1"/>
    </xf>
    <xf numFmtId="0" fontId="3" fillId="3" borderId="6" xfId="11" quotePrefix="1" applyFont="1" applyFill="1" applyBorder="1" applyAlignment="1">
      <alignment horizontal="left" vertical="center" wrapText="1"/>
    </xf>
    <xf numFmtId="0" fontId="2" fillId="3" borderId="6" xfId="12" applyFont="1" applyFill="1" applyBorder="1" applyAlignment="1">
      <alignment horizontal="center" vertical="center" wrapText="1"/>
    </xf>
    <xf numFmtId="171" fontId="3" fillId="3" borderId="1" xfId="11" applyNumberFormat="1" applyFont="1" applyFill="1" applyBorder="1" applyAlignment="1">
      <alignment horizontal="left" vertical="center" wrapText="1"/>
    </xf>
    <xf numFmtId="171" fontId="1" fillId="2" borderId="0" xfId="11" applyNumberFormat="1" applyFill="1"/>
    <xf numFmtId="0" fontId="1" fillId="0" borderId="0" xfId="11"/>
    <xf numFmtId="0" fontId="29" fillId="24" borderId="12" xfId="11" applyFont="1" applyFill="1" applyBorder="1" applyAlignment="1">
      <alignment vertical="center"/>
    </xf>
    <xf numFmtId="0" fontId="30" fillId="24" borderId="13" xfId="11" applyFont="1" applyFill="1" applyBorder="1" applyAlignment="1">
      <alignment horizontal="center" vertical="center"/>
    </xf>
    <xf numFmtId="0" fontId="29" fillId="0" borderId="14" xfId="11" applyFont="1" applyBorder="1" applyAlignment="1">
      <alignment vertical="center"/>
    </xf>
    <xf numFmtId="171" fontId="29" fillId="0" borderId="15" xfId="11" applyNumberFormat="1" applyFont="1" applyBorder="1" applyAlignment="1">
      <alignment vertical="center"/>
    </xf>
    <xf numFmtId="0" fontId="29" fillId="0" borderId="12" xfId="11" applyFont="1" applyBorder="1" applyAlignment="1">
      <alignment vertical="center"/>
    </xf>
    <xf numFmtId="171" fontId="1" fillId="0" borderId="12" xfId="11" applyNumberFormat="1" applyBorder="1"/>
    <xf numFmtId="171" fontId="31" fillId="0" borderId="12" xfId="11" applyNumberFormat="1" applyFont="1" applyBorder="1" applyAlignment="1">
      <alignment vertical="center"/>
    </xf>
    <xf numFmtId="3" fontId="1" fillId="0" borderId="12" xfId="11" applyNumberFormat="1" applyBorder="1"/>
    <xf numFmtId="9" fontId="3" fillId="3" borderId="1" xfId="13" applyNumberFormat="1" applyFont="1" applyFill="1" applyBorder="1" applyAlignment="1">
      <alignment horizontal="left" vertical="center" wrapText="1"/>
    </xf>
    <xf numFmtId="172" fontId="3" fillId="3" borderId="1" xfId="11" applyNumberFormat="1" applyFont="1" applyFill="1" applyBorder="1" applyAlignment="1">
      <alignment horizontal="left" vertical="center" wrapText="1"/>
    </xf>
    <xf numFmtId="9" fontId="3" fillId="3" borderId="1" xfId="11" applyNumberFormat="1" applyFont="1" applyFill="1" applyBorder="1" applyAlignment="1">
      <alignment horizontal="left" vertical="center" wrapText="1"/>
    </xf>
    <xf numFmtId="15" fontId="3" fillId="3" borderId="1" xfId="11" applyNumberFormat="1" applyFont="1" applyFill="1" applyBorder="1" applyAlignment="1">
      <alignment horizontal="left" vertical="center" wrapText="1"/>
    </xf>
    <xf numFmtId="9" fontId="3" fillId="3" borderId="1" xfId="14" applyFont="1" applyFill="1" applyBorder="1" applyAlignment="1">
      <alignment horizontal="left" vertical="center" wrapText="1"/>
    </xf>
    <xf numFmtId="165" fontId="3" fillId="3" borderId="1" xfId="13" applyFont="1" applyFill="1" applyBorder="1" applyAlignment="1">
      <alignment horizontal="left" vertical="center" wrapText="1"/>
    </xf>
    <xf numFmtId="3" fontId="2" fillId="3" borderId="1" xfId="11" applyNumberFormat="1" applyFont="1" applyFill="1" applyBorder="1" applyAlignment="1">
      <alignment horizontal="center" vertical="center"/>
    </xf>
    <xf numFmtId="3" fontId="3" fillId="3" borderId="1" xfId="11" applyNumberFormat="1" applyFont="1" applyFill="1" applyBorder="1" applyAlignment="1">
      <alignment horizontal="center" vertical="center" wrapText="1"/>
    </xf>
    <xf numFmtId="0" fontId="2" fillId="3" borderId="1" xfId="11" applyFont="1" applyFill="1" applyBorder="1" applyAlignment="1">
      <alignment horizontal="center" vertical="center" wrapText="1"/>
    </xf>
    <xf numFmtId="2" fontId="3" fillId="3" borderId="1" xfId="11" applyNumberFormat="1" applyFont="1" applyFill="1" applyBorder="1" applyAlignment="1">
      <alignment horizontal="left" vertical="center" wrapText="1"/>
    </xf>
    <xf numFmtId="0" fontId="1" fillId="4" borderId="2" xfId="11" applyFill="1" applyBorder="1" applyAlignment="1">
      <alignment horizontal="left" vertical="center" wrapText="1"/>
    </xf>
    <xf numFmtId="0" fontId="6" fillId="2" borderId="2" xfId="11" applyFont="1" applyFill="1" applyBorder="1" applyAlignment="1">
      <alignment horizontal="left" vertical="center" wrapText="1"/>
    </xf>
    <xf numFmtId="0" fontId="9" fillId="4" borderId="2" xfId="2" applyFill="1" applyBorder="1" applyAlignment="1">
      <alignment horizontal="left" vertical="center" wrapText="1"/>
    </xf>
    <xf numFmtId="0" fontId="1" fillId="0" borderId="0" xfId="11" applyAlignment="1">
      <alignment vertical="center"/>
    </xf>
    <xf numFmtId="0" fontId="9" fillId="0" borderId="2" xfId="2" applyBorder="1" applyAlignment="1">
      <alignment horizontal="left" vertical="center" wrapText="1"/>
    </xf>
    <xf numFmtId="0" fontId="3" fillId="0" borderId="1" xfId="11" applyFont="1" applyBorder="1" applyAlignment="1">
      <alignment horizontal="left" vertical="center" wrapText="1"/>
    </xf>
    <xf numFmtId="0" fontId="9" fillId="4" borderId="1" xfId="2" applyFill="1" applyBorder="1" applyAlignment="1">
      <alignment vertical="center" wrapText="1"/>
    </xf>
    <xf numFmtId="49" fontId="3" fillId="3" borderId="1" xfId="11" applyNumberFormat="1" applyFont="1" applyFill="1" applyBorder="1" applyAlignment="1">
      <alignment horizontal="left" vertical="center" wrapText="1"/>
    </xf>
    <xf numFmtId="173" fontId="3" fillId="3" borderId="1" xfId="11" applyNumberFormat="1" applyFont="1" applyFill="1" applyBorder="1" applyAlignment="1">
      <alignment horizontal="left" vertical="center" wrapText="1"/>
    </xf>
    <xf numFmtId="0" fontId="1" fillId="2" borderId="1" xfId="15" applyFill="1" applyBorder="1" applyAlignment="1">
      <alignment horizontal="left" vertical="center" wrapText="1"/>
    </xf>
    <xf numFmtId="0" fontId="3" fillId="3" borderId="1" xfId="11" quotePrefix="1" applyFont="1" applyFill="1" applyBorder="1" applyAlignment="1">
      <alignment horizontal="left" vertical="center" wrapText="1"/>
    </xf>
    <xf numFmtId="0" fontId="1" fillId="2" borderId="0" xfId="15" applyFill="1"/>
    <xf numFmtId="0" fontId="2" fillId="2" borderId="1" xfId="15" applyFont="1" applyFill="1" applyBorder="1"/>
    <xf numFmtId="14" fontId="2" fillId="2" borderId="0" xfId="2" applyNumberFormat="1" applyFont="1" applyFill="1"/>
    <xf numFmtId="0" fontId="1" fillId="2" borderId="0" xfId="15" applyFill="1" applyAlignment="1">
      <alignment horizontal="right"/>
    </xf>
    <xf numFmtId="14" fontId="1" fillId="2" borderId="0" xfId="15" applyNumberFormat="1" applyFill="1" applyAlignment="1">
      <alignment horizontal="right"/>
    </xf>
    <xf numFmtId="0" fontId="3" fillId="3" borderId="1" xfId="2" applyFont="1" applyFill="1" applyBorder="1" applyAlignment="1">
      <alignment horizontal="center" vertical="center"/>
    </xf>
    <xf numFmtId="0" fontId="4" fillId="2" borderId="0" xfId="15" applyFont="1" applyFill="1" applyAlignment="1">
      <alignment horizontal="right"/>
    </xf>
    <xf numFmtId="0" fontId="4" fillId="0" borderId="0" xfId="15" applyFont="1" applyAlignment="1">
      <alignment horizontal="center" vertical="center"/>
    </xf>
    <xf numFmtId="0" fontId="2" fillId="2" borderId="0" xfId="15" applyFont="1" applyFill="1"/>
    <xf numFmtId="0" fontId="21" fillId="0" borderId="1" xfId="16" applyFill="1" applyBorder="1"/>
    <xf numFmtId="0" fontId="21" fillId="0" borderId="0" xfId="16" applyFill="1" applyBorder="1"/>
    <xf numFmtId="0" fontId="9" fillId="3" borderId="1" xfId="2" applyFill="1" applyBorder="1"/>
    <xf numFmtId="0" fontId="1" fillId="0" borderId="0" xfId="15" applyAlignment="1">
      <alignment vertical="center" wrapText="1"/>
    </xf>
    <xf numFmtId="0" fontId="2" fillId="3" borderId="2" xfId="15" applyFont="1" applyFill="1" applyBorder="1" applyAlignment="1">
      <alignment horizontal="center" vertical="center"/>
    </xf>
    <xf numFmtId="0" fontId="1" fillId="0" borderId="8" xfId="15" applyBorder="1" applyAlignment="1">
      <alignment vertical="center" wrapText="1"/>
    </xf>
    <xf numFmtId="0" fontId="1" fillId="2" borderId="1" xfId="15" applyFill="1" applyBorder="1" applyAlignment="1">
      <alignment vertical="center"/>
    </xf>
    <xf numFmtId="0" fontId="1" fillId="3" borderId="1" xfId="15" applyFill="1" applyBorder="1"/>
    <xf numFmtId="0" fontId="2" fillId="3" borderId="9" xfId="15" applyFont="1" applyFill="1" applyBorder="1" applyAlignment="1">
      <alignment horizontal="center" vertical="center" wrapText="1"/>
    </xf>
    <xf numFmtId="0" fontId="14" fillId="2" borderId="0" xfId="15" applyFont="1" applyFill="1" applyAlignment="1">
      <alignment horizontal="left" vertical="center" wrapText="1"/>
    </xf>
    <xf numFmtId="12" fontId="3" fillId="2" borderId="1" xfId="2" applyNumberFormat="1" applyFont="1" applyFill="1" applyBorder="1" applyAlignment="1">
      <alignment horizontal="left" vertical="top" wrapText="1"/>
    </xf>
    <xf numFmtId="0" fontId="3" fillId="2" borderId="1" xfId="2" applyFont="1" applyFill="1" applyBorder="1" applyAlignment="1">
      <alignment horizontal="left" vertical="top" wrapText="1"/>
    </xf>
    <xf numFmtId="0" fontId="3" fillId="2" borderId="1" xfId="15" applyFont="1" applyFill="1" applyBorder="1" applyAlignment="1">
      <alignment horizontal="center" vertical="center" wrapText="1"/>
    </xf>
    <xf numFmtId="0" fontId="6" fillId="2" borderId="1" xfId="15" applyFont="1" applyFill="1" applyBorder="1"/>
    <xf numFmtId="0" fontId="3" fillId="3" borderId="1" xfId="15" applyFont="1" applyFill="1" applyBorder="1" applyAlignment="1">
      <alignment horizontal="left" vertical="center" wrapText="1"/>
    </xf>
    <xf numFmtId="4" fontId="3" fillId="3" borderId="1" xfId="15" applyNumberFormat="1" applyFont="1" applyFill="1" applyBorder="1" applyAlignment="1">
      <alignment horizontal="left" vertical="center" wrapText="1"/>
    </xf>
    <xf numFmtId="4" fontId="3" fillId="3" borderId="1" xfId="2" applyNumberFormat="1" applyFont="1" applyFill="1" applyBorder="1" applyAlignment="1">
      <alignment horizontal="left" vertical="center" wrapText="1"/>
    </xf>
    <xf numFmtId="0" fontId="3" fillId="21" borderId="1" xfId="15" applyFont="1" applyFill="1" applyBorder="1" applyAlignment="1">
      <alignment horizontal="center" vertical="center" wrapText="1"/>
    </xf>
    <xf numFmtId="1" fontId="3" fillId="3" borderId="1" xfId="17" applyNumberFormat="1" applyFont="1" applyFill="1" applyBorder="1" applyAlignment="1">
      <alignment horizontal="left" vertical="center" wrapText="1"/>
    </xf>
    <xf numFmtId="166" fontId="3" fillId="3" borderId="1" xfId="17" applyNumberFormat="1" applyFont="1" applyFill="1" applyBorder="1" applyAlignment="1">
      <alignment horizontal="left" vertical="center" wrapText="1"/>
    </xf>
    <xf numFmtId="2" fontId="3" fillId="3" borderId="1" xfId="17" applyNumberFormat="1" applyFont="1" applyFill="1" applyBorder="1" applyAlignment="1">
      <alignment horizontal="left" vertical="center" wrapText="1"/>
    </xf>
    <xf numFmtId="10" fontId="3" fillId="3" borderId="1" xfId="17" applyNumberFormat="1" applyFont="1" applyFill="1" applyBorder="1" applyAlignment="1">
      <alignment horizontal="left" vertical="center" wrapText="1"/>
    </xf>
    <xf numFmtId="10" fontId="3" fillId="3" borderId="1" xfId="2" applyNumberFormat="1" applyFont="1" applyFill="1" applyBorder="1" applyAlignment="1">
      <alignment horizontal="left" vertical="center" wrapText="1"/>
    </xf>
    <xf numFmtId="14" fontId="3" fillId="3" borderId="1" xfId="2" applyNumberFormat="1" applyFont="1" applyFill="1" applyBorder="1" applyAlignment="1">
      <alignment horizontal="left" vertical="center" wrapText="1"/>
    </xf>
    <xf numFmtId="14" fontId="3" fillId="3" borderId="1" xfId="15" applyNumberFormat="1" applyFont="1" applyFill="1" applyBorder="1" applyAlignment="1">
      <alignment horizontal="left" vertical="center" wrapText="1"/>
    </xf>
    <xf numFmtId="14" fontId="3" fillId="3" borderId="6" xfId="2" quotePrefix="1" applyNumberFormat="1" applyFont="1" applyFill="1" applyBorder="1" applyAlignment="1">
      <alignment horizontal="left" vertical="center" wrapText="1"/>
    </xf>
    <xf numFmtId="14" fontId="3" fillId="3" borderId="6" xfId="15" applyNumberFormat="1" applyFont="1" applyFill="1" applyBorder="1" applyAlignment="1">
      <alignment horizontal="left" vertical="center" wrapText="1"/>
    </xf>
    <xf numFmtId="0" fontId="3" fillId="3" borderId="6" xfId="2" quotePrefix="1" applyFont="1" applyFill="1" applyBorder="1" applyAlignment="1">
      <alignment horizontal="left" vertical="center" wrapText="1"/>
    </xf>
    <xf numFmtId="14" fontId="3" fillId="3" borderId="6" xfId="15" quotePrefix="1" applyNumberFormat="1" applyFont="1" applyFill="1" applyBorder="1" applyAlignment="1">
      <alignment horizontal="left" vertical="center" wrapText="1"/>
    </xf>
    <xf numFmtId="0" fontId="3" fillId="3" borderId="6" xfId="2" applyFont="1" applyFill="1" applyBorder="1" applyAlignment="1">
      <alignment horizontal="left" vertical="center" wrapText="1"/>
    </xf>
    <xf numFmtId="0" fontId="3" fillId="3" borderId="6" xfId="15" applyFont="1" applyFill="1" applyBorder="1" applyAlignment="1">
      <alignment horizontal="left" vertical="center" wrapText="1"/>
    </xf>
    <xf numFmtId="0" fontId="1" fillId="2" borderId="0" xfId="15" applyFill="1" applyAlignment="1">
      <alignment vertical="center"/>
    </xf>
    <xf numFmtId="0" fontId="2" fillId="2" borderId="0" xfId="2" applyFont="1" applyFill="1" applyAlignment="1">
      <alignment horizontal="center" vertical="center"/>
    </xf>
    <xf numFmtId="0" fontId="1" fillId="4" borderId="2" xfId="15" applyFill="1" applyBorder="1" applyAlignment="1">
      <alignment vertical="center" wrapText="1"/>
    </xf>
    <xf numFmtId="0" fontId="3" fillId="3" borderId="4" xfId="2" applyFont="1" applyFill="1" applyBorder="1" applyAlignment="1">
      <alignment horizontal="left" vertical="center" wrapText="1"/>
    </xf>
    <xf numFmtId="0" fontId="22" fillId="25" borderId="1" xfId="2" applyFont="1" applyFill="1" applyBorder="1" applyAlignment="1">
      <alignment horizontal="left" vertical="center" wrapText="1"/>
    </xf>
    <xf numFmtId="0" fontId="1" fillId="4" borderId="2" xfId="15" applyFill="1" applyBorder="1" applyAlignment="1">
      <alignment horizontal="right" vertical="center" wrapText="1"/>
    </xf>
    <xf numFmtId="0" fontId="6" fillId="2" borderId="2" xfId="15" applyFont="1" applyFill="1" applyBorder="1" applyAlignment="1">
      <alignment vertical="center" wrapText="1"/>
    </xf>
    <xf numFmtId="0" fontId="3" fillId="2" borderId="1" xfId="2" applyFont="1" applyFill="1" applyBorder="1" applyAlignment="1">
      <alignment horizontal="left" vertical="center" wrapText="1"/>
    </xf>
    <xf numFmtId="0" fontId="22" fillId="26" borderId="1" xfId="2" applyFont="1" applyFill="1" applyBorder="1" applyAlignment="1">
      <alignment vertical="center" wrapText="1"/>
    </xf>
    <xf numFmtId="0" fontId="3" fillId="2" borderId="1" xfId="15" applyFont="1" applyFill="1" applyBorder="1" applyAlignment="1">
      <alignment horizontal="left" vertical="center" wrapText="1"/>
    </xf>
    <xf numFmtId="0" fontId="1" fillId="2" borderId="2" xfId="15" applyFill="1" applyBorder="1" applyAlignment="1">
      <alignment vertical="center" wrapText="1"/>
    </xf>
    <xf numFmtId="0" fontId="24" fillId="22" borderId="2" xfId="15" applyFont="1" applyFill="1" applyBorder="1" applyAlignment="1">
      <alignment vertical="center" wrapText="1"/>
    </xf>
    <xf numFmtId="0" fontId="24" fillId="0" borderId="0" xfId="15" applyFont="1" applyAlignment="1">
      <alignment vertical="center" wrapText="1"/>
    </xf>
    <xf numFmtId="0" fontId="32" fillId="0" borderId="0" xfId="2" applyFont="1" applyAlignment="1">
      <alignment vertical="center"/>
    </xf>
    <xf numFmtId="0" fontId="32" fillId="0" borderId="0" xfId="2" applyFont="1" applyAlignment="1">
      <alignment horizontal="left" vertical="center" indent="1"/>
    </xf>
    <xf numFmtId="0" fontId="2" fillId="0" borderId="16" xfId="2" applyFont="1" applyBorder="1"/>
    <xf numFmtId="0" fontId="2" fillId="0" borderId="0" xfId="2" applyFont="1" applyAlignment="1">
      <alignment vertical="center"/>
    </xf>
    <xf numFmtId="0" fontId="2" fillId="27" borderId="0" xfId="2" applyFont="1" applyFill="1" applyAlignment="1">
      <alignment vertical="center"/>
    </xf>
    <xf numFmtId="0" fontId="6" fillId="0" borderId="0" xfId="2" applyFont="1"/>
    <xf numFmtId="0" fontId="9" fillId="17" borderId="0" xfId="2" applyFill="1" applyAlignment="1">
      <alignment horizontal="left"/>
    </xf>
    <xf numFmtId="0" fontId="9" fillId="17" borderId="0" xfId="2" applyFill="1"/>
    <xf numFmtId="0" fontId="22" fillId="3" borderId="1" xfId="2" applyFont="1" applyFill="1" applyBorder="1" applyAlignment="1">
      <alignment vertical="center" wrapText="1"/>
    </xf>
    <xf numFmtId="14" fontId="2" fillId="0" borderId="8" xfId="0" applyNumberFormat="1" applyFont="1" applyBorder="1"/>
    <xf numFmtId="0" fontId="2" fillId="2" borderId="1" xfId="0" applyFont="1" applyFill="1" applyBorder="1" applyAlignment="1">
      <alignment horizontal="center" vertical="center"/>
    </xf>
    <xf numFmtId="0" fontId="3" fillId="0" borderId="0" xfId="0" applyFont="1" applyAlignment="1">
      <alignment horizontal="center" vertical="center"/>
    </xf>
    <xf numFmtId="0" fontId="2" fillId="0" borderId="6" xfId="0" applyFont="1" applyBorder="1" applyAlignment="1">
      <alignment vertical="center"/>
    </xf>
    <xf numFmtId="0" fontId="2" fillId="3" borderId="17" xfId="0" applyFont="1" applyFill="1" applyBorder="1" applyAlignment="1">
      <alignment horizontal="center" vertical="center" wrapText="1"/>
    </xf>
    <xf numFmtId="12" fontId="3" fillId="2" borderId="16" xfId="0" applyNumberFormat="1" applyFont="1" applyFill="1" applyBorder="1" applyAlignment="1">
      <alignment horizontal="left" vertical="top" wrapText="1"/>
    </xf>
    <xf numFmtId="0" fontId="3" fillId="2" borderId="16" xfId="0" applyFont="1" applyFill="1" applyBorder="1" applyAlignment="1">
      <alignment horizontal="left" vertical="top" wrapText="1"/>
    </xf>
    <xf numFmtId="0" fontId="3" fillId="2" borderId="16" xfId="0" applyFont="1" applyFill="1" applyBorder="1" applyAlignment="1">
      <alignment horizontal="left" vertical="top"/>
    </xf>
    <xf numFmtId="3" fontId="8" fillId="10" borderId="1" xfId="3" applyNumberFormat="1" applyFont="1" applyFill="1" applyBorder="1" applyAlignment="1">
      <alignment horizontal="left" vertical="center" wrapText="1"/>
    </xf>
    <xf numFmtId="3" fontId="3" fillId="11" borderId="1" xfId="3" applyNumberFormat="1" applyFont="1" applyFill="1" applyBorder="1" applyAlignment="1">
      <alignment horizontal="left" vertical="center" wrapText="1"/>
    </xf>
    <xf numFmtId="165" fontId="3" fillId="3" borderId="1" xfId="8" applyFont="1" applyFill="1" applyBorder="1" applyAlignment="1">
      <alignment horizontal="left" vertical="center" wrapText="1"/>
    </xf>
    <xf numFmtId="0" fontId="8" fillId="10" borderId="1" xfId="2" applyFont="1" applyFill="1" applyBorder="1" applyAlignment="1">
      <alignment horizontal="left" vertical="center" wrapText="1"/>
    </xf>
    <xf numFmtId="4" fontId="3" fillId="11" borderId="1" xfId="2" applyNumberFormat="1" applyFont="1" applyFill="1" applyBorder="1" applyAlignment="1">
      <alignment horizontal="left" vertical="center" wrapText="1"/>
    </xf>
    <xf numFmtId="0" fontId="3" fillId="3"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0" fillId="4" borderId="5" xfId="0" applyFill="1" applyBorder="1" applyAlignment="1">
      <alignment vertical="center" wrapText="1"/>
    </xf>
    <xf numFmtId="0" fontId="0" fillId="4" borderId="1" xfId="0" applyFill="1" applyBorder="1" applyAlignment="1">
      <alignment vertical="center" wrapText="1"/>
    </xf>
    <xf numFmtId="4" fontId="3" fillId="3" borderId="1" xfId="0" applyNumberFormat="1" applyFont="1" applyFill="1" applyBorder="1" applyAlignment="1">
      <alignment horizontal="right" vertical="center" wrapText="1"/>
    </xf>
    <xf numFmtId="1" fontId="3" fillId="3" borderId="1" xfId="8" applyNumberFormat="1" applyFont="1" applyFill="1" applyBorder="1" applyAlignment="1">
      <alignment horizontal="center" vertical="center" wrapText="1"/>
    </xf>
    <xf numFmtId="166" fontId="3" fillId="3" borderId="1" xfId="8" applyNumberFormat="1" applyFont="1" applyFill="1" applyBorder="1" applyAlignment="1">
      <alignment horizontal="center" vertical="center" wrapText="1"/>
    </xf>
    <xf numFmtId="166" fontId="3" fillId="3" borderId="1" xfId="8" applyNumberFormat="1" applyFont="1" applyFill="1" applyBorder="1" applyAlignment="1">
      <alignment horizontal="right" vertical="center" wrapText="1"/>
    </xf>
    <xf numFmtId="166" fontId="3" fillId="3" borderId="1" xfId="8" applyNumberFormat="1" applyFont="1" applyFill="1" applyBorder="1" applyAlignment="1">
      <alignment vertical="center" wrapText="1"/>
    </xf>
    <xf numFmtId="0" fontId="3" fillId="3" borderId="1" xfId="0" applyFont="1" applyFill="1" applyBorder="1" applyAlignment="1">
      <alignment horizontal="right" vertical="center" wrapText="1"/>
    </xf>
    <xf numFmtId="0" fontId="6" fillId="2" borderId="0" xfId="0" applyFont="1" applyFill="1" applyAlignment="1">
      <alignment vertical="center"/>
    </xf>
    <xf numFmtId="0" fontId="33" fillId="3"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3" fillId="3" borderId="6" xfId="0" applyFont="1" applyFill="1" applyBorder="1" applyAlignment="1">
      <alignment horizontal="center" vertical="center" wrapText="1"/>
    </xf>
    <xf numFmtId="0" fontId="34" fillId="3" borderId="1" xfId="0" applyFont="1" applyFill="1" applyBorder="1" applyAlignment="1">
      <alignment horizontal="center" vertical="center"/>
    </xf>
    <xf numFmtId="0" fontId="2" fillId="0" borderId="5" xfId="0" applyFont="1" applyBorder="1" applyAlignment="1">
      <alignment vertical="center"/>
    </xf>
    <xf numFmtId="0" fontId="23" fillId="2" borderId="6" xfId="0" applyFont="1" applyFill="1" applyBorder="1" applyAlignment="1">
      <alignment horizontal="left" vertical="center" wrapText="1"/>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4" fontId="3" fillId="3" borderId="1" xfId="8" applyNumberFormat="1" applyFont="1" applyFill="1" applyBorder="1" applyAlignment="1">
      <alignment horizontal="left" vertical="center" wrapText="1"/>
    </xf>
    <xf numFmtId="0" fontId="0" fillId="28" borderId="0" xfId="0" applyFill="1" applyAlignment="1">
      <alignment horizontal="left" indent="3"/>
    </xf>
    <xf numFmtId="0" fontId="3" fillId="3" borderId="17"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22" fillId="3" borderId="9" xfId="0" applyFont="1" applyFill="1" applyBorder="1" applyAlignment="1">
      <alignment horizontal="left" vertical="center" wrapText="1"/>
    </xf>
    <xf numFmtId="0" fontId="22" fillId="3" borderId="1" xfId="0" applyFont="1" applyFill="1" applyBorder="1" applyAlignment="1">
      <alignment horizontal="left" vertical="center" wrapText="1"/>
    </xf>
    <xf numFmtId="174" fontId="3" fillId="3" borderId="1" xfId="8" applyNumberFormat="1" applyFont="1" applyFill="1" applyBorder="1" applyAlignment="1">
      <alignment horizontal="left" vertical="center" wrapText="1"/>
    </xf>
    <xf numFmtId="174" fontId="3" fillId="3" borderId="1" xfId="0" applyNumberFormat="1" applyFont="1" applyFill="1" applyBorder="1" applyAlignment="1">
      <alignment horizontal="left" vertical="center" wrapText="1"/>
    </xf>
    <xf numFmtId="174" fontId="22" fillId="3" borderId="1" xfId="8" applyNumberFormat="1" applyFont="1" applyFill="1" applyBorder="1" applyAlignment="1">
      <alignment horizontal="left" vertical="center" wrapText="1"/>
    </xf>
    <xf numFmtId="174" fontId="35" fillId="3" borderId="1" xfId="8" applyNumberFormat="1" applyFont="1" applyFill="1" applyBorder="1" applyAlignment="1">
      <alignment horizontal="left" vertical="center" wrapText="1"/>
    </xf>
    <xf numFmtId="9" fontId="22" fillId="3" borderId="1" xfId="0" applyNumberFormat="1" applyFont="1" applyFill="1" applyBorder="1" applyAlignment="1">
      <alignment horizontal="left" vertical="center" wrapText="1"/>
    </xf>
    <xf numFmtId="14" fontId="3" fillId="3" borderId="1" xfId="8" applyNumberFormat="1" applyFont="1" applyFill="1" applyBorder="1" applyAlignment="1">
      <alignment horizontal="left" vertical="center" wrapText="1"/>
    </xf>
    <xf numFmtId="14" fontId="22" fillId="3" borderId="1" xfId="0" applyNumberFormat="1" applyFont="1" applyFill="1" applyBorder="1" applyAlignment="1">
      <alignment horizontal="left" vertical="center"/>
    </xf>
    <xf numFmtId="14" fontId="22" fillId="3" borderId="6" xfId="0" quotePrefix="1" applyNumberFormat="1" applyFont="1" applyFill="1" applyBorder="1" applyAlignment="1">
      <alignment horizontal="left" vertical="center" wrapText="1"/>
    </xf>
    <xf numFmtId="16" fontId="2" fillId="3" borderId="1" xfId="0" applyNumberFormat="1" applyFont="1" applyFill="1" applyBorder="1" applyAlignment="1">
      <alignment vertical="center"/>
    </xf>
    <xf numFmtId="0" fontId="3" fillId="3" borderId="1" xfId="0" applyFont="1" applyFill="1" applyBorder="1"/>
    <xf numFmtId="0" fontId="35" fillId="2" borderId="16" xfId="0" applyFont="1" applyFill="1" applyBorder="1" applyAlignment="1">
      <alignment horizontal="left" vertical="top"/>
    </xf>
    <xf numFmtId="0" fontId="3" fillId="3" borderId="9" xfId="0" applyFont="1" applyFill="1" applyBorder="1" applyAlignment="1">
      <alignment horizontal="center" vertical="center" wrapText="1"/>
    </xf>
    <xf numFmtId="0" fontId="3" fillId="3" borderId="2" xfId="0" applyFont="1" applyFill="1" applyBorder="1" applyAlignment="1">
      <alignment horizontal="left" vertical="center" wrapText="1"/>
    </xf>
    <xf numFmtId="4" fontId="3" fillId="29" borderId="1" xfId="0" applyNumberFormat="1" applyFont="1" applyFill="1" applyBorder="1" applyAlignment="1">
      <alignment horizontal="left" vertical="center" wrapText="1"/>
    </xf>
    <xf numFmtId="14" fontId="3" fillId="29" borderId="1" xfId="0" applyNumberFormat="1" applyFont="1" applyFill="1" applyBorder="1" applyAlignment="1">
      <alignment horizontal="left" vertical="center" wrapText="1"/>
    </xf>
    <xf numFmtId="0" fontId="6" fillId="29" borderId="1" xfId="0" applyFont="1" applyFill="1" applyBorder="1" applyAlignment="1">
      <alignment horizontal="left" vertical="center" wrapText="1"/>
    </xf>
    <xf numFmtId="0" fontId="3" fillId="29" borderId="1" xfId="0" applyFont="1" applyFill="1" applyBorder="1" applyAlignment="1">
      <alignment horizontal="left" vertical="center" wrapText="1"/>
    </xf>
    <xf numFmtId="0" fontId="36" fillId="3" borderId="1" xfId="0" applyFont="1" applyFill="1" applyBorder="1" applyAlignment="1">
      <alignment horizontal="center" vertical="center"/>
    </xf>
    <xf numFmtId="12" fontId="3" fillId="3" borderId="1" xfId="0" applyNumberFormat="1" applyFont="1" applyFill="1" applyBorder="1" applyAlignment="1">
      <alignment horizontal="center" vertical="center" wrapText="1"/>
    </xf>
    <xf numFmtId="0" fontId="3" fillId="3" borderId="1" xfId="0" applyFont="1" applyFill="1" applyBorder="1" applyAlignment="1">
      <alignment horizontal="left" vertical="top"/>
    </xf>
    <xf numFmtId="44" fontId="3" fillId="3" borderId="1" xfId="18" applyFont="1" applyFill="1" applyBorder="1" applyAlignment="1">
      <alignment horizontal="left" vertical="center" wrapText="1"/>
    </xf>
    <xf numFmtId="10" fontId="3" fillId="3" borderId="1" xfId="0" applyNumberFormat="1" applyFont="1" applyFill="1" applyBorder="1" applyAlignment="1">
      <alignment horizontal="left" vertical="center" wrapText="1"/>
    </xf>
    <xf numFmtId="0" fontId="24" fillId="3" borderId="1" xfId="0" applyFont="1" applyFill="1" applyBorder="1" applyAlignment="1">
      <alignment horizontal="center" vertical="center" wrapText="1"/>
    </xf>
    <xf numFmtId="0" fontId="24" fillId="3" borderId="1" xfId="0" applyFont="1" applyFill="1" applyBorder="1" applyAlignment="1">
      <alignment horizontal="center" vertical="center"/>
    </xf>
    <xf numFmtId="0" fontId="24" fillId="0" borderId="1" xfId="0" applyFont="1" applyBorder="1" applyAlignment="1">
      <alignment horizontal="center" vertical="center"/>
    </xf>
    <xf numFmtId="0" fontId="22"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9" fontId="3" fillId="3" borderId="1" xfId="0" applyNumberFormat="1" applyFont="1" applyFill="1" applyBorder="1" applyAlignment="1">
      <alignment horizontal="center" vertical="center" wrapText="1"/>
    </xf>
    <xf numFmtId="0" fontId="37" fillId="3" borderId="1" xfId="0" applyFont="1" applyFill="1" applyBorder="1" applyAlignment="1">
      <alignment horizontal="center" vertical="center"/>
    </xf>
    <xf numFmtId="0" fontId="3" fillId="0" borderId="0" xfId="0" applyFont="1" applyAlignment="1">
      <alignment horizontal="left" vertical="top"/>
    </xf>
    <xf numFmtId="0" fontId="2" fillId="2" borderId="0" xfId="0" applyFont="1" applyFill="1" applyAlignment="1">
      <alignment horizontal="left" vertical="center" wrapText="1"/>
    </xf>
    <xf numFmtId="12" fontId="3" fillId="2" borderId="0" xfId="0" applyNumberFormat="1" applyFont="1" applyFill="1" applyAlignment="1">
      <alignment horizontal="center" vertical="center" wrapText="1"/>
    </xf>
    <xf numFmtId="0" fontId="3" fillId="0" borderId="0" xfId="0" applyFont="1" applyAlignment="1">
      <alignment horizontal="left" vertical="center" wrapText="1"/>
    </xf>
    <xf numFmtId="4" fontId="3" fillId="0" borderId="0" xfId="0" applyNumberFormat="1" applyFont="1" applyAlignment="1">
      <alignment horizontal="left" vertical="center" wrapText="1"/>
    </xf>
    <xf numFmtId="14" fontId="3" fillId="0" borderId="0" xfId="0" quotePrefix="1" applyNumberFormat="1" applyFont="1" applyAlignment="1">
      <alignment horizontal="left" vertical="center" wrapText="1"/>
    </xf>
    <xf numFmtId="0" fontId="0" fillId="0" borderId="0" xfId="0" applyAlignment="1">
      <alignment vertical="center"/>
    </xf>
    <xf numFmtId="0" fontId="3" fillId="0" borderId="1" xfId="0" applyFont="1" applyBorder="1" applyAlignment="1">
      <alignment horizontal="left" vertical="center" wrapText="1"/>
    </xf>
    <xf numFmtId="0" fontId="2" fillId="3" borderId="1" xfId="0" applyFont="1" applyFill="1" applyBorder="1"/>
    <xf numFmtId="0" fontId="23" fillId="0" borderId="1" xfId="0" applyFont="1" applyBorder="1" applyAlignment="1">
      <alignment horizontal="left" vertical="center" wrapText="1"/>
    </xf>
    <xf numFmtId="0" fontId="0" fillId="3" borderId="1" xfId="0" applyFill="1" applyBorder="1" applyAlignment="1">
      <alignment horizontal="center" vertical="center" wrapText="1"/>
    </xf>
    <xf numFmtId="0" fontId="0" fillId="3" borderId="1" xfId="0" applyFill="1" applyBorder="1" applyAlignment="1">
      <alignment vertical="center" wrapText="1"/>
    </xf>
    <xf numFmtId="3" fontId="3" fillId="3" borderId="1" xfId="0" applyNumberFormat="1" applyFont="1" applyFill="1" applyBorder="1" applyAlignment="1">
      <alignment horizontal="center" vertical="center" wrapText="1"/>
    </xf>
    <xf numFmtId="175" fontId="3" fillId="3" borderId="1" xfId="0" applyNumberFormat="1" applyFont="1" applyFill="1" applyBorder="1" applyAlignment="1">
      <alignment horizontal="left" vertical="center" wrapText="1"/>
    </xf>
    <xf numFmtId="176" fontId="3" fillId="3" borderId="1" xfId="8" applyNumberFormat="1" applyFont="1" applyFill="1" applyBorder="1" applyAlignment="1">
      <alignment horizontal="left" vertical="center" wrapText="1"/>
    </xf>
    <xf numFmtId="14" fontId="2" fillId="3" borderId="1" xfId="0" applyNumberFormat="1" applyFont="1" applyFill="1" applyBorder="1" applyAlignment="1">
      <alignment horizontal="right"/>
    </xf>
    <xf numFmtId="0" fontId="3" fillId="5" borderId="2" xfId="1" applyFont="1" applyFill="1" applyBorder="1" applyAlignment="1">
      <alignment vertical="center" wrapText="1"/>
    </xf>
    <xf numFmtId="4" fontId="3" fillId="7" borderId="2" xfId="2" applyNumberFormat="1" applyFont="1" applyFill="1" applyBorder="1" applyAlignment="1">
      <alignment vertical="center" wrapText="1"/>
    </xf>
    <xf numFmtId="0" fontId="3" fillId="9" borderId="2" xfId="2" applyFont="1" applyFill="1" applyBorder="1" applyAlignment="1">
      <alignment vertical="center" wrapText="1"/>
    </xf>
    <xf numFmtId="0" fontId="3" fillId="11" borderId="2" xfId="2" applyFont="1" applyFill="1" applyBorder="1" applyAlignment="1">
      <alignment vertical="center" wrapText="1"/>
    </xf>
    <xf numFmtId="3" fontId="3" fillId="11" borderId="2" xfId="3" applyNumberFormat="1" applyFont="1" applyFill="1" applyBorder="1" applyAlignment="1">
      <alignment vertical="center" wrapText="1"/>
    </xf>
    <xf numFmtId="3" fontId="3" fillId="11" borderId="2" xfId="3" applyNumberFormat="1" applyFont="1" applyFill="1" applyBorder="1" applyAlignment="1">
      <alignment horizontal="center" vertical="center" wrapText="1"/>
    </xf>
    <xf numFmtId="4" fontId="3" fillId="11" borderId="2" xfId="2" applyNumberFormat="1" applyFont="1" applyFill="1" applyBorder="1" applyAlignment="1">
      <alignment vertical="center" wrapText="1"/>
    </xf>
    <xf numFmtId="4" fontId="3" fillId="11" borderId="2" xfId="2" applyNumberFormat="1" applyFont="1" applyFill="1" applyBorder="1" applyAlignment="1">
      <alignment horizontal="center" vertical="center" wrapText="1"/>
    </xf>
    <xf numFmtId="14" fontId="3" fillId="7" borderId="2" xfId="2" applyNumberFormat="1" applyFont="1" applyFill="1" applyBorder="1" applyAlignment="1">
      <alignment vertical="center" wrapText="1"/>
    </xf>
    <xf numFmtId="14" fontId="3" fillId="5" borderId="2" xfId="2" applyNumberFormat="1" applyFont="1" applyFill="1" applyBorder="1" applyAlignment="1">
      <alignment vertical="center" wrapText="1"/>
    </xf>
    <xf numFmtId="0" fontId="2" fillId="30" borderId="1" xfId="0" applyFont="1" applyFill="1" applyBorder="1" applyAlignment="1">
      <alignment horizontal="center" vertical="center" wrapText="1"/>
    </xf>
    <xf numFmtId="0" fontId="3" fillId="30" borderId="1" xfId="0" applyFont="1" applyFill="1" applyBorder="1" applyAlignment="1">
      <alignment horizontal="left" vertical="center" wrapText="1"/>
    </xf>
    <xf numFmtId="4" fontId="3" fillId="30" borderId="1" xfId="0" applyNumberFormat="1" applyFont="1" applyFill="1" applyBorder="1" applyAlignment="1">
      <alignment horizontal="left" vertical="center" wrapText="1"/>
    </xf>
    <xf numFmtId="14" fontId="3" fillId="30" borderId="1" xfId="0" applyNumberFormat="1" applyFont="1" applyFill="1" applyBorder="1" applyAlignment="1">
      <alignment horizontal="left" vertical="center" wrapText="1"/>
    </xf>
    <xf numFmtId="14" fontId="3" fillId="30" borderId="6" xfId="0" applyNumberFormat="1" applyFont="1" applyFill="1" applyBorder="1" applyAlignment="1">
      <alignment horizontal="left" vertical="center" wrapText="1"/>
    </xf>
    <xf numFmtId="14" fontId="3" fillId="30" borderId="6" xfId="0" quotePrefix="1" applyNumberFormat="1" applyFont="1" applyFill="1" applyBorder="1" applyAlignment="1">
      <alignment horizontal="left" vertical="center" wrapText="1"/>
    </xf>
    <xf numFmtId="0" fontId="3" fillId="30" borderId="6" xfId="0" applyFont="1" applyFill="1" applyBorder="1" applyAlignment="1">
      <alignment horizontal="left" vertical="center" wrapText="1"/>
    </xf>
    <xf numFmtId="0" fontId="3" fillId="3" borderId="6" xfId="2" applyFont="1" applyFill="1" applyBorder="1" applyAlignment="1">
      <alignment horizontal="center" vertical="center"/>
    </xf>
    <xf numFmtId="0" fontId="9" fillId="0" borderId="1" xfId="2" applyBorder="1" applyAlignment="1">
      <alignment horizontal="center" vertical="center"/>
    </xf>
    <xf numFmtId="0" fontId="2" fillId="3" borderId="1" xfId="2" applyFont="1" applyFill="1" applyBorder="1" applyAlignment="1">
      <alignment horizontal="center" vertical="center" wrapText="1"/>
    </xf>
    <xf numFmtId="0" fontId="9" fillId="2" borderId="1" xfId="2" applyFill="1" applyBorder="1" applyAlignment="1">
      <alignment horizontal="center"/>
    </xf>
    <xf numFmtId="0" fontId="15" fillId="0" borderId="1" xfId="2" applyFont="1" applyBorder="1" applyAlignment="1">
      <alignment horizontal="center" vertical="center" wrapText="1"/>
    </xf>
    <xf numFmtId="0" fontId="15" fillId="2" borderId="1" xfId="2" applyFont="1" applyFill="1" applyBorder="1" applyAlignment="1">
      <alignment horizontal="center" vertical="center" wrapText="1"/>
    </xf>
    <xf numFmtId="0" fontId="9" fillId="2" borderId="1" xfId="2" applyFill="1" applyBorder="1" applyAlignment="1">
      <alignment horizontal="center" vertical="center"/>
    </xf>
    <xf numFmtId="0" fontId="3" fillId="3" borderId="1" xfId="2" applyFont="1" applyFill="1" applyBorder="1" applyAlignment="1">
      <alignment horizontal="center" vertical="center" wrapText="1"/>
    </xf>
    <xf numFmtId="4" fontId="3" fillId="3" borderId="1" xfId="2" applyNumberFormat="1" applyFont="1" applyFill="1" applyBorder="1" applyAlignment="1">
      <alignment horizontal="center" vertical="center" wrapText="1"/>
    </xf>
    <xf numFmtId="4" fontId="2" fillId="3" borderId="1" xfId="2" applyNumberFormat="1" applyFont="1" applyFill="1" applyBorder="1" applyAlignment="1">
      <alignment horizontal="center" vertical="center" wrapText="1"/>
    </xf>
    <xf numFmtId="2" fontId="2" fillId="3" borderId="1" xfId="4" applyNumberFormat="1" applyFont="1" applyFill="1" applyBorder="1" applyAlignment="1">
      <alignment horizontal="center" vertical="center"/>
    </xf>
    <xf numFmtId="1" fontId="3" fillId="3" borderId="1" xfId="4" applyNumberFormat="1" applyFont="1" applyFill="1" applyBorder="1" applyAlignment="1">
      <alignment horizontal="center" vertical="center" wrapText="1"/>
    </xf>
    <xf numFmtId="0" fontId="38" fillId="3" borderId="1" xfId="2" applyFont="1" applyFill="1" applyBorder="1" applyAlignment="1">
      <alignment horizontal="center" vertical="center" wrapText="1"/>
    </xf>
    <xf numFmtId="166" fontId="3" fillId="3" borderId="1" xfId="4" applyNumberFormat="1" applyFont="1" applyFill="1" applyBorder="1" applyAlignment="1">
      <alignment horizontal="center" vertical="center" wrapText="1"/>
    </xf>
    <xf numFmtId="2" fontId="2" fillId="3" borderId="1" xfId="2" applyNumberFormat="1" applyFont="1" applyFill="1" applyBorder="1" applyAlignment="1">
      <alignment horizontal="center" vertical="center"/>
    </xf>
    <xf numFmtId="2" fontId="2" fillId="3" borderId="0" xfId="2" applyNumberFormat="1" applyFont="1" applyFill="1" applyAlignment="1">
      <alignment horizontal="center" vertical="center"/>
    </xf>
    <xf numFmtId="2" fontId="3" fillId="3" borderId="1" xfId="2" applyNumberFormat="1" applyFont="1" applyFill="1" applyBorder="1" applyAlignment="1">
      <alignment horizontal="center" vertical="center" wrapText="1"/>
    </xf>
    <xf numFmtId="2" fontId="3" fillId="3" borderId="1" xfId="4" applyNumberFormat="1" applyFont="1" applyFill="1" applyBorder="1" applyAlignment="1">
      <alignment horizontal="center" vertical="center" wrapText="1"/>
    </xf>
    <xf numFmtId="2" fontId="2" fillId="3" borderId="1" xfId="2" applyNumberFormat="1" applyFont="1" applyFill="1" applyBorder="1" applyAlignment="1">
      <alignment horizontal="center" vertical="center" wrapText="1"/>
    </xf>
    <xf numFmtId="10" fontId="3" fillId="3" borderId="1" xfId="2" applyNumberFormat="1" applyFont="1" applyFill="1" applyBorder="1" applyAlignment="1">
      <alignment horizontal="center" vertical="center" wrapText="1"/>
    </xf>
    <xf numFmtId="10" fontId="2" fillId="3" borderId="1" xfId="2" applyNumberFormat="1" applyFont="1" applyFill="1" applyBorder="1" applyAlignment="1">
      <alignment horizontal="center" vertical="center" wrapText="1"/>
    </xf>
    <xf numFmtId="14" fontId="3" fillId="3" borderId="1" xfId="2" applyNumberFormat="1" applyFont="1" applyFill="1" applyBorder="1" applyAlignment="1">
      <alignment horizontal="center" vertical="center" wrapText="1"/>
    </xf>
    <xf numFmtId="14" fontId="2" fillId="3" borderId="1" xfId="2" applyNumberFormat="1" applyFont="1" applyFill="1" applyBorder="1" applyAlignment="1">
      <alignment horizontal="center" vertical="center" wrapText="1"/>
    </xf>
    <xf numFmtId="14" fontId="3" fillId="3" borderId="1" xfId="2" quotePrefix="1" applyNumberFormat="1" applyFont="1" applyFill="1" applyBorder="1" applyAlignment="1">
      <alignment horizontal="center" vertical="center" wrapText="1"/>
    </xf>
    <xf numFmtId="0" fontId="3" fillId="3" borderId="1" xfId="2" quotePrefix="1" applyFont="1" applyFill="1" applyBorder="1" applyAlignment="1">
      <alignment horizontal="center" vertical="center" wrapText="1"/>
    </xf>
    <xf numFmtId="14" fontId="2" fillId="3" borderId="1" xfId="2" quotePrefix="1" applyNumberFormat="1" applyFont="1" applyFill="1" applyBorder="1" applyAlignment="1">
      <alignment horizontal="center" vertical="center" wrapText="1"/>
    </xf>
    <xf numFmtId="1" fontId="2" fillId="3" borderId="1" xfId="2" applyNumberFormat="1" applyFont="1" applyFill="1" applyBorder="1" applyAlignment="1">
      <alignment horizontal="center" vertical="center" wrapText="1"/>
    </xf>
    <xf numFmtId="0" fontId="2" fillId="0" borderId="1" xfId="2" applyFont="1" applyBorder="1" applyAlignment="1">
      <alignment horizontal="center" vertical="center" wrapText="1"/>
    </xf>
    <xf numFmtId="1" fontId="2" fillId="0" borderId="1" xfId="2" applyNumberFormat="1" applyFont="1" applyBorder="1" applyAlignment="1">
      <alignment horizontal="center" vertical="center" wrapText="1"/>
    </xf>
    <xf numFmtId="0" fontId="3" fillId="3" borderId="1" xfId="2" applyFont="1" applyFill="1" applyBorder="1" applyAlignment="1">
      <alignment horizontal="left" vertical="top" wrapText="1"/>
    </xf>
    <xf numFmtId="0" fontId="2" fillId="17" borderId="6" xfId="0" applyFont="1" applyFill="1" applyBorder="1" applyAlignment="1">
      <alignment horizontal="center" vertical="center" wrapText="1"/>
    </xf>
    <xf numFmtId="0" fontId="17" fillId="2" borderId="0" xfId="0" applyFont="1" applyFill="1" applyAlignment="1">
      <alignment horizontal="left" vertical="center" wrapText="1"/>
    </xf>
    <xf numFmtId="12" fontId="35" fillId="2" borderId="3" xfId="0" applyNumberFormat="1" applyFont="1" applyFill="1" applyBorder="1" applyAlignment="1">
      <alignment horizontal="left" vertical="top" wrapText="1"/>
    </xf>
    <xf numFmtId="0" fontId="2" fillId="3" borderId="9" xfId="0" applyFont="1" applyFill="1" applyBorder="1" applyAlignment="1">
      <alignment horizontal="left" vertical="center" wrapText="1"/>
    </xf>
    <xf numFmtId="49" fontId="2" fillId="3" borderId="1" xfId="0" applyNumberFormat="1" applyFont="1" applyFill="1" applyBorder="1" applyAlignment="1">
      <alignment horizontal="left" vertical="center" wrapText="1"/>
    </xf>
    <xf numFmtId="0" fontId="8" fillId="10" borderId="1" xfId="5" applyFont="1" applyFill="1" applyBorder="1" applyAlignment="1">
      <alignment horizontal="left" vertical="center" wrapText="1"/>
    </xf>
    <xf numFmtId="0" fontId="3" fillId="11" borderId="1" xfId="5" applyFont="1" applyFill="1" applyBorder="1" applyAlignment="1">
      <alignment horizontal="left" vertical="center" wrapText="1"/>
    </xf>
    <xf numFmtId="0" fontId="0" fillId="2" borderId="0" xfId="0" applyFill="1" applyAlignment="1">
      <alignment horizontal="left"/>
    </xf>
    <xf numFmtId="4" fontId="3" fillId="3" borderId="1" xfId="0" applyNumberFormat="1" applyFont="1" applyFill="1" applyBorder="1" applyAlignment="1">
      <alignment horizontal="center" vertical="center" wrapText="1"/>
    </xf>
    <xf numFmtId="6" fontId="3" fillId="3" borderId="1" xfId="0" applyNumberFormat="1" applyFont="1" applyFill="1" applyBorder="1" applyAlignment="1">
      <alignment horizontal="center" vertical="center" wrapText="1"/>
    </xf>
    <xf numFmtId="8" fontId="3" fillId="3" borderId="1" xfId="0" applyNumberFormat="1" applyFont="1" applyFill="1" applyBorder="1" applyAlignment="1">
      <alignment horizontal="center" vertical="center" wrapText="1"/>
    </xf>
    <xf numFmtId="10" fontId="3" fillId="3" borderId="1" xfId="8" quotePrefix="1" applyNumberFormat="1" applyFont="1" applyFill="1" applyBorder="1" applyAlignment="1">
      <alignment horizontal="left" vertical="center" wrapText="1"/>
    </xf>
    <xf numFmtId="0" fontId="3" fillId="3" borderId="1" xfId="0" quotePrefix="1" applyFont="1" applyFill="1" applyBorder="1" applyAlignment="1">
      <alignment horizontal="left" vertical="center" wrapText="1"/>
    </xf>
    <xf numFmtId="14" fontId="3" fillId="3" borderId="1" xfId="0" applyNumberFormat="1" applyFont="1" applyFill="1" applyBorder="1" applyAlignment="1">
      <alignment horizontal="center" vertical="center" wrapText="1"/>
    </xf>
    <xf numFmtId="14" fontId="3" fillId="3" borderId="1" xfId="0" quotePrefix="1" applyNumberFormat="1" applyFont="1" applyFill="1" applyBorder="1" applyAlignment="1">
      <alignment horizontal="left" vertical="center" wrapText="1"/>
    </xf>
    <xf numFmtId="14" fontId="3" fillId="3" borderId="6" xfId="0" applyNumberFormat="1" applyFont="1" applyFill="1" applyBorder="1" applyAlignment="1">
      <alignment horizontal="center" vertical="center" wrapText="1"/>
    </xf>
    <xf numFmtId="14" fontId="3" fillId="3" borderId="6" xfId="0" quotePrefix="1" applyNumberFormat="1" applyFont="1" applyFill="1" applyBorder="1" applyAlignment="1">
      <alignment horizontal="center" vertical="center" wrapText="1"/>
    </xf>
    <xf numFmtId="0" fontId="3" fillId="3" borderId="6" xfId="0" applyFont="1" applyFill="1" applyBorder="1" applyAlignment="1">
      <alignment vertical="top" wrapText="1"/>
    </xf>
    <xf numFmtId="0" fontId="0" fillId="2" borderId="0" xfId="0" applyFill="1" applyAlignment="1">
      <alignment wrapText="1"/>
    </xf>
    <xf numFmtId="0" fontId="0" fillId="3" borderId="1" xfId="0" applyFill="1" applyBorder="1" applyAlignment="1">
      <alignment wrapText="1"/>
    </xf>
    <xf numFmtId="16" fontId="0" fillId="3" borderId="1" xfId="0" applyNumberFormat="1" applyFill="1" applyBorder="1" applyAlignment="1">
      <alignment horizontal="center" vertical="center" wrapText="1"/>
    </xf>
    <xf numFmtId="16" fontId="0" fillId="3" borderId="1" xfId="0" applyNumberFormat="1" applyFill="1" applyBorder="1"/>
    <xf numFmtId="12" fontId="35" fillId="2" borderId="16" xfId="0" applyNumberFormat="1" applyFont="1" applyFill="1" applyBorder="1" applyAlignment="1">
      <alignment horizontal="left" vertical="top" wrapText="1"/>
    </xf>
    <xf numFmtId="0" fontId="35" fillId="2" borderId="16" xfId="0" applyFont="1" applyFill="1" applyBorder="1" applyAlignment="1">
      <alignment horizontal="left" vertical="top" wrapText="1"/>
    </xf>
    <xf numFmtId="0" fontId="35" fillId="2" borderId="9" xfId="0" applyFont="1" applyFill="1" applyBorder="1" applyAlignment="1">
      <alignment horizontal="left" vertical="center" wrapText="1"/>
    </xf>
    <xf numFmtId="14" fontId="0" fillId="0" borderId="0" xfId="0" applyNumberFormat="1"/>
    <xf numFmtId="12" fontId="3" fillId="2" borderId="1" xfId="0" applyNumberFormat="1" applyFont="1" applyFill="1" applyBorder="1" applyAlignment="1">
      <alignment horizontal="left" vertical="top" wrapText="1"/>
    </xf>
    <xf numFmtId="0" fontId="3" fillId="2" borderId="1" xfId="0" applyFont="1" applyFill="1" applyBorder="1" applyAlignment="1">
      <alignment horizontal="left" vertical="top"/>
    </xf>
    <xf numFmtId="12" fontId="3" fillId="3" borderId="9" xfId="0" applyNumberFormat="1" applyFont="1" applyFill="1" applyBorder="1" applyAlignment="1">
      <alignment horizontal="center" vertical="center" wrapText="1"/>
    </xf>
    <xf numFmtId="0" fontId="3" fillId="3" borderId="9" xfId="0" applyFont="1" applyFill="1" applyBorder="1" applyAlignment="1">
      <alignment horizontal="left" vertical="top" wrapText="1"/>
    </xf>
    <xf numFmtId="0" fontId="3" fillId="3" borderId="9" xfId="0" applyFont="1" applyFill="1" applyBorder="1" applyAlignment="1">
      <alignment horizontal="left" vertical="top"/>
    </xf>
    <xf numFmtId="2" fontId="39" fillId="3" borderId="1" xfId="0" applyNumberFormat="1"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1" xfId="0" applyFont="1" applyFill="1" applyBorder="1" applyAlignment="1">
      <alignment vertical="center" wrapText="1"/>
    </xf>
    <xf numFmtId="0" fontId="2" fillId="3" borderId="1" xfId="11" applyFont="1" applyFill="1" applyBorder="1" applyAlignment="1">
      <alignment horizontal="center" vertical="center"/>
    </xf>
    <xf numFmtId="16" fontId="1" fillId="3" borderId="1" xfId="11" applyNumberFormat="1" applyFill="1" applyBorder="1" applyAlignment="1">
      <alignment wrapText="1"/>
    </xf>
    <xf numFmtId="3" fontId="8" fillId="10" borderId="4" xfId="3" applyNumberFormat="1" applyFont="1" applyFill="1" applyBorder="1" applyAlignment="1">
      <alignment vertical="center" wrapText="1"/>
    </xf>
    <xf numFmtId="0" fontId="8" fillId="10" borderId="4" xfId="2" applyFont="1" applyFill="1" applyBorder="1" applyAlignment="1">
      <alignment vertical="center" wrapText="1"/>
    </xf>
    <xf numFmtId="0" fontId="8" fillId="12" borderId="4" xfId="2" applyFont="1" applyFill="1" applyBorder="1" applyAlignment="1">
      <alignment vertical="center" wrapText="1"/>
    </xf>
    <xf numFmtId="14" fontId="8" fillId="13" borderId="4" xfId="2" applyNumberFormat="1" applyFont="1" applyFill="1" applyBorder="1" applyAlignment="1">
      <alignment vertical="center" wrapText="1"/>
    </xf>
    <xf numFmtId="14" fontId="8" fillId="14" borderId="4" xfId="2" applyNumberFormat="1" applyFont="1" applyFill="1" applyBorder="1" applyAlignment="1">
      <alignment vertical="center" wrapText="1"/>
    </xf>
    <xf numFmtId="14" fontId="8" fillId="14" borderId="17" xfId="2" applyNumberFormat="1" applyFont="1" applyFill="1" applyBorder="1" applyAlignment="1">
      <alignment vertical="center" wrapText="1"/>
    </xf>
    <xf numFmtId="14" fontId="8" fillId="16" borderId="4" xfId="2" applyNumberFormat="1" applyFont="1" applyFill="1" applyBorder="1" applyAlignment="1">
      <alignment vertical="center" wrapText="1"/>
    </xf>
    <xf numFmtId="0" fontId="2" fillId="3" borderId="1" xfId="0" applyFont="1" applyFill="1" applyBorder="1" applyAlignment="1">
      <alignment horizontal="center"/>
    </xf>
    <xf numFmtId="0" fontId="6" fillId="3" borderId="1" xfId="0" applyFont="1" applyFill="1" applyBorder="1"/>
    <xf numFmtId="0" fontId="2" fillId="3" borderId="2" xfId="0" applyFont="1" applyFill="1" applyBorder="1" applyAlignment="1">
      <alignment horizontal="center" vertical="center"/>
    </xf>
    <xf numFmtId="0" fontId="0" fillId="2" borderId="8" xfId="0" applyFill="1" applyBorder="1" applyAlignment="1">
      <alignment vertical="center" wrapText="1"/>
    </xf>
    <xf numFmtId="0" fontId="2" fillId="2" borderId="5" xfId="0" applyFont="1" applyFill="1" applyBorder="1"/>
    <xf numFmtId="0" fontId="0" fillId="3" borderId="1" xfId="0" applyFill="1" applyBorder="1" applyAlignment="1">
      <alignment horizontal="left" vertical="center"/>
    </xf>
    <xf numFmtId="0" fontId="0" fillId="3" borderId="1" xfId="0" applyFill="1" applyBorder="1" applyAlignment="1">
      <alignment horizontal="left" vertical="center" wrapText="1"/>
    </xf>
    <xf numFmtId="4" fontId="0" fillId="3" borderId="1" xfId="0" applyNumberFormat="1" applyFill="1" applyBorder="1" applyAlignment="1">
      <alignment horizontal="left" vertical="center"/>
    </xf>
    <xf numFmtId="14" fontId="0" fillId="3" borderId="1" xfId="0" applyNumberFormat="1" applyFill="1" applyBorder="1" applyAlignment="1">
      <alignment horizontal="left" vertical="center"/>
    </xf>
    <xf numFmtId="0" fontId="2" fillId="0" borderId="0" xfId="0" applyFont="1" applyAlignment="1">
      <alignment vertical="center"/>
    </xf>
    <xf numFmtId="0" fontId="1" fillId="3" borderId="1" xfId="11" applyFill="1" applyBorder="1" applyAlignment="1">
      <alignment vertical="center"/>
    </xf>
    <xf numFmtId="0" fontId="1" fillId="3" borderId="1" xfId="11" applyFill="1" applyBorder="1" applyAlignment="1">
      <alignment horizontal="left" vertical="center" wrapText="1"/>
    </xf>
    <xf numFmtId="0" fontId="1" fillId="3" borderId="1" xfId="12" applyFill="1" applyBorder="1" applyAlignment="1">
      <alignment horizontal="left" vertical="center" wrapText="1"/>
    </xf>
    <xf numFmtId="14" fontId="2" fillId="3" borderId="1" xfId="11" applyNumberFormat="1" applyFont="1" applyFill="1" applyBorder="1" applyAlignment="1">
      <alignment horizontal="right"/>
    </xf>
    <xf numFmtId="14" fontId="2" fillId="3" borderId="1" xfId="2" applyNumberFormat="1" applyFont="1" applyFill="1" applyBorder="1" applyAlignment="1">
      <alignment horizontal="right"/>
    </xf>
    <xf numFmtId="14" fontId="22" fillId="19" borderId="1" xfId="0" applyNumberFormat="1" applyFont="1" applyFill="1" applyBorder="1" applyAlignment="1">
      <alignment horizontal="center" vertical="center"/>
    </xf>
    <xf numFmtId="14" fontId="2" fillId="2" borderId="1" xfId="0" applyNumberFormat="1" applyFont="1" applyFill="1" applyBorder="1"/>
    <xf numFmtId="14" fontId="2" fillId="0" borderId="1" xfId="0" applyNumberFormat="1" applyFont="1" applyBorder="1"/>
    <xf numFmtId="14" fontId="22" fillId="18" borderId="1" xfId="0" applyNumberFormat="1" applyFont="1" applyFill="1" applyBorder="1" applyAlignment="1">
      <alignment horizontal="center" vertical="center"/>
    </xf>
    <xf numFmtId="14" fontId="2" fillId="2" borderId="1" xfId="15" applyNumberFormat="1" applyFont="1" applyFill="1" applyBorder="1"/>
    <xf numFmtId="14" fontId="2" fillId="2" borderId="1" xfId="11" applyNumberFormat="1" applyFont="1" applyFill="1" applyBorder="1"/>
    <xf numFmtId="14" fontId="3" fillId="19" borderId="2" xfId="0" applyNumberFormat="1" applyFont="1" applyFill="1" applyBorder="1" applyAlignment="1">
      <alignment horizontal="center" vertical="center"/>
    </xf>
    <xf numFmtId="0" fontId="3" fillId="3" borderId="1" xfId="11" applyFont="1" applyFill="1" applyBorder="1" applyAlignment="1">
      <alignment horizontal="center" vertical="center" wrapText="1"/>
    </xf>
    <xf numFmtId="0" fontId="22" fillId="3" borderId="1" xfId="0" applyFont="1" applyFill="1" applyBorder="1" applyAlignment="1">
      <alignment horizontal="center" vertical="center" wrapText="1"/>
    </xf>
    <xf numFmtId="0" fontId="40" fillId="31" borderId="20" xfId="0" applyFont="1" applyFill="1" applyBorder="1" applyAlignment="1">
      <alignment horizontal="center" vertical="center" wrapText="1"/>
    </xf>
    <xf numFmtId="14" fontId="40" fillId="31" borderId="20" xfId="0" applyNumberFormat="1" applyFont="1" applyFill="1" applyBorder="1" applyAlignment="1">
      <alignment horizontal="center" vertical="center" wrapText="1"/>
    </xf>
    <xf numFmtId="0" fontId="8" fillId="10" borderId="1" xfId="2"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10" fontId="0" fillId="0" borderId="0" xfId="0" applyNumberFormat="1" applyAlignment="1">
      <alignment horizontal="center" vertical="center"/>
    </xf>
    <xf numFmtId="3" fontId="0" fillId="0" borderId="0" xfId="0" applyNumberFormat="1" applyAlignment="1">
      <alignment horizontal="center" vertical="center"/>
    </xf>
    <xf numFmtId="2" fontId="0" fillId="0" borderId="0" xfId="0" applyNumberFormat="1" applyAlignment="1">
      <alignment horizontal="center" vertical="center"/>
    </xf>
    <xf numFmtId="14" fontId="0" fillId="0" borderId="0" xfId="0" applyNumberFormat="1" applyAlignment="1">
      <alignment horizontal="center" vertical="center"/>
    </xf>
    <xf numFmtId="165" fontId="0" fillId="0" borderId="0" xfId="8" applyFont="1" applyAlignment="1">
      <alignment horizontal="center" vertical="center"/>
    </xf>
    <xf numFmtId="165" fontId="0" fillId="0" borderId="0" xfId="0" applyNumberFormat="1" applyAlignment="1">
      <alignment horizontal="center" vertical="center"/>
    </xf>
    <xf numFmtId="4" fontId="0" fillId="0" borderId="0" xfId="0" applyNumberFormat="1" applyAlignment="1">
      <alignment horizontal="center" vertical="center"/>
    </xf>
    <xf numFmtId="10" fontId="0" fillId="0" borderId="0" xfId="0" applyNumberFormat="1" applyAlignment="1">
      <alignment horizontal="center" vertical="center" wrapText="1"/>
    </xf>
    <xf numFmtId="4" fontId="0" fillId="0" borderId="0" xfId="0" applyNumberFormat="1" applyAlignment="1">
      <alignment horizontal="center" vertical="center" wrapText="1"/>
    </xf>
    <xf numFmtId="8" fontId="0" fillId="0" borderId="0" xfId="0" applyNumberFormat="1" applyAlignment="1">
      <alignment horizontal="center" vertical="center"/>
    </xf>
    <xf numFmtId="49" fontId="0" fillId="0" borderId="0" xfId="0" applyNumberFormat="1" applyAlignment="1">
      <alignment horizontal="center" vertical="center"/>
    </xf>
    <xf numFmtId="14" fontId="0" fillId="0" borderId="0" xfId="0" applyNumberFormat="1" applyAlignment="1">
      <alignment horizontal="center" vertical="center" wrapText="1"/>
    </xf>
    <xf numFmtId="2" fontId="0" fillId="0" borderId="0" xfId="0" applyNumberFormat="1" applyAlignment="1">
      <alignment horizontal="center" vertical="center" wrapText="1"/>
    </xf>
    <xf numFmtId="1" fontId="0" fillId="0" borderId="0" xfId="0" applyNumberFormat="1" applyAlignment="1">
      <alignment horizontal="center" vertical="center"/>
    </xf>
    <xf numFmtId="12" fontId="0" fillId="0" borderId="0" xfId="0" applyNumberFormat="1" applyAlignment="1">
      <alignment horizontal="center" vertical="center"/>
    </xf>
    <xf numFmtId="9" fontId="0" fillId="0" borderId="0" xfId="0" applyNumberFormat="1" applyAlignment="1">
      <alignment horizontal="center" vertical="center" wrapText="1"/>
    </xf>
    <xf numFmtId="0" fontId="0" fillId="2" borderId="1" xfId="0" applyFill="1" applyBorder="1" applyAlignment="1">
      <alignment horizontal="center" wrapText="1"/>
    </xf>
    <xf numFmtId="177" fontId="3" fillId="3" borderId="1" xfId="13" applyNumberFormat="1" applyFont="1" applyFill="1" applyBorder="1" applyAlignment="1">
      <alignment horizontal="left" vertical="center" wrapText="1"/>
    </xf>
    <xf numFmtId="0" fontId="35" fillId="3" borderId="1" xfId="2" applyFont="1" applyFill="1" applyBorder="1" applyAlignment="1">
      <alignment horizontal="center" vertical="center" wrapText="1"/>
    </xf>
    <xf numFmtId="0" fontId="22" fillId="3" borderId="1" xfId="2" applyFont="1" applyFill="1" applyBorder="1" applyAlignment="1">
      <alignment horizontal="center" vertical="center" wrapText="1"/>
    </xf>
    <xf numFmtId="14" fontId="35" fillId="3" borderId="1" xfId="2" applyNumberFormat="1" applyFont="1" applyFill="1" applyBorder="1" applyAlignment="1">
      <alignment horizontal="center" vertical="center" wrapText="1"/>
    </xf>
    <xf numFmtId="0" fontId="41" fillId="2" borderId="1" xfId="2" applyFont="1" applyFill="1" applyBorder="1" applyAlignment="1">
      <alignment horizontal="center"/>
    </xf>
    <xf numFmtId="0" fontId="0" fillId="3" borderId="1" xfId="0" applyFill="1" applyBorder="1" applyAlignment="1">
      <alignment horizontal="center"/>
    </xf>
    <xf numFmtId="0" fontId="42" fillId="3" borderId="4" xfId="11" applyFont="1" applyFill="1" applyBorder="1" applyAlignment="1">
      <alignment horizontal="center" vertical="center"/>
    </xf>
    <xf numFmtId="0" fontId="1" fillId="2" borderId="1" xfId="11" applyFill="1" applyBorder="1" applyAlignment="1">
      <alignment vertical="center" wrapText="1"/>
    </xf>
    <xf numFmtId="0" fontId="3" fillId="17" borderId="1" xfId="0" quotePrefix="1" applyFont="1" applyFill="1" applyBorder="1" applyAlignment="1">
      <alignment horizontal="left" vertical="center" wrapText="1"/>
    </xf>
    <xf numFmtId="2" fontId="3" fillId="3" borderId="1" xfId="0" applyNumberFormat="1" applyFont="1" applyFill="1" applyBorder="1" applyAlignment="1">
      <alignment horizontal="center" vertical="center" wrapText="1"/>
    </xf>
    <xf numFmtId="14" fontId="0" fillId="2" borderId="0" xfId="0" applyNumberFormat="1" applyFill="1"/>
    <xf numFmtId="0" fontId="43" fillId="0" borderId="0" xfId="0" applyFont="1"/>
    <xf numFmtId="14" fontId="0" fillId="16" borderId="0" xfId="0" applyNumberFormat="1" applyFill="1"/>
    <xf numFmtId="0" fontId="0" fillId="0" borderId="0" xfId="0" applyAlignment="1">
      <alignment horizontal="center"/>
    </xf>
    <xf numFmtId="14" fontId="0" fillId="0" borderId="0" xfId="0" applyNumberFormat="1" applyAlignment="1">
      <alignment horizontal="center"/>
    </xf>
    <xf numFmtId="0" fontId="0" fillId="16" borderId="0" xfId="0" applyFill="1"/>
    <xf numFmtId="14" fontId="17" fillId="16" borderId="0" xfId="0" applyNumberFormat="1" applyFont="1" applyFill="1"/>
    <xf numFmtId="0" fontId="0" fillId="17" borderId="0" xfId="0" applyFill="1"/>
    <xf numFmtId="0" fontId="17" fillId="2" borderId="0" xfId="0" applyFont="1" applyFill="1"/>
    <xf numFmtId="14" fontId="17" fillId="2" borderId="0" xfId="0" applyNumberFormat="1" applyFont="1" applyFill="1"/>
    <xf numFmtId="0" fontId="17" fillId="2" borderId="0" xfId="0" applyFont="1" applyFill="1" applyAlignment="1">
      <alignment vertical="center"/>
    </xf>
    <xf numFmtId="0" fontId="0" fillId="30" borderId="0" xfId="0" applyFill="1"/>
    <xf numFmtId="14" fontId="0" fillId="30" borderId="0" xfId="0" applyNumberFormat="1" applyFill="1"/>
    <xf numFmtId="0" fontId="17" fillId="0" borderId="0" xfId="0" applyFont="1" applyAlignment="1">
      <alignment vertical="center"/>
    </xf>
    <xf numFmtId="0" fontId="17" fillId="2" borderId="0" xfId="0" applyFont="1" applyFill="1" applyAlignment="1">
      <alignment vertical="top"/>
    </xf>
    <xf numFmtId="0" fontId="17" fillId="0" borderId="0" xfId="0" applyFont="1"/>
    <xf numFmtId="14" fontId="17" fillId="0" borderId="0" xfId="0" applyNumberFormat="1" applyFont="1"/>
    <xf numFmtId="0" fontId="17" fillId="30" borderId="0" xfId="0" applyFont="1" applyFill="1"/>
    <xf numFmtId="14" fontId="17" fillId="30" borderId="0" xfId="0" applyNumberFormat="1" applyFont="1" applyFill="1"/>
    <xf numFmtId="0" fontId="17" fillId="30" borderId="0" xfId="0" applyFont="1" applyFill="1" applyAlignment="1">
      <alignment vertical="center"/>
    </xf>
    <xf numFmtId="0" fontId="44" fillId="0" borderId="0" xfId="0" applyFont="1" applyAlignment="1">
      <alignment vertical="top"/>
    </xf>
    <xf numFmtId="12" fontId="0" fillId="17" borderId="0" xfId="0" applyNumberFormat="1" applyFill="1"/>
    <xf numFmtId="14" fontId="0" fillId="17" borderId="0" xfId="0" applyNumberFormat="1" applyFill="1" applyAlignment="1">
      <alignment horizontal="right"/>
    </xf>
    <xf numFmtId="12" fontId="0" fillId="0" borderId="0" xfId="0" applyNumberFormat="1"/>
    <xf numFmtId="14" fontId="17" fillId="0" borderId="0" xfId="0" applyNumberFormat="1" applyFont="1" applyAlignment="1">
      <alignment horizontal="right"/>
    </xf>
    <xf numFmtId="14" fontId="40" fillId="31" borderId="21" xfId="0" applyNumberFormat="1" applyFont="1" applyFill="1" applyBorder="1" applyAlignment="1">
      <alignment horizontal="center" vertical="center" wrapText="1"/>
    </xf>
    <xf numFmtId="0" fontId="40" fillId="31" borderId="21" xfId="0" applyFont="1" applyFill="1" applyBorder="1" applyAlignment="1">
      <alignment horizontal="center" vertical="center" wrapText="1"/>
    </xf>
    <xf numFmtId="1" fontId="3" fillId="17" borderId="1" xfId="17" applyNumberFormat="1" applyFont="1" applyFill="1" applyBorder="1" applyAlignment="1">
      <alignment horizontal="left" vertical="center" wrapText="1"/>
    </xf>
    <xf numFmtId="4" fontId="3" fillId="17" borderId="1" xfId="15" applyNumberFormat="1" applyFont="1" applyFill="1" applyBorder="1" applyAlignment="1">
      <alignment horizontal="left" vertical="center" wrapText="1"/>
    </xf>
    <xf numFmtId="4" fontId="3" fillId="17" borderId="1" xfId="2" applyNumberFormat="1" applyFont="1" applyFill="1" applyBorder="1" applyAlignment="1">
      <alignment horizontal="left" vertical="center" wrapText="1"/>
    </xf>
    <xf numFmtId="2" fontId="3" fillId="17" borderId="1" xfId="17" applyNumberFormat="1" applyFont="1" applyFill="1" applyBorder="1" applyAlignment="1">
      <alignment horizontal="left" vertical="center" wrapText="1"/>
    </xf>
    <xf numFmtId="10" fontId="3" fillId="17" borderId="1" xfId="17" applyNumberFormat="1" applyFont="1" applyFill="1" applyBorder="1" applyAlignment="1">
      <alignment horizontal="left" vertical="center" wrapText="1"/>
    </xf>
    <xf numFmtId="0" fontId="45" fillId="3" borderId="1" xfId="2" applyFont="1" applyFill="1" applyBorder="1" applyAlignment="1">
      <alignment horizontal="left"/>
    </xf>
    <xf numFmtId="0" fontId="24" fillId="0" borderId="0" xfId="0" applyFont="1" applyAlignment="1">
      <alignment horizontal="left" readingOrder="1"/>
    </xf>
    <xf numFmtId="0" fontId="24" fillId="0" borderId="0" xfId="0" applyFont="1" applyAlignment="1">
      <alignment horizontal="left" vertical="center"/>
    </xf>
    <xf numFmtId="0" fontId="17" fillId="0" borderId="0" xfId="0" applyFont="1" applyAlignment="1">
      <alignment horizontal="left" readingOrder="1"/>
    </xf>
    <xf numFmtId="0" fontId="1" fillId="3" borderId="1" xfId="11" applyFill="1" applyBorder="1" applyAlignment="1">
      <alignment horizontal="center"/>
    </xf>
    <xf numFmtId="0" fontId="3" fillId="3" borderId="4" xfId="11" applyFont="1" applyFill="1" applyBorder="1" applyAlignment="1">
      <alignment horizontal="left" vertical="center" wrapText="1"/>
    </xf>
    <xf numFmtId="0" fontId="3" fillId="2" borderId="9" xfId="11" applyFont="1" applyFill="1" applyBorder="1" applyAlignment="1">
      <alignment horizontal="center" vertical="center" wrapText="1"/>
    </xf>
    <xf numFmtId="0" fontId="22" fillId="32" borderId="1" xfId="0" applyFont="1" applyFill="1" applyBorder="1" applyAlignment="1">
      <alignment horizontal="center" vertical="center" wrapText="1"/>
    </xf>
    <xf numFmtId="0" fontId="0" fillId="0" borderId="0" xfId="0" applyAlignment="1">
      <alignment horizontal="left" indent="3"/>
    </xf>
    <xf numFmtId="0" fontId="0" fillId="0" borderId="0" xfId="0" pivotButton="1" applyAlignment="1">
      <alignment wrapText="1"/>
    </xf>
    <xf numFmtId="0" fontId="0" fillId="0" borderId="0" xfId="0" applyAlignment="1">
      <alignment horizontal="left" wrapText="1"/>
    </xf>
    <xf numFmtId="0" fontId="0" fillId="0" borderId="0" xfId="0" applyAlignment="1">
      <alignment wrapText="1"/>
    </xf>
    <xf numFmtId="0" fontId="1" fillId="2" borderId="1" xfId="1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3" xfId="0" applyFill="1" applyBorder="1" applyAlignment="1">
      <alignment horizontal="center" vertical="center" wrapText="1"/>
    </xf>
    <xf numFmtId="0" fontId="2" fillId="0" borderId="0" xfId="0" applyFont="1" applyAlignment="1">
      <alignment horizontal="center" vertical="center"/>
    </xf>
    <xf numFmtId="0" fontId="28" fillId="23" borderId="11" xfId="11" applyFont="1" applyFill="1" applyBorder="1" applyAlignment="1">
      <alignment horizontal="center"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1" fontId="3" fillId="3" borderId="2" xfId="13" applyNumberFormat="1" applyFont="1" applyFill="1" applyBorder="1" applyAlignment="1">
      <alignment horizontal="center" vertical="center" wrapText="1"/>
    </xf>
    <xf numFmtId="1" fontId="3" fillId="3" borderId="4" xfId="13" applyNumberFormat="1" applyFont="1" applyFill="1" applyBorder="1" applyAlignment="1">
      <alignment horizontal="center" vertical="center" wrapText="1"/>
    </xf>
    <xf numFmtId="0" fontId="1" fillId="2" borderId="1" xfId="15" applyFill="1" applyBorder="1" applyAlignment="1">
      <alignment horizontal="center" vertical="center" wrapText="1"/>
    </xf>
  </cellXfs>
  <cellStyles count="21">
    <cellStyle name="Comma" xfId="8" builtinId="3"/>
    <cellStyle name="Comma 2" xfId="4" xr:uid="{A4712594-D6D7-4D6F-BDFC-5F63AF97C861}"/>
    <cellStyle name="Comma 2 2" xfId="17" xr:uid="{DB923325-8191-46D7-B677-998277B37903}"/>
    <cellStyle name="Comma 2 3" xfId="20" xr:uid="{583299F3-C1DA-4F1B-A08F-160469E780A2}"/>
    <cellStyle name="Comma 5" xfId="3" xr:uid="{D42553B6-7D59-4CBF-B1FB-782EC460500D}"/>
    <cellStyle name="Comma 5 2" xfId="6" xr:uid="{7848BAA9-F8F4-46EA-8D6E-1B9CFC99EE94}"/>
    <cellStyle name="Comma 5 2 2" xfId="19" xr:uid="{C65F515B-6898-4984-B2EB-29D72454FDE0}"/>
    <cellStyle name="Currency" xfId="18" builtinId="4"/>
    <cellStyle name="Hyperlink" xfId="9" builtinId="8"/>
    <cellStyle name="Hyperlink 2" xfId="16" xr:uid="{627E185D-8EA3-4E47-A2DE-8EBA79E7AABF}"/>
    <cellStyle name="Milliers 2" xfId="7" xr:uid="{47190D61-AFBC-4C04-9225-5DC50F342969}"/>
    <cellStyle name="Milliers 2 2" xfId="13" xr:uid="{B7B6C44A-2186-44C4-9786-0DA4F2E3B4F0}"/>
    <cellStyle name="Normal" xfId="0" builtinId="0"/>
    <cellStyle name="Normal 2" xfId="11" xr:uid="{1974BFA4-1BE2-4181-97D1-E9A20CA54EE5}"/>
    <cellStyle name="Normal 2 2" xfId="12" xr:uid="{96BFB906-D889-4603-BF69-E966E7709036}"/>
    <cellStyle name="Normal 2 3" xfId="15" xr:uid="{3CF037A8-316D-461C-BD13-8225235F2B94}"/>
    <cellStyle name="Normal 6" xfId="2" xr:uid="{BA1ED065-899B-4822-B49E-5F604D7138B3}"/>
    <cellStyle name="Normal 6 2" xfId="5" xr:uid="{2602F745-5D63-4035-A772-2EE3B951F883}"/>
    <cellStyle name="Pourcentage 2" xfId="14" xr:uid="{AD423B91-471B-4BC8-909E-2DB996303C65}"/>
    <cellStyle name="Stil 1" xfId="1" xr:uid="{2B434716-6E40-4AB3-8E36-E3E3E2AB1D24}"/>
    <cellStyle name="Währung 2" xfId="10" xr:uid="{718E8A2F-7279-4D99-9EBD-69C08781466F}"/>
  </cellStyles>
  <dxfs count="256">
    <dxf>
      <numFmt numFmtId="178" formatCode="dd/mm/yyyy"/>
      <alignment horizontal="right" vertical="bottom" textRotation="0" wrapText="0" indent="0" justifyLastLine="0" shrinkToFit="0" readingOrder="0"/>
    </dxf>
    <dxf>
      <numFmt numFmtId="178" formatCode="dd/mm/yyyy"/>
    </dxf>
    <dxf>
      <fill>
        <patternFill patternType="none">
          <fgColor indexed="64"/>
          <bgColor indexed="65"/>
        </patternFill>
      </fill>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bottom" textRotation="0" wrapText="0" indent="0" justifyLastLine="0" shrinkToFit="0" readingOrder="0"/>
    </dxf>
    <dxf>
      <numFmt numFmtId="178" formatCode="dd/mm/yyyy"/>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bottom" textRotation="0" wrapText="0" indent="0" justifyLastLine="0" shrinkToFit="0" readingOrder="0"/>
    </dxf>
    <dxf>
      <numFmt numFmtId="178"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border outline="0">
        <top style="thick">
          <color rgb="FFFFFFFF"/>
        </top>
      </border>
    </dxf>
    <dxf>
      <border outline="0">
        <bottom style="thick">
          <color rgb="FFFFFFFF"/>
        </bottom>
      </border>
    </dxf>
    <dxf>
      <font>
        <b/>
        <i val="0"/>
        <strike val="0"/>
        <condense val="0"/>
        <extend val="0"/>
        <outline val="0"/>
        <shadow val="0"/>
        <u val="none"/>
        <vertAlign val="baseline"/>
        <sz val="12"/>
        <color rgb="FF000000"/>
        <name val="Arial"/>
        <family val="2"/>
        <scheme val="none"/>
      </font>
      <fill>
        <patternFill patternType="solid">
          <fgColor rgb="FF000000"/>
          <bgColor rgb="FFD9E1F2"/>
        </patternFill>
      </fill>
      <alignment horizontal="center" vertical="center" textRotation="0" wrapText="1" indent="0" justifyLastLine="0" shrinkToFit="0" readingOrder="0"/>
      <border diagonalUp="0" diagonalDown="0" outline="0">
        <left style="thick">
          <color rgb="FFFFFFFF"/>
        </left>
        <right style="thick">
          <color rgb="FFFFFFFF"/>
        </right>
        <top/>
        <bottom/>
      </border>
    </dxf>
    <dxf>
      <alignment horizontal="center" vertical="center" textRotation="0" wrapText="0" indent="0" justifyLastLine="0" shrinkToFit="0" readingOrder="0"/>
    </dxf>
    <dxf>
      <numFmt numFmtId="178"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border outline="0">
        <top style="thick">
          <color rgb="FFFFFFFF"/>
        </top>
      </border>
    </dxf>
    <dxf>
      <alignment horizontal="center" vertical="center" textRotation="0" wrapText="0" indent="0" justifyLastLine="0" shrinkToFit="0" readingOrder="0"/>
    </dxf>
    <dxf>
      <border outline="0">
        <bottom style="thick">
          <color rgb="FFFFFFFF"/>
        </bottom>
      </border>
    </dxf>
    <dxf>
      <font>
        <b/>
        <i val="0"/>
        <strike val="0"/>
        <condense val="0"/>
        <extend val="0"/>
        <outline val="0"/>
        <shadow val="0"/>
        <u val="none"/>
        <vertAlign val="baseline"/>
        <sz val="12"/>
        <color rgb="FF000000"/>
        <name val="Arial"/>
        <family val="2"/>
        <scheme val="none"/>
      </font>
      <fill>
        <patternFill patternType="solid">
          <fgColor rgb="FF000000"/>
          <bgColor rgb="FFD9E1F2"/>
        </patternFill>
      </fill>
      <alignment horizontal="center" vertical="center" textRotation="0" wrapText="1" indent="0" justifyLastLine="0" shrinkToFit="0" readingOrder="0"/>
      <border diagonalUp="0" diagonalDown="0" outline="0">
        <left style="thick">
          <color rgb="FFFFFFFF"/>
        </left>
        <right style="thick">
          <color rgb="FFFFFFFF"/>
        </right>
        <top/>
        <bottom/>
      </border>
    </dxf>
    <dxf>
      <numFmt numFmtId="178"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border outline="0">
        <top style="thick">
          <color rgb="FFFFFFFF"/>
        </top>
      </border>
    </dxf>
    <dxf>
      <border outline="0">
        <bottom style="thick">
          <color rgb="FFFFFFFF"/>
        </bottom>
      </border>
    </dxf>
    <dxf>
      <font>
        <b/>
        <i val="0"/>
        <strike val="0"/>
        <condense val="0"/>
        <extend val="0"/>
        <outline val="0"/>
        <shadow val="0"/>
        <u val="none"/>
        <vertAlign val="baseline"/>
        <sz val="12"/>
        <color rgb="FF000000"/>
        <name val="Arial"/>
        <family val="2"/>
        <scheme val="none"/>
      </font>
      <fill>
        <patternFill patternType="solid">
          <fgColor rgb="FF000000"/>
          <bgColor rgb="FFD9E1F2"/>
        </patternFill>
      </fill>
      <alignment horizontal="center" vertical="center" textRotation="0" wrapText="1" indent="0" justifyLastLine="0" shrinkToFit="0" readingOrder="0"/>
      <border diagonalUp="0" diagonalDown="0" outline="0">
        <left style="thick">
          <color rgb="FFFFFFFF"/>
        </left>
        <right style="thick">
          <color rgb="FFFFFFFF"/>
        </right>
        <top/>
        <bottom/>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pivotCacheDefinition" Target="pivotCache/pivotCacheDefinition1.xml"/><Relationship Id="rId63"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64"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0</xdr:colOff>
      <xdr:row>62</xdr:row>
      <xdr:rowOff>0</xdr:rowOff>
    </xdr:from>
    <xdr:ext cx="2886964" cy="705001"/>
    <xdr:pic>
      <xdr:nvPicPr>
        <xdr:cNvPr id="2" name="Picture 3">
          <a:extLst>
            <a:ext uri="{FF2B5EF4-FFF2-40B4-BE49-F238E27FC236}">
              <a16:creationId xmlns:a16="http://schemas.microsoft.com/office/drawing/2014/main" id="{38EF1FF5-72FF-4DBE-B449-0D7952008610}"/>
            </a:ext>
          </a:extLst>
        </xdr:cNvPr>
        <xdr:cNvPicPr>
          <a:picLocks noChangeAspect="1"/>
        </xdr:cNvPicPr>
      </xdr:nvPicPr>
      <xdr:blipFill>
        <a:blip xmlns:r="http://schemas.openxmlformats.org/officeDocument/2006/relationships" r:embed="rId1"/>
        <a:stretch>
          <a:fillRect/>
        </a:stretch>
      </xdr:blipFill>
      <xdr:spPr>
        <a:xfrm>
          <a:off x="8413750" y="25946100"/>
          <a:ext cx="2886964" cy="70500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74</xdr:row>
      <xdr:rowOff>0</xdr:rowOff>
    </xdr:from>
    <xdr:to>
      <xdr:col>7</xdr:col>
      <xdr:colOff>399274</xdr:colOff>
      <xdr:row>102</xdr:row>
      <xdr:rowOff>152399</xdr:rowOff>
    </xdr:to>
    <xdr:pic>
      <xdr:nvPicPr>
        <xdr:cNvPr id="2" name="Image 2">
          <a:extLst>
            <a:ext uri="{FF2B5EF4-FFF2-40B4-BE49-F238E27FC236}">
              <a16:creationId xmlns:a16="http://schemas.microsoft.com/office/drawing/2014/main" id="{B5DA666C-EB4C-4F99-9104-20608C44392D}"/>
            </a:ext>
          </a:extLst>
        </xdr:cNvPr>
        <xdr:cNvPicPr>
          <a:picLocks noChangeAspect="1"/>
        </xdr:cNvPicPr>
      </xdr:nvPicPr>
      <xdr:blipFill>
        <a:blip xmlns:r="http://schemas.openxmlformats.org/officeDocument/2006/relationships" r:embed="rId1"/>
        <a:stretch>
          <a:fillRect/>
        </a:stretch>
      </xdr:blipFill>
      <xdr:spPr>
        <a:xfrm>
          <a:off x="4673600" y="24993600"/>
          <a:ext cx="6774674" cy="45973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Assistance/ACHATS/1.%20Governance%20&amp;%20Monitoring%20activities/07%20P&amp;N%20PD%20&amp;%20SD/2020%20SD/Savings%202020-Q1/Validated/China-%20Q12020%20saving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Savings Roadmap"/>
      <sheetName val="Data Quality Check"/>
      <sheetName val="External Spend"/>
      <sheetName val="Savings Roadmap SD20202"/>
      <sheetName val="Example Savings Roadmap "/>
      <sheetName val="Segmentation "/>
      <sheetName val="Ex rate"/>
      <sheetName val="Segmentation 2"/>
      <sheetName val="references"/>
      <sheetName val="Segmentation"/>
      <sheetName val="Segmentation2"/>
      <sheetName val="Reference1"/>
      <sheetName val="PIVOT PD19"/>
      <sheetName val="Savings PD19"/>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sheetData sheetId="10" refreshError="1"/>
      <sheetData sheetId="11"/>
      <sheetData sheetId="12"/>
      <sheetData sheetId="13" refreshError="1"/>
      <sheetData sheetId="14" refreshError="1"/>
    </sheetDataSet>
  </externalBook>
</externalLink>
</file>

<file path=xl/persons/person.xml><?xml version="1.0" encoding="utf-8"?>
<personList xmlns="http://schemas.microsoft.com/office/spreadsheetml/2018/threadedcomments" xmlns:x="http://schemas.openxmlformats.org/spreadsheetml/2006/main">
  <person displayName="Tomita, Rie (Allianz Partners)" id="{9A77A329-9D08-4708-BF68-5EE8D9EC356D}" userId="S::rie.tomita@allianz.com::5cb54fa9-6a83-4278-bacb-2eaa7033d091" providerId="AD"/>
  <person displayName="ALVES, ALZIRA (Allianz Partners)" id="{A96BDD34-AFE4-4F94-AA9C-A8B225B40710}" userId="S::alzira.alves@allianz.com::f67ddbef-9b97-4e44-8cd2-8d6cdcf2db83" providerId="AD"/>
  <person displayName="Reilly, Seamus (Allianz Partners)" id="{EAEAABE3-85A2-4D72-A8B0-00C011542A81}" userId="S::Seamus.Reilly@allianz.com::8fb8f2cb-ecb0-4993-9e55-ca921fe7b4e7" providerId="AD"/>
  <person displayName="Gerhards, Gerd (Allianz Partners)" id="{F7B71ABD-EDB5-440C-822A-7081C0398D8A}" userId="S::gerd.gerhards@allianz.com::dc86f146-da6e-466c-9416-642a83d65b88" providerId="AD"/>
  <person displayName="VOLPATO, IRENE (Allianz Partners)" id="{CF55CD5D-B9DB-40D5-BAC0-28FF665D7C79}" userId="S::irene.volpato@allianz.com::3dc5407c-9aca-4493-9177-e674f975c4b2" providerId="AD"/>
  <person displayName="Oeztuerk, Hamdi Murat (Allianz Partners)" id="{49260E98-FE84-4F32-96E6-831CAB66C008}" userId="S::hamdi.oeztuerk@allianz.com::8d762740-5329-41ba-80e4-1a0567379ed7" providerId="AD"/>
  <person displayName="Jacquenet, Pierre (Allianz Partners)" id="{B50736BB-777E-4480-A5B1-06B3260D311F}" userId="S::pierre.jacquenet@allianz.com::c7422882-1d55-4024-9cf8-b3061943208b" providerId="AD"/>
  <person displayName="Hirst, Hanan (NEXTCARE Claims Management LLC)" id="{BE096996-AFCA-496E-9DFA-8482EE31D4E4}" userId="S::hanan.hirst@nextcarehealth.com::40579949-22d5-4e31-8847-c0a8d87381b9" providerId="AD"/>
  <person displayName="Rania Safty" id="{8EDF6B13-57A1-4FC3-A3F8-A9576B5162B5}" userId="S::rania.safty@nextcarehealth.com::702cdc26-72c1-413d-aa6d-2bb79b8feeb2" providerId="AD"/>
  <person displayName="BOMMELAER, Marinette (Allianz Partners)" id="{30D4796C-AC3F-4799-B0C0-42E6ADB147D1}" userId="S::marinette.bommelaer@allianz.com::52dab118-cf2e-4380-a0c5-88b7c3fcebc3" providerId="AD"/>
  <person displayName="Bishop, Ms Sandra (AGA Assistance Australia Pty Ltd.)" id="{42AFF94D-4A46-46F8-8CC4-BDE2133EC3BD}" userId="S::sbishop@allianz-assistance.com.au::21bd22d3-153c-4657-970d-558ae3ca700d" providerId="AD"/>
  <person displayName="Spinetto, Karyn (Allianz Global Assistance New Zealand Limited)" id="{C1D2D0A2-0B6C-493A-AEB1-2454A8BE3DCB}" userId="S::KSpinetto@allianz-assistance.co.nz::28780924-65c2-4200-ae56-cdb0a6c17c2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MMELAER, Marinette (Allianz Partners)" refreshedDate="46084.507248495371" createdVersion="8" refreshedVersion="8" minRefreshableVersion="3" recordCount="129" xr:uid="{485A8418-C9E5-47D5-A56F-4B4C7296F4AF}">
  <cacheSource type="worksheet">
    <worksheetSource ref="A2:AD131" sheet="DataCube"/>
  </cacheSource>
  <cacheFields count="30">
    <cacheField name="New Region" numFmtId="0">
      <sharedItems count="4">
        <s v="2. Asia"/>
        <s v="1. Europe"/>
        <s v="4. H&amp;L"/>
        <s v="3. Americas"/>
      </sharedItems>
    </cacheField>
    <cacheField name="BU" numFmtId="0">
      <sharedItems containsMixedTypes="1" containsNumber="1" containsInteger="1" minValue="0" maxValue="0" count="41">
        <n v="0"/>
        <s v="BU Australia"/>
        <s v="BU Austria"/>
        <s v="International Health"/>
        <s v="BU Brazil"/>
        <s v="BU Canada"/>
        <s v="BU China"/>
        <s v="BU Colombia "/>
        <s v="BU Czech Republic"/>
        <s v="Nextcare"/>
        <s v="BU United Kingdom"/>
        <s v="BU France"/>
        <s v="BU Reunion"/>
        <s v="Global Office"/>
        <s v="Allianz Global Benefits"/>
        <s v="BU Germany (AHS)"/>
        <s v="BU Germany (AVS)"/>
        <s v="BU Germany (AZ Warranty)"/>
        <s v="BU Germany (MAWISTA)"/>
        <s v="BU Germany (MKS)"/>
        <s v="BU Germany (REHACARE)"/>
        <s v="BU Greece"/>
        <s v="BU Hongkong"/>
        <s v="BU India"/>
        <s v="BU Indonesia"/>
        <s v="BU Italy"/>
        <s v="Japan"/>
        <s v="Libya"/>
        <s v="BU Malaysia"/>
        <s v="BU Mexico"/>
        <s v="Netherlands"/>
        <s v="New Zealand"/>
        <s v="BU Poland"/>
        <s v="Portugal"/>
        <s v="BU Singapore"/>
        <s v="BU Spain"/>
        <s v="Multiasistencia"/>
        <s v="BU Switzerland"/>
        <s v="BU Thailand"/>
        <s v="BU Turkey"/>
        <s v="BU USA"/>
      </sharedItems>
    </cacheField>
    <cacheField name="Country" numFmtId="0">
      <sharedItems containsMixedTypes="1" containsNumber="1" containsInteger="1" minValue="0" maxValue="0" count="46">
        <n v="0"/>
        <s v="Australia"/>
        <s v="Austria"/>
        <s v="Belgium"/>
        <s v="Brazil"/>
        <s v="Bulgaria"/>
        <s v="Canada"/>
        <s v="China"/>
        <s v="Colombia "/>
        <s v="Czech Republic"/>
        <s v="Egypt"/>
        <s v="England"/>
        <s v="France"/>
        <s v="Germany"/>
        <s v="Greece"/>
        <s v="Hongkong, China"/>
        <s v="Hungary"/>
        <s v="India"/>
        <s v="Indonesia"/>
        <s v="Ireland"/>
        <s v="Italy"/>
        <s v="Japan"/>
        <s v="Kingdom of Bahrain"/>
        <s v="Kingdom of Saudi Arabia"/>
        <s v="Lebanon"/>
        <s v="Lybia"/>
        <s v="Malaysia"/>
        <s v="Mexico"/>
        <s v="Netherlands"/>
        <s v="New Zealand"/>
        <s v="Philippines"/>
        <s v="Poland"/>
        <s v="Portugal"/>
        <s v="Qatar  "/>
        <s v="Qatar  "/>
        <s v="Romania"/>
        <s v="Singapore"/>
        <s v="Spain"/>
        <s v="Sultanate of Oman"/>
        <s v="Switzerland"/>
        <s v="Thailand"/>
        <s v="Tunisia"/>
        <s v="Turkey"/>
        <s v="UAE"/>
        <s v="United Kingdom"/>
        <s v="USA"/>
      </sharedItems>
    </cacheField>
    <cacheField name="City" numFmtId="0">
      <sharedItems containsMixedTypes="1" containsNumber="1" containsInteger="1" minValue="0" maxValue="0" count="94">
        <n v="0"/>
        <s v="Brisbane"/>
        <s v="Vienna"/>
        <s v="Brussels"/>
        <s v="São Bernardo do Campo"/>
        <s v="São Bernardo do Campo "/>
        <s v="Sofia"/>
        <s v="Cambridge"/>
        <s v="Beijing "/>
        <s v="Chengdu"/>
        <s v="Shanghai "/>
        <s v="Bogota "/>
        <s v="Prague"/>
        <s v="Bratislava"/>
        <s v="New Cairo"/>
        <s v="Mokattem city "/>
        <s v="London"/>
        <s v="Chatillon"/>
        <s v="Saint Ouen"/>
        <s v="Armentières"/>
        <s v="Le Mans"/>
        <s v="Sainte-Marie, _x000a_La Réserve"/>
        <s v="Munich"/>
        <s v="Stuttgart"/>
        <s v="Berlin"/>
        <s v="Neustadt"/>
        <s v="Leipzig"/>
        <s v="Hamburg"/>
        <s v="Düsseldorf"/>
        <s v="Frankfurt"/>
        <s v="Rüsselsheim"/>
        <s v="Unterföhring"/>
        <s v="Plochingen"/>
        <s v="Nürnberg"/>
        <s v="Pulsnitz"/>
        <s v="Weinheim"/>
        <s v="Siegen"/>
        <s v="Unna"/>
        <s v="Ludwigsburg"/>
        <s v="München"/>
        <s v="Magdeburg"/>
        <s v="Bad Vilbel"/>
        <s v="Jena"/>
        <s v="Meisenheim"/>
        <s v="Thessaloniki"/>
        <s v="Athens"/>
        <s v="Hongkong"/>
        <s v="Budapest"/>
        <s v="Gurgaon, Haryana"/>
        <s v="Gurugram"/>
        <s v="Noida, Uttar Pradesh"/>
        <s v="Jakarta"/>
        <s v="Dublin"/>
        <s v="Casarano (LE)"/>
        <s v="Villanova Castenaso (BO)"/>
        <s v="Milano (MI)"/>
        <s v="Shinagawa-ku, Tokyo"/>
        <s v="Kokurakita-ku, Kitakyushu"/>
        <s v="Manama"/>
        <s v="Al Khobar  "/>
        <s v="Riyadh"/>
        <s v="Beirut"/>
        <s v="Tripoli"/>
        <s v="Kuala Lumpur"/>
        <s v="Leon"/>
        <s v="Querétaro"/>
        <s v="Ciudad de Mexico"/>
        <s v="Amsterdam"/>
        <s v="Auckland"/>
        <s v="Makati City (Manila)"/>
        <s v="Toruń"/>
        <s v="Warsaw"/>
        <s v="Doha"/>
        <s v="Doha  "/>
        <s v="Bucharest"/>
        <s v="Singapore"/>
        <s v="Madrid"/>
        <s v="Barcelona"/>
        <s v="Seville"/>
        <s v="Bilbao"/>
        <s v="Tres Cantos - Madrid"/>
        <s v="Muscat"/>
        <s v="Wallisellen "/>
        <s v="Bangkok"/>
        <s v="Tunis"/>
        <s v="Antalya"/>
        <s v="Istanbul"/>
        <s v="Dubai"/>
        <s v="JLT, Dubai, UAE"/>
        <s v="Abu Dhabi  "/>
        <s v="Birmingham"/>
        <s v="Croydon"/>
        <s v="Richmond, VA"/>
        <s v="Lakeland, FL"/>
      </sharedItems>
    </cacheField>
    <cacheField name="Postal code" numFmtId="0">
      <sharedItems containsMixedTypes="1" containsNumber="1" containsInteger="1" minValue="0" maxValue="8020005"/>
    </cacheField>
    <cacheField name="Street Address" numFmtId="0">
      <sharedItems containsMixedTypes="1" containsNumber="1" containsInteger="1" minValue="0" maxValue="0" count="113">
        <n v="0"/>
        <s v="310 Ann St "/>
        <s v="310 Ann St"/>
        <s v="Linzer Strasse 225"/>
        <s v="Allianz Tower Koning Boulevard du Roi Albert II, 32 (Albert II Laan)"/>
        <s v="Rua José Versolato, 101"/>
        <s v="Rua José Versolato, 101 (2nd contract)"/>
        <s v="16 Srebarna Str."/>
        <s v="700 Jamieson Pkwy. Cambridge"/>
        <s v="Huitong Office Park, No.1 Yaojiayuan South Road,  Chaoyang "/>
        <s v=" E zone, Tianfu Software Park,  Gaoxin District, Chengdu"/>
        <s v="Shanghai Tower, No.501 Yincheng Zhong Road, Pudong District"/>
        <s v="72b Street # 6-44"/>
        <s v="Jankovcova 1596/14B"/>
        <s v="Čajakova 18"/>
        <s v="Emerald Twin Plaza, Plot No. (6), 1st settlement, New Cairo, Cairo, Egypt_x000a_"/>
        <s v="Street 9, Plot no. 8230, Mokattam city, Cairo"/>
        <s v="15 Bishopsgate, London, EC2"/>
        <s v="79-81 Rue Pierre Semard"/>
        <s v="151 Boulevard Victor Hugo_x000a_"/>
        <s v="85 Quai de Beauvais"/>
        <s v="Chemin aux bœuf &amp; les Hunaudières"/>
        <s v="7 rue Dora Maar "/>
        <s v="32 rue du Général de Gaulle"/>
        <s v="7rue Dora Maar_x000a_"/>
        <s v="Seidlstrasse 24-24a"/>
        <s v="Uhlandstrasse 2"/>
        <s v="Albert-Einstein-Strasse 1a"/>
        <s v="Maximilianstr. 5"/>
        <s v="Springerstrasse 25"/>
        <s v="Kapstadtring 2"/>
        <s v="Heßbrühlstraße 2"/>
        <s v="Heltorfer Strasse 4"/>
        <s v="Herriotstraße 1"/>
        <s v="Ferdinand-Stuttmann-Str. 10"/>
        <s v="Beta-Str. 13"/>
        <s v="Esslinger Str. 83"/>
        <s v="Deutschherrnstraße 15-19"/>
        <s v="Karl-Grillenberger-Str. 1"/>
        <s v="Robert-Koch-Straße 9"/>
        <s v="Hildastr. 10"/>
        <s v="Weidenauer Str. 167a"/>
        <s v="Max-Planck-Str. 7"/>
        <s v="Voithstr. 4"/>
        <s v="Kapuzinerstraße 9D"/>
        <s v="Otto-von-Guericke-Straße 87a"/>
        <s v="Frankfurter Str. 40"/>
        <s v="Stormsweg 3"/>
        <s v="Dornburger Str. 161"/>
        <s v="Marktgasse 7b"/>
        <s v="Atelierstrasse 14"/>
        <s v="17km Poligirou, Thermi"/>
        <s v="10 Premetis Str."/>
        <s v="370 Vouliagmenis Av"/>
        <s v="3 Premetis Str."/>
        <s v="12 Taikoo Wan Road, Taikoo Shing"/>
        <s v="Könyves Kalman krt. 48-52"/>
        <s v="Unit No. 601-620 And 701-724, Spaze Business Park, Sec - 66"/>
        <s v="International Tech Park Gurgaon, Block-1, 8th Floor | IT/ITES SEZ, Village Behrampur, Near Sector 59_x000a_Gurugram 122101 Haryana | India "/>
        <s v="11th Floor, Tower -03, Candor Techspace IT Park, Plot No. B-2, Sector 62, Noida "/>
        <s v=" DLF Square, M- Block, Jacaranda Marg, DLF City Phase-2"/>
        <s v="Gedung World Trade Centre, 6 Lantai 3A, JL Jenoral Sudirman Kavling 29-21 Karet Setiabudi Kota Adm, Jakarta Selantan Dki Jakarta"/>
        <s v="Building 12 B_x000a_Joyce Way, Park West Business Campus, Nangor Road,"/>
        <s v="Building 15_x000a_Joyce Way, Park West Business Campus, Nangor Road, "/>
        <s v="Building 11 B_x000a_Joyce Way, Park West Business Campus, Nangor Road, "/>
        <s v="Building 12 A_x000a_Joyce Way, Park West Business Campus, Nangor Road, "/>
        <s v="Building 11 A_x000a_Joyce Way, Park West Business Campus, Nangor Road,_x000a_"/>
        <s v="Z.I. Tronco I"/>
        <s v="Largo Pederzana, 16"/>
        <s v="Via Oglio, 12"/>
        <s v="4-12-8, Higashishinagawa"/>
        <s v="2-3-20, Sakaimach"/>
        <s v="Exhibition Tower, Building No. 614, Road No. 1011, Block No. 410, Sanabis"/>
        <s v="Al Khobar Al Janubiyah, 1st Floor Al Rabiah &amp; Nassar Building"/>
        <s v="Al Immam Saud Ibn Abdul Aziz Rd.Riyadh office, Riyadh - Al Nakhil - Building no. 5288 B- Building "/>
        <s v="Nextcare Bldg.,Father Naamtallah Kahale Street, Saloumi, Sin El Fil"/>
        <s v="Mkaless office, Mkaless 691 Bldg, GF"/>
        <s v="0011 Madlien Office, _x000a_Al Nofflieen, Taqsim Ben Zaglam"/>
        <s v="UOA Centre  ·  No. 19 Jalan Pinang, 50450 Kuala Lumpur  ·  Malaysia (2nd contract)"/>
        <s v="UOA Centre  ·  No. 19 Jalan Pinang, 50450 Kuala Lumpur  ·  Malaysia"/>
        <s v="Nodus Busines Center, Plaza Stadium, Boulevard Adolfo Lopez Mateos, # 1702, Col. Parque Manzanares, CP 37510 floor 4, León Guanajuato"/>
        <s v="Avenida Universidad No. 370 (Business center)  Col. La piedad CP. Delegación Municipal Centro Histórico. Santiago de Querétaro, Querétaro. PLAZA UBIKA"/>
        <s v="Av. Insurgentes Sur 1602, Crédito Constructor, Benito Juárez, 03940 Ciudad de México, CDMX, México CITIBUILDING"/>
        <s v="Poeldijkstraat 4"/>
        <s v="1 Byron Avenue, Takapuna"/>
        <s v="9th floor, _x000a_Allied Bank Center, _x000a_6754 Ayala Avenue Corner_x000a_Legaspi Street, _x000a_Makati City, _x000a_Philippines"/>
        <s v="ulica Tadeusza Kościuszki 71"/>
        <s v="Konstruktorska 12"/>
        <s v="Edificio Miraflores Premium III, Rua Miguel Serrano, 7, pisos 4 e 5_x000a_1495-173 Algés"/>
        <s v="Al Jaidah Square Business Centre 63 Airport Road, Umm Ghuwailina- Zone 27 "/>
        <s v="Allianz Partners Office 604C , Jaidah Square Building 63 Airport Road "/>
        <s v="Globalworth Campus, C Building · 2-4, Ing. George Constantinescu _x000a_11th floor, 2nd District"/>
        <s v="79 Robinson Road #09-01, Singapore 068897"/>
        <s v="Calle Ramirez de Arellano 35"/>
        <s v="Roger de Lluria, 50 : Locales A y B"/>
        <s v="Avda.San Francisco Javier nº 15, planta 2ª modulos B y C"/>
        <s v="Calle Barroeta Aldamar 6, 2ªplanta mano DI - Bilbao"/>
        <s v="Ronda de Poniente, 7 "/>
        <s v="Bldg. no. 1022, Way 1013, Block 210,  OLD EY  Building, Qurum PO Box 548, PC115 "/>
        <s v="Richtiplatz 1, _x000a_8304 Wallisellen_x000a_Switzerland"/>
        <s v="7th Floor, City Link Tower, 1091/335 Soi Petchburi 35 _x000a_New Petchburi Road, Makkasan, Rajathevi, Bangkok 10400 Thailand"/>
        <s v="825 Bangna-Trad Road, Bangna, Bangna, Bangkok  10260"/>
        <s v="3 Rue du Docteur Burnet, "/>
        <s v="Uncalı Mahallesi Toroslar Cad. City Life-2 Sitesi N:76 E Blok Daire No:101 I "/>
        <s v="Altunizade Mahallesi · Kısıklı Caddesi · No: 47 · 34662 Üsküdar"/>
        <s v="Boulevard Limited Building, EIFFEL - 2 Sheikh Zayed Rd"/>
        <s v="Vakson Building 2 Next to Metropolitan Hotel, Sheikh Zayed Road"/>
        <s v="B1 4207 AND 4208, Mazayya Business Avenue"/>
        <s v="Sakeena Nest Building Al Nahyan Area (mobile street) Close to Burjeel Hospital"/>
        <s v="7 Hill Street, Centre City"/>
        <s v="102 George Street"/>
        <s v="9950 Mayland Drive"/>
        <s v="3111 West Pipken Road"/>
      </sharedItems>
    </cacheField>
    <cacheField name="Rental/Owned/_x000a_Sublease" numFmtId="0">
      <sharedItems containsMixedTypes="1" containsNumber="1" containsInteger="1" minValue="0" maxValue="0"/>
    </cacheField>
    <cacheField name="Location unique ID" numFmtId="0">
      <sharedItems containsMixedTypes="1" containsNumber="1" containsInteger="1" minValue="0" maxValue="0"/>
    </cacheField>
    <cacheField name="Located at AZ entity (Yes/No)" numFmtId="0">
      <sharedItems containsMixedTypes="1" containsNumber="1" containsInteger="1" minValue="0" maxValue="0"/>
    </cacheField>
    <cacheField name="Unit description" numFmtId="0">
      <sharedItems containsMixedTypes="1" containsNumber="1" containsInteger="1" minValue="0" maxValue="0"/>
    </cacheField>
    <cacheField name="Size (m²or Ft)" numFmtId="0">
      <sharedItems containsMixedTypes="1" containsNumber="1" minValue="0" maxValue="12407"/>
    </cacheField>
    <cacheField name="Currency code" numFmtId="0">
      <sharedItems containsMixedTypes="1" containsNumber="1" containsInteger="1" minValue="0" maxValue="0"/>
    </cacheField>
    <cacheField name="Rental Cost/m²" numFmtId="0">
      <sharedItems containsMixedTypes="1" containsNumber="1" minValue="0" maxValue="1740000"/>
    </cacheField>
    <cacheField name="Indexation" numFmtId="0">
      <sharedItems containsMixedTypes="1" containsNumber="1" minValue="0" maxValue="0.09" longText="1"/>
    </cacheField>
    <cacheField name="Rental Cost" numFmtId="0">
      <sharedItems containsBlank="1" containsMixedTypes="1" containsNumber="1" minValue="0" maxValue="45280800"/>
    </cacheField>
    <cacheField name="Facility Costs" numFmtId="0">
      <sharedItems containsMixedTypes="1" containsNumber="1" minValue="0" maxValue="1416000"/>
    </cacheField>
    <cacheField name="# of Employees" numFmtId="0">
      <sharedItems containsBlank="1" containsMixedTypes="1" containsNumber="1" containsInteger="1" minValue="0" maxValue="1425"/>
    </cacheField>
    <cacheField name="# of workstation" numFmtId="0">
      <sharedItems containsBlank="1" containsMixedTypes="1" containsNumber="1" containsInteger="1" minValue="0" maxValue="1020"/>
    </cacheField>
    <cacheField name="Ratio workstation/ employee" numFmtId="10">
      <sharedItems containsMixedTypes="1" containsNumber="1" minValue="0" maxValue="2.9090909090909092"/>
    </cacheField>
    <cacheField name="sqm/workstation" numFmtId="3">
      <sharedItems containsMixedTypes="1" containsNumber="1" minValue="3.6629213483146068" maxValue="42.222222222222221"/>
    </cacheField>
    <cacheField name="sqm/employee" numFmtId="2">
      <sharedItems containsMixedTypes="1" containsNumber="1" minValue="0.20833333333333334" maxValue="54.285714285714285"/>
    </cacheField>
    <cacheField name="Lease Start Date" numFmtId="0">
      <sharedItems containsDate="1" containsBlank="1" containsMixedTypes="1" minDate="1899-12-30T00:00:00" maxDate="2026-01-16T00:00:00"/>
    </cacheField>
    <cacheField name="Lease End Date" numFmtId="0">
      <sharedItems containsDate="1" containsMixedTypes="1" minDate="1899-12-30T00:00:00" maxDate="2038-06-30T00:00:00" count="82">
        <d v="1899-12-30T00:00:00"/>
        <d v="2029-08-31T00:00:00"/>
        <d v="2027-06-30T00:00:00"/>
        <d v="2030-06-01T00:00:00"/>
        <d v="2029-03-31T00:00:00"/>
        <d v="2026-07-31T00:00:00"/>
        <d v="2026-12-31T00:00:00"/>
        <d v="2031-06-30T00:00:00"/>
        <d v="2034-03-30T00:00:00"/>
        <d v="2034-04-24T00:00:00"/>
        <d v="2027-01-09T00:00:00"/>
        <d v="2028-06-30T00:00:00"/>
        <d v="2027-09-14T00:00:00"/>
        <d v="2027-03-31T00:00:00"/>
        <d v="2027-07-31T00:00:00"/>
        <s v="Indefinite"/>
        <d v="2032-05-31T00:00:00"/>
        <d v="2026-11-30T00:00:00"/>
        <d v="2026-10-30T00:00:00"/>
        <s v="1 year approval"/>
        <d v="2026-09-30T00:00:00"/>
        <d v="2028-09-30T00:00:00"/>
        <d v="2029-02-28T00:00:00"/>
        <d v="2034-04-30T00:00:00"/>
        <d v="2028-12-31T00:00:00"/>
        <d v="2032-02-29T00:00:00"/>
        <d v="2032-10-31T00:00:00"/>
        <d v="2033-04-04T00:00:00"/>
        <d v="2033-11-30T00:00:00"/>
        <d v="2026-05-15T00:00:00"/>
        <d v="2029-01-31T00:00:00"/>
        <d v="2029-11-30T00:00:00"/>
        <s v="undetermined"/>
        <d v="2026-10-31T00:00:00"/>
        <d v="2026-03-31T00:00:00"/>
        <d v="2026-04-30T00:00:00"/>
        <d v="2027-12-31T00:00:00"/>
        <d v="2027-04-14T00:00:00"/>
        <d v="2028-02-13T00:00:00"/>
        <d v="2030-01-31T00:00:00"/>
        <d v="2028-06-14T00:00:00"/>
        <d v="2031-04-30T00:00:00"/>
        <s v="N/A"/>
        <s v="open end"/>
        <d v="2030-12-31T00:00:00"/>
        <d v="2034-02-28T00:00:00"/>
        <d v="2038-06-29T00:00:00"/>
        <d v="2027-09-30T00:00:00"/>
        <d v="2026-02-28T00:00:00"/>
        <d v="2027-05-31T00:00:00"/>
        <s v="No"/>
        <d v="2025-12-31T00:00:00"/>
        <d v="2026-06-07T00:00:00"/>
        <d v="2032-01-15T00:00:00"/>
        <d v="2031-12-31T00:00:00"/>
        <d v="2032-12-31T00:00:00"/>
        <d v="2030-10-12T00:00:00"/>
        <d v="2027-03-15T00:00:00"/>
        <d v="2030-04-30T00:00:00"/>
        <d v="2028-04-30T00:00:00"/>
        <d v="2030-07-31T00:00:00"/>
        <s v="4/12/2026 (As per meeting 1/27/2026, PNB life will extend he contract up until this date. Initilayy, beyond 4/13/2026 , the contract will be named to AZ Partners PH"/>
        <d v="2029-12-31T00:00:00"/>
        <d v="2027-11-30T00:00:00"/>
        <d v="2035-10-31T00:00:00"/>
        <d v="2026-05-31T00:00:00"/>
        <d v="2028-01-18T00:00:00"/>
        <d v="2027-01-14T00:00:00"/>
        <d v="2026-04-04T00:00:00"/>
        <d v="2026-10-15T00:00:00"/>
        <d v="2026-11-15T00:00:00"/>
        <d v="2031-07-31T00:00:00"/>
        <d v="2026-08-14T00:00:00"/>
        <s v="Undetermined (Automatically Renewed)"/>
        <d v="2027-06-01T00:00:00"/>
        <s v="No "/>
        <d v="2027-09-19T00:00:00"/>
        <d v="2028-02-28T00:00:00"/>
        <d v="2027-11-18T00:00:00"/>
        <d v="2031-11-13T00:00:00"/>
        <d v="2034-05-31T00:00:00"/>
        <s v="Can be cacelled on a monthly basis"/>
      </sharedItems>
    </cacheField>
    <cacheField name="Next Break Date" numFmtId="0">
      <sharedItems containsDate="1" containsMixedTypes="1" minDate="1899-12-31T00:00:00" maxDate="2034-12-25T00:00:00"/>
    </cacheField>
    <cacheField name="Sublease Contract in Place (Yes/No)" numFmtId="0">
      <sharedItems containsMixedTypes="1" containsNumber="1" containsInteger="1" minValue="0" maxValue="0"/>
    </cacheField>
    <cacheField name="Renewable energy? Yes/No" numFmtId="0">
      <sharedItems containsBlank="1" containsMixedTypes="1" containsNumber="1" containsInteger="1" minValue="0" maxValue="0"/>
    </cacheField>
    <cacheField name="Sustainability Certification" numFmtId="0">
      <sharedItems containsBlank="1" containsMixedTypes="1" containsNumber="1" containsInteger="1" minValue="0" maxValue="0"/>
    </cacheField>
    <cacheField name="CRE &amp; FM Function" numFmtId="0">
      <sharedItems containsBlank="1" containsMixedTypes="1" containsNumber="1" containsInteger="1" minValue="0" maxValue="0"/>
    </cacheField>
    <cacheField name="Last update" numFmtId="0">
      <sharedItems containsDate="1" containsBlank="1" containsMixedTypes="1" minDate="1899-12-31T00:00:00" maxDate="2026-02-11T00:00:00"/>
    </cacheField>
    <cacheField name="Lease Note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x v="0"/>
    <x v="0"/>
    <x v="0"/>
    <x v="0"/>
    <n v="0"/>
    <x v="0"/>
    <n v="0"/>
    <n v="0"/>
    <n v="0"/>
    <n v="0"/>
    <n v="0"/>
    <n v="0"/>
    <n v="0"/>
    <n v="0"/>
    <n v="0"/>
    <n v="0"/>
    <n v="0"/>
    <n v="0"/>
    <e v="#DIV/0!"/>
    <e v="#DIV/0!"/>
    <e v="#DIV/0!"/>
    <d v="1899-12-30T00:00:00"/>
    <x v="0"/>
    <d v="1899-12-30T00:00:00"/>
    <n v="0"/>
    <n v="0"/>
    <n v="0"/>
    <n v="0"/>
    <d v="2026-02-05T00:00:00"/>
    <m/>
  </r>
  <r>
    <x v="0"/>
    <x v="1"/>
    <x v="1"/>
    <x v="1"/>
    <n v="4000"/>
    <x v="1"/>
    <s v="Rental"/>
    <s v="AU01"/>
    <s v="No"/>
    <s v="Levels 12-18"/>
    <n v="7993"/>
    <s v="AUD"/>
    <n v="805.4"/>
    <s v="3.75% per annum on anniversary date "/>
    <m/>
    <n v="731245"/>
    <n v="619"/>
    <n v="386"/>
    <n v="0.62358642972536349"/>
    <n v="20.707253886010363"/>
    <n v="12.91276252019386"/>
    <d v="2019-02-01T00:00:00"/>
    <x v="1"/>
    <d v="2029-08-31T00:00:00"/>
    <s v="Yes"/>
    <s v="No"/>
    <s v="Yes- NABERS 5.5 star energy rating &amp; working on NABERS rating for waste"/>
    <s v="sbishop@allianz-assistance.com.au"/>
    <n v="0"/>
    <m/>
  </r>
  <r>
    <x v="0"/>
    <x v="1"/>
    <x v="1"/>
    <x v="1"/>
    <n v="4000"/>
    <x v="2"/>
    <s v="Rental"/>
    <s v="AU01"/>
    <s v="No"/>
    <s v="Levels 12-14"/>
    <n v="3441"/>
    <s v="AUD"/>
    <s v="$565/ sqm Less incentive of $88.25 / sqm_x000a_Net rent $476.75"/>
    <s v="3.75% per annum on anniversary date "/>
    <n v="0"/>
    <s v="Base building charges recovered from sub tenant of $98,000 per yr plus a proportion of some of the direct vendor costs that relate to the maintenance of the tenancy"/>
    <m/>
    <m/>
    <e v="#DIV/0!"/>
    <e v="#DIV/0!"/>
    <e v="#DIV/0!"/>
    <d v="2022-07-01T00:00:00"/>
    <x v="2"/>
    <d v="2027-06-30T00:00:00"/>
    <s v="subleaser"/>
    <m/>
    <m/>
    <m/>
    <n v="0"/>
    <m/>
  </r>
  <r>
    <x v="1"/>
    <x v="2"/>
    <x v="2"/>
    <x v="2"/>
    <n v="1140"/>
    <x v="3"/>
    <s v="Rental"/>
    <s v="AT01"/>
    <s v="Yes"/>
    <s v="3rd floor"/>
    <n v="890"/>
    <s v="EUR"/>
    <s v="16,80/m²"/>
    <s v="CPI"/>
    <n v="0"/>
    <n v="173.39999999999998"/>
    <n v="220"/>
    <n v="87"/>
    <n v="0.39545454545454545"/>
    <n v="10.229885057471265"/>
    <n v="4.0454545454545459"/>
    <d v="2023-12-01T00:00:00"/>
    <x v="3"/>
    <d v="2024-06-01T00:00:00"/>
    <s v="No"/>
    <s v="Yes"/>
    <s v="No"/>
    <n v="0"/>
    <d v="2025-09-19T00:00:00"/>
    <m/>
  </r>
  <r>
    <x v="2"/>
    <x v="3"/>
    <x v="3"/>
    <x v="3"/>
    <n v="1000"/>
    <x v="4"/>
    <s v="Rental"/>
    <s v="BE01"/>
    <s v="Yes"/>
    <s v="4th floor &amp; 50% of the 5th floor"/>
    <n v="1658"/>
    <s v="EUR"/>
    <n v="373"/>
    <s v="app. 3%"/>
    <n v="618434"/>
    <n v="259"/>
    <n v="222"/>
    <n v="142"/>
    <n v="0.63963963963963966"/>
    <n v="11.67605633802817"/>
    <n v="7.4684684684684681"/>
    <d v="2020-04-01T00:00:00"/>
    <x v="4"/>
    <d v="2029-03-31T00:00:00"/>
    <s v="No"/>
    <s v="Yes"/>
    <s v="Unknown"/>
    <n v="0"/>
    <d v="2026-02-17T00:00:00"/>
    <m/>
  </r>
  <r>
    <x v="3"/>
    <x v="4"/>
    <x v="4"/>
    <x v="4"/>
    <s v="09751-020"/>
    <x v="5"/>
    <s v="Rental"/>
    <s v="BR01"/>
    <s v="No"/>
    <s v="5th, 6th, 8th and 9th floor  "/>
    <n v="3256"/>
    <s v="BRL"/>
    <n v="577"/>
    <n v="0.09"/>
    <n v="0"/>
    <n v="114"/>
    <n v="1300"/>
    <n v="752"/>
    <n v="0.57846153846153847"/>
    <n v="4.3297872340425529"/>
    <n v="2.5046153846153847"/>
    <d v="2016-09-01T00:00:00"/>
    <x v="5"/>
    <d v="2016-07-31T00:00:00"/>
    <s v="N/A"/>
    <s v="No"/>
    <s v="No"/>
    <n v="0"/>
    <d v="2025-10-31T00:00:00"/>
    <m/>
  </r>
  <r>
    <x v="3"/>
    <x v="4"/>
    <x v="4"/>
    <x v="5"/>
    <s v="09751-020"/>
    <x v="6"/>
    <s v="Rental"/>
    <s v="BR01"/>
    <s v="No"/>
    <s v="50% of the 6th floor"/>
    <n v="711"/>
    <s v="BRL"/>
    <n v="600"/>
    <n v="0.09"/>
    <n v="0"/>
    <n v="21"/>
    <n v="200"/>
    <n v="154"/>
    <n v="0.77"/>
    <n v="4.616883116883117"/>
    <n v="3.5550000000000002"/>
    <d v="2023-01-01T00:00:00"/>
    <x v="6"/>
    <d v="2026-12-31T00:00:00"/>
    <s v="N/A"/>
    <s v="No"/>
    <s v="No"/>
    <n v="0"/>
    <n v="0"/>
    <m/>
  </r>
  <r>
    <x v="1"/>
    <x v="2"/>
    <x v="5"/>
    <x v="6"/>
    <n v="1407"/>
    <x v="7"/>
    <s v="Rental"/>
    <s v="BU01"/>
    <s v="No"/>
    <s v="part of a floor"/>
    <n v="45.77"/>
    <s v="EUR"/>
    <n v="156"/>
    <s v="CPI"/>
    <n v="0"/>
    <n v="53.6"/>
    <n v="6"/>
    <n v="6"/>
    <n v="1"/>
    <n v="7.6283333333333339"/>
    <n v="7.6283333333333339"/>
    <d v="2021-07-01T00:00:00"/>
    <x v="7"/>
    <d v="2031-06-30T00:00:00"/>
    <s v="No"/>
    <s v="No"/>
    <s v="No"/>
    <n v="0"/>
    <d v="2025-09-19T00:00:00"/>
    <m/>
  </r>
  <r>
    <x v="3"/>
    <x v="5"/>
    <x v="6"/>
    <x v="7"/>
    <s v="N3C 4N6"/>
    <x v="8"/>
    <s v="Sublease"/>
    <s v="CA01"/>
    <n v="0"/>
    <n v="0"/>
    <n v="3376.4666320000001"/>
    <s v="CAD"/>
    <n v="17"/>
    <s v="Year 1-5 - $17.00_x000a_Year 6-10 - $18.00_x000a_Year 11-14 - $19.00"/>
    <n v="0"/>
    <n v="0"/>
    <n v="0"/>
    <n v="0"/>
    <e v="#DIV/0!"/>
    <e v="#DIV/0!"/>
    <e v="#DIV/0!"/>
    <d v="2020-09-01T00:00:00"/>
    <x v="8"/>
    <s v="N/A"/>
    <s v="Sublet: Superior Propane Aug 01/20-Mar 30/34"/>
    <n v="0"/>
    <n v="0"/>
    <n v="0"/>
    <n v="0"/>
    <m/>
  </r>
  <r>
    <x v="3"/>
    <x v="5"/>
    <x v="6"/>
    <x v="7"/>
    <s v="N3C 4N6"/>
    <x v="8"/>
    <s v="Sublease"/>
    <s v="CA01"/>
    <n v="0"/>
    <n v="0"/>
    <n v="2319.3233949999999"/>
    <s v="CAD"/>
    <n v="18.5"/>
    <s v="Year 1-4 - $18.50_x000a_Year 5-8- $19.50_x000a_Year 9-11 - $20.50"/>
    <n v="0"/>
    <n v="0"/>
    <n v="0"/>
    <n v="0"/>
    <e v="#DIV/0!"/>
    <e v="#DIV/0!"/>
    <e v="#DIV/0!"/>
    <d v="2023-06-01T00:00:00"/>
    <x v="8"/>
    <s v="N/A"/>
    <s v="2nd Sublet: Reeds Heritage Homes(no details at this time)"/>
    <n v="0"/>
    <n v="0"/>
    <n v="0"/>
    <n v="0"/>
    <m/>
  </r>
  <r>
    <x v="3"/>
    <x v="5"/>
    <x v="6"/>
    <x v="7"/>
    <s v="N3C 4N6"/>
    <x v="8"/>
    <s v="Rental"/>
    <s v="CA01"/>
    <s v="No"/>
    <s v="Single story unattached office dwelling"/>
    <n v="10334.715526"/>
    <s v="CAD"/>
    <n v="17.5"/>
    <s v="Year 1-5 - $17.50_x000a_Year 6-10 - $19.35_x000a_Year 11-15- $21.35"/>
    <n v="0"/>
    <n v="20.559077747758415"/>
    <n v="668"/>
    <n v="420"/>
    <n v="0.62874251497005984"/>
    <n v="24.60646553809524"/>
    <n v="15.471131026946107"/>
    <d v="2018-12-25T00:00:00"/>
    <x v="9"/>
    <d v="2034-12-24T00:00:00"/>
    <s v="Yes"/>
    <s v="Yes"/>
    <s v="LEED Silver"/>
    <n v="0"/>
    <d v="2025-10-31T00:00:00"/>
    <m/>
  </r>
  <r>
    <x v="0"/>
    <x v="6"/>
    <x v="7"/>
    <x v="8"/>
    <n v="100123"/>
    <x v="9"/>
    <s v="Rental"/>
    <s v="CN01"/>
    <s v="No"/>
    <s v="A Zone, Building 7#_x000a_Floor 3-5"/>
    <n v="2845"/>
    <s v="CNY"/>
    <n v="1766.6"/>
    <n v="0"/>
    <n v="0"/>
    <n v="837.86"/>
    <n v="319"/>
    <n v="303"/>
    <n v="0.94984326018808773"/>
    <n v="9.3894389438943886"/>
    <n v="8.9184952978056433"/>
    <d v="2024-01-10T00:00:00"/>
    <x v="10"/>
    <d v="2026-01-09T00:00:00"/>
    <s v="-"/>
    <s v="N"/>
    <s v="No"/>
    <n v="0"/>
    <d v="1899-12-30T00:00:00"/>
    <m/>
  </r>
  <r>
    <x v="0"/>
    <x v="6"/>
    <x v="7"/>
    <x v="9"/>
    <n v="610041"/>
    <x v="10"/>
    <s v="Rental"/>
    <s v="CN02"/>
    <s v="No"/>
    <s v="9F, Tower  E2"/>
    <n v="2197"/>
    <s v="CNY"/>
    <n v="840"/>
    <n v="0"/>
    <n v="0"/>
    <n v="624.35320892130005"/>
    <n v="256"/>
    <n v="398"/>
    <n v="1.5546875"/>
    <n v="5.5201005025125625"/>
    <n v="8.58203125"/>
    <d v="2023-11-16T00:00:00"/>
    <x v="11"/>
    <d v="2025-12-31T00:00:00"/>
    <s v="-"/>
    <s v="N "/>
    <s v="No"/>
    <n v="0"/>
    <d v="1899-12-30T00:00:00"/>
    <m/>
  </r>
  <r>
    <x v="0"/>
    <x v="6"/>
    <x v="7"/>
    <x v="10"/>
    <n v="200120"/>
    <x v="11"/>
    <s v="Rental"/>
    <s v="CN03"/>
    <s v="No"/>
    <s v="Unit 1401"/>
    <n v="550.16"/>
    <s v="CNY"/>
    <n v="3650.04"/>
    <n v="0"/>
    <n v="0"/>
    <n v="1231.5327272727"/>
    <n v="37"/>
    <n v="52"/>
    <n v="1.4054054054054055"/>
    <n v="10.58"/>
    <n v="14.869189189189189"/>
    <d v="2017-08-28T00:00:00"/>
    <x v="12"/>
    <d v="2025-10-10T00:00:00"/>
    <s v="-"/>
    <s v="N "/>
    <s v="No"/>
    <n v="0"/>
    <n v="0"/>
    <m/>
  </r>
  <r>
    <x v="3"/>
    <x v="7"/>
    <x v="8"/>
    <x v="11"/>
    <n v="110110"/>
    <x v="12"/>
    <s v="Rental"/>
    <s v="CO01"/>
    <s v="Yes "/>
    <s v="Location from floor 2 to floor 4"/>
    <n v="863.93000000000006"/>
    <s v="COP "/>
    <n v="475787.52000000002"/>
    <s v="IPC (CPI)"/>
    <n v="0"/>
    <n v="266162.49348905578"/>
    <n v="136"/>
    <n v="116"/>
    <n v="0.8529411764705882"/>
    <n v="7.4476724137931036"/>
    <n v="6.3524264705882354"/>
    <d v="2022-04-01T00:00:00"/>
    <x v="13"/>
    <d v="2026-03-31T00:00:00"/>
    <s v="No "/>
    <s v="No"/>
    <s v="No"/>
    <n v="0"/>
    <d v="2025-10-31T00:00:00"/>
    <m/>
  </r>
  <r>
    <x v="1"/>
    <x v="8"/>
    <x v="9"/>
    <x v="12"/>
    <s v="170 00"/>
    <x v="13"/>
    <s v="Rental"/>
    <s v="CZ01"/>
    <s v="No"/>
    <s v="2nd floor in new constructed bulding "/>
    <n v="1293.19"/>
    <s v="CZK/EUR"/>
    <n v="144"/>
    <s v="indexation only for the price per offices - for 2025 = 2,5%"/>
    <n v="0"/>
    <n v="90855.8"/>
    <n v="171"/>
    <n v="126"/>
    <n v="0.73684210526315785"/>
    <n v="10.263412698412699"/>
    <n v="7.5625146198830411"/>
    <d v="2010-02-01T00:00:00"/>
    <x v="14"/>
    <d v="2025-08-31T00:00:00"/>
    <s v="No"/>
    <s v="No"/>
    <s v="No"/>
    <n v="0"/>
    <d v="2025-09-25T00:00:00"/>
    <m/>
  </r>
  <r>
    <x v="1"/>
    <x v="8"/>
    <x v="9"/>
    <x v="13"/>
    <s v="811 05"/>
    <x v="14"/>
    <s v="Rental"/>
    <s v="CZ02"/>
    <s v="No"/>
    <s v="2nd floor old bulding, downtown of the city"/>
    <n v="74"/>
    <s v="EUR"/>
    <n v="168"/>
    <s v="no indexation"/>
    <n v="0"/>
    <n v="50.4"/>
    <n v="5"/>
    <n v="6"/>
    <n v="1.2"/>
    <n v="12.333333333333334"/>
    <n v="14.8"/>
    <d v="2003-02-17T00:00:00"/>
    <x v="15"/>
    <s v="3 months notice at any given time"/>
    <s v="No"/>
    <s v="No"/>
    <s v="No"/>
    <n v="0"/>
    <d v="1899-12-30T00:00:00"/>
    <m/>
  </r>
  <r>
    <x v="2"/>
    <x v="9"/>
    <x v="10"/>
    <x v="14"/>
    <s v="N/A"/>
    <x v="15"/>
    <s v="Rental"/>
    <s v="EG01"/>
    <s v="No"/>
    <s v="2nd floor_x000a_"/>
    <n v="5380"/>
    <s v="EGP"/>
    <n v="4898.88"/>
    <s v="8% annual"/>
    <n v="26355974.400000002"/>
    <n v="1554.8203717472118"/>
    <n v="1251"/>
    <n v="769"/>
    <n v="0.61470823341326941"/>
    <n v="6.9960988296488944"/>
    <n v="4.3005595523581137"/>
    <d v="2023-06-01T00:00:00"/>
    <x v="16"/>
    <d v="2032-05-31T00:00:00"/>
    <s v="No"/>
    <s v="N/A"/>
    <s v="No"/>
    <s v="Ismail Abdelfatah /Amal Evram"/>
    <d v="2026-01-20T00:00:00"/>
    <m/>
  </r>
  <r>
    <x v="2"/>
    <x v="9"/>
    <x v="10"/>
    <x v="14"/>
    <s v="N/A"/>
    <x v="15"/>
    <s v="Rental"/>
    <s v="EG01"/>
    <s v="No"/>
    <s v="M1"/>
    <n v="130"/>
    <s v="EGP"/>
    <n v="9000"/>
    <s v="NA"/>
    <n v="1170000"/>
    <n v="0"/>
    <n v="0"/>
    <n v="0"/>
    <e v="#DIV/0!"/>
    <e v="#DIV/0!"/>
    <e v="#DIV/0!"/>
    <d v="2023-12-01T00:00:00"/>
    <x v="17"/>
    <d v="2026-11-30T00:00:00"/>
    <s v="No "/>
    <s v="No"/>
    <s v="No"/>
    <s v="Ismail Abdelfatah /Amal Evram"/>
    <n v="0"/>
    <m/>
  </r>
  <r>
    <x v="2"/>
    <x v="9"/>
    <x v="10"/>
    <x v="15"/>
    <s v="N/A"/>
    <x v="16"/>
    <s v="Rental"/>
    <s v="EG02"/>
    <s v="No"/>
    <s v="ground floor "/>
    <n v="37.159999999999997"/>
    <s v="EGP"/>
    <n v="8073.1969860064592"/>
    <s v="10% Annual"/>
    <n v="300000"/>
    <n v="0"/>
    <n v="0"/>
    <n v="0"/>
    <e v="#DIV/0!"/>
    <e v="#DIV/0!"/>
    <e v="#DIV/0!"/>
    <d v="2021-11-01T00:00:00"/>
    <x v="18"/>
    <d v="2026-10-30T00:00:00"/>
    <s v="No"/>
    <s v="No"/>
    <s v="No"/>
    <s v="Ismail Abdelfatah /Amal Evram"/>
    <n v="0"/>
    <m/>
  </r>
  <r>
    <x v="1"/>
    <x v="10"/>
    <x v="11"/>
    <x v="16"/>
    <s v="EC2"/>
    <x v="17"/>
    <s v="Sublease"/>
    <n v="0"/>
    <s v="Y"/>
    <s v="7 desks - hotdesking for sales and pricing"/>
    <s v="7 desks"/>
    <s v="Stg"/>
    <s v="140k approx"/>
    <s v="Advised by Az Mgt Serv annaully"/>
    <s v="20k per desk p/a. Final figures to be advised"/>
    <s v="Included in cost per desk"/>
    <s v="27 currently"/>
    <n v="0"/>
    <e v="#VALUE!"/>
    <e v="#VALUE!"/>
    <e v="#VALUE!"/>
    <s v="Nov 25 approx"/>
    <x v="19"/>
    <s v="We have 1 year rolling approval"/>
    <s v="Once signed it will be provided"/>
    <s v="Yes "/>
    <s v="Unknown"/>
    <s v="International Health"/>
    <n v="0"/>
    <m/>
  </r>
  <r>
    <x v="1"/>
    <x v="11"/>
    <x v="12"/>
    <x v="17"/>
    <n v="92320"/>
    <x v="18"/>
    <s v="Rental"/>
    <s v="FR05"/>
    <s v="No"/>
    <s v="Ground, 1st and 2nd Floor"/>
    <n v="1269"/>
    <s v="EUR"/>
    <n v="308.12"/>
    <s v="yearly ILAT "/>
    <n v="0"/>
    <n v="195000"/>
    <n v="99"/>
    <n v="117"/>
    <n v="1.1818181818181819"/>
    <n v="10.846153846153847"/>
    <n v="12.818181818181818"/>
    <d v="2017-10-01T00:00:00"/>
    <x v="20"/>
    <d v="2026-09-30T00:00:00"/>
    <s v="No"/>
    <s v="No"/>
    <s v="No"/>
    <n v="0"/>
    <n v="0"/>
    <m/>
  </r>
  <r>
    <x v="1"/>
    <x v="11"/>
    <x v="12"/>
    <x v="18"/>
    <n v="93400"/>
    <x v="19"/>
    <s v="Rental"/>
    <s v="FR03"/>
    <s v="No"/>
    <s v="3rd floor"/>
    <n v="2127"/>
    <s v="EUR"/>
    <n v="368.45980253878702"/>
    <s v="ILAT"/>
    <n v="0"/>
    <n v="235.07287259050307"/>
    <n v="123"/>
    <n v="136"/>
    <n v="1.1056910569105691"/>
    <n v="15.639705882352942"/>
    <n v="17.292682926829269"/>
    <d v="2023-06-01T00:00:00"/>
    <x v="17"/>
    <d v="2026-05-31T00:00:00"/>
    <s v="Yes"/>
    <s v="Yes"/>
    <s v="HQE exploitation"/>
    <n v="0"/>
    <n v="0"/>
    <m/>
  </r>
  <r>
    <x v="1"/>
    <x v="11"/>
    <x v="12"/>
    <x v="19"/>
    <n v="59280"/>
    <x v="20"/>
    <s v="Rental"/>
    <s v="FR06"/>
    <s v="No"/>
    <s v="Whole Building"/>
    <n v="235"/>
    <s v="EUR"/>
    <n v="129.31"/>
    <s v="yearly ILC"/>
    <n v="0"/>
    <n v="50000"/>
    <n v="13"/>
    <n v="27"/>
    <n v="2.0769230769230771"/>
    <n v="8.7037037037037042"/>
    <n v="18.076923076923077"/>
    <d v="2019-10-01T00:00:00"/>
    <x v="21"/>
    <d v="2025-09-30T00:00:00"/>
    <s v="No"/>
    <s v="No"/>
    <s v="No"/>
    <n v="0"/>
    <n v="0"/>
    <m/>
  </r>
  <r>
    <x v="1"/>
    <x v="11"/>
    <x v="12"/>
    <x v="20"/>
    <n v="72000"/>
    <x v="21"/>
    <s v="Rental"/>
    <s v="FR02"/>
    <s v="No"/>
    <s v="Group of 2 buildings "/>
    <n v="4403"/>
    <s v="EUR"/>
    <n v="127.46"/>
    <s v="ILAT indice"/>
    <n v="0"/>
    <n v="78.12854871678401"/>
    <n v="602"/>
    <n v="430"/>
    <n v="0.7142857142857143"/>
    <n v="10.23953488372093"/>
    <n v="7.3139534883720927"/>
    <d v="2020-03-01T00:00:00"/>
    <x v="22"/>
    <d v="2026-03-01T00:00:00"/>
    <s v="No"/>
    <s v="No"/>
    <s v="No"/>
    <n v="0"/>
    <n v="0"/>
    <m/>
  </r>
  <r>
    <x v="1"/>
    <x v="11"/>
    <x v="12"/>
    <x v="18"/>
    <n v="93400"/>
    <x v="22"/>
    <s v="Rental"/>
    <s v="FR01"/>
    <s v="No"/>
    <s v="Group of 2 buildings composed of _x000a_all ground floor_x000a_part of 1st floor _x000a_2nd, 3rd, 4th, 5th,7th floors"/>
    <n v="12407"/>
    <s v="EUR"/>
    <n v="353.15"/>
    <s v="ILAT indice"/>
    <n v="0"/>
    <n v="258.64431369388251"/>
    <n v="1193"/>
    <n v="1020"/>
    <n v="0.85498742665549032"/>
    <n v="12.163725490196079"/>
    <n v="10.399832355406538"/>
    <d v="2015-05-01T00:00:00"/>
    <x v="23"/>
    <d v="2031-04-30T00:00:00"/>
    <s v="Yes"/>
    <s v="No"/>
    <s v="No"/>
    <n v="0"/>
    <d v="2025-11-18T00:00:00"/>
    <m/>
  </r>
  <r>
    <x v="1"/>
    <x v="12"/>
    <x v="12"/>
    <x v="21"/>
    <n v="97438"/>
    <x v="23"/>
    <s v="Rental"/>
    <s v="FR04"/>
    <s v="No"/>
    <s v="2nd floor"/>
    <n v="1100"/>
    <s v="EUR"/>
    <n v="11.47"/>
    <n v="3.5000000000000003E-2"/>
    <n v="0"/>
    <s v="125,39€ m²/year soit 12,54€ m²/month"/>
    <n v="286"/>
    <n v="292"/>
    <n v="1.020979020979021"/>
    <n v="3.7671232876712328"/>
    <n v="3.8461538461538463"/>
    <d v="2017-01-01T00:00:00"/>
    <x v="24"/>
    <d v="2025-12-31T00:00:00"/>
    <s v="No"/>
    <s v="No"/>
    <s v="No"/>
    <n v="0"/>
    <d v="2025-11-27T00:00:00"/>
    <m/>
  </r>
  <r>
    <x v="1"/>
    <x v="12"/>
    <x v="12"/>
    <x v="21"/>
    <n v="97438"/>
    <x v="23"/>
    <s v="Rental"/>
    <s v="FR04"/>
    <s v="No"/>
    <s v="1st floor"/>
    <n v="550"/>
    <s v="EUR"/>
    <n v="12.42"/>
    <n v="3.5000000000000003E-2"/>
    <n v="0"/>
    <n v="0"/>
    <n v="59"/>
    <n v="59"/>
    <n v="1"/>
    <n v="9.3220338983050848"/>
    <n v="9.3220338983050848"/>
    <d v="2023-03-01T00:00:00"/>
    <x v="25"/>
    <d v="2026-02-28T00:00:00"/>
    <s v="No"/>
    <s v="No"/>
    <s v="No"/>
    <n v="0"/>
    <n v="0"/>
    <m/>
  </r>
  <r>
    <x v="1"/>
    <x v="12"/>
    <x v="12"/>
    <x v="21"/>
    <n v="97438"/>
    <x v="23"/>
    <s v="Rental"/>
    <s v="FR04"/>
    <s v="No"/>
    <s v="2nd floor"/>
    <n v="326"/>
    <s v="EUR"/>
    <n v="12.83"/>
    <n v="3.5000000000000003E-2"/>
    <n v="0"/>
    <n v="0"/>
    <n v="85"/>
    <n v="89"/>
    <n v="1.0470588235294118"/>
    <n v="3.6629213483146068"/>
    <n v="3.835294117647059"/>
    <d v="2014-11-01T00:00:00"/>
    <x v="26"/>
    <d v="2032-10-31T00:00:00"/>
    <s v="No"/>
    <s v="No"/>
    <s v="No"/>
    <n v="0"/>
    <d v="1899-12-30T00:00:00"/>
    <m/>
  </r>
  <r>
    <x v="1"/>
    <x v="12"/>
    <x v="12"/>
    <x v="21"/>
    <n v="97438"/>
    <x v="23"/>
    <s v="Rental"/>
    <s v="FR04"/>
    <s v="No"/>
    <s v="1st floor"/>
    <n v="213"/>
    <s v="EUR"/>
    <n v="15.14"/>
    <n v="3.5000000000000003E-2"/>
    <n v="0"/>
    <n v="0"/>
    <n v="42"/>
    <n v="42"/>
    <n v="1"/>
    <n v="5.0714285714285712"/>
    <n v="5.0714285714285712"/>
    <d v="2024-04-05T00:00:00"/>
    <x v="27"/>
    <d v="2033-04-04T00:00:00"/>
    <s v="No"/>
    <s v="No"/>
    <s v="No"/>
    <n v="0"/>
    <n v="0"/>
    <m/>
  </r>
  <r>
    <x v="1"/>
    <x v="13"/>
    <x v="12"/>
    <x v="18"/>
    <n v="93400"/>
    <x v="24"/>
    <s v="Rental"/>
    <s v="FR01"/>
    <s v="No"/>
    <s v="6 &amp; 8th floor"/>
    <n v="5148"/>
    <s v="EUR"/>
    <n v="349.65034965034965"/>
    <n v="0.03"/>
    <n v="0"/>
    <n v="213.67521367521368"/>
    <n v="350"/>
    <n v="298"/>
    <n v="0.85142857142857142"/>
    <n v="17.275167785234899"/>
    <n v="14.708571428571428"/>
    <d v="2016-05-01T00:00:00"/>
    <x v="23"/>
    <d v="2031-04-30T00:00:00"/>
    <s v="Yes"/>
    <s v="Yes"/>
    <s v="No"/>
    <n v="0"/>
    <d v="1899-12-30T00:00:00"/>
    <m/>
  </r>
  <r>
    <x v="1"/>
    <x v="14"/>
    <x v="13"/>
    <x v="22"/>
    <n v="80335"/>
    <x v="25"/>
    <s v="Rental"/>
    <s v="AGB01"/>
    <s v="Yes"/>
    <s v="part of ground floor"/>
    <n v="191.14"/>
    <s v="EUR"/>
    <n v="984"/>
    <s v="N/A"/>
    <n v="188081.75999999998"/>
    <n v="252"/>
    <n v="30"/>
    <n v="22"/>
    <n v="0.73333333333333328"/>
    <n v="8.6881818181818176"/>
    <n v="6.3713333333333333"/>
    <d v="2023-12-01T00:00:00"/>
    <x v="28"/>
    <d v="2028-11-30T00:00:00"/>
    <s v="No"/>
    <s v="Yes"/>
    <s v="No"/>
    <n v="0"/>
    <n v="0"/>
    <m/>
  </r>
  <r>
    <x v="1"/>
    <x v="14"/>
    <x v="13"/>
    <x v="23"/>
    <n v="70182"/>
    <x v="26"/>
    <s v="Rental"/>
    <s v="AGB02"/>
    <s v="Yes"/>
    <s v="part of 1st floor"/>
    <n v="360"/>
    <s v="EUR"/>
    <n v="408"/>
    <s v="N/A"/>
    <n v="146880"/>
    <n v="108"/>
    <n v="30"/>
    <n v="26"/>
    <n v="0.8666666666666667"/>
    <n v="13.846153846153847"/>
    <n v="12"/>
    <d v="2018-01-01T00:00:00"/>
    <x v="15"/>
    <s v="anytime"/>
    <s v="No"/>
    <s v="Yes"/>
    <s v="No"/>
    <n v="0"/>
    <n v="0"/>
    <m/>
  </r>
  <r>
    <x v="1"/>
    <x v="15"/>
    <x v="13"/>
    <x v="24"/>
    <n v="12489"/>
    <x v="27"/>
    <s v="Rental"/>
    <s v="DE02"/>
    <s v="No"/>
    <s v="Ground floor, 1st and 2nd floor"/>
    <n v="2391.7399999999998"/>
    <s v="EUR"/>
    <n v="21.21211753785947"/>
    <n v="0.05"/>
    <n v="50733.87"/>
    <s v="---"/>
    <n v="0"/>
    <n v="0"/>
    <e v="#DIV/0!"/>
    <e v="#DIV/0!"/>
    <e v="#DIV/0!"/>
    <s v=" 01.05.2019"/>
    <x v="29"/>
    <d v="2026-05-01T00:00:00"/>
    <s v="No"/>
    <s v="No"/>
    <s v="No"/>
    <s v="Daniel Krauss"/>
    <n v="0"/>
    <m/>
  </r>
  <r>
    <x v="1"/>
    <x v="15"/>
    <x v="13"/>
    <x v="25"/>
    <n v="67433"/>
    <x v="28"/>
    <s v="Rental"/>
    <s v="DE07"/>
    <s v="No"/>
    <s v="1st floor"/>
    <n v="349"/>
    <s v="EUR"/>
    <n v="8.7392550143266483"/>
    <n v="0.05"/>
    <n v="3050"/>
    <s v="---"/>
    <n v="0"/>
    <n v="0"/>
    <e v="#DIV/0!"/>
    <e v="#DIV/0!"/>
    <e v="#DIV/0!"/>
    <d v="2019-02-01T00:00:00"/>
    <x v="30"/>
    <d v="2027-01-31T00:00:00"/>
    <s v="No"/>
    <s v="No"/>
    <s v="No"/>
    <s v="Daniel Krauss"/>
    <n v="0"/>
    <m/>
  </r>
  <r>
    <x v="1"/>
    <x v="15"/>
    <x v="13"/>
    <x v="26"/>
    <s v="04105"/>
    <x v="29"/>
    <s v="Rental"/>
    <s v="DE06"/>
    <s v="No"/>
    <s v="2nd floor"/>
    <n v="322.97000000000003"/>
    <s v="EUR"/>
    <n v="9.2499922593429709"/>
    <n v="0.05"/>
    <n v="2987.47"/>
    <n v="2.23"/>
    <n v="0"/>
    <n v="0"/>
    <e v="#DIV/0!"/>
    <e v="#DIV/0!"/>
    <e v="#DIV/0!"/>
    <d v="2017-12-01T00:00:00"/>
    <x v="31"/>
    <d v="2026-11-30T00:00:00"/>
    <n v="0"/>
    <s v="No"/>
    <s v="No"/>
    <s v="Daniel Krauss"/>
    <n v="0"/>
    <m/>
  </r>
  <r>
    <x v="1"/>
    <x v="15"/>
    <x v="13"/>
    <x v="27"/>
    <n v="22297"/>
    <x v="30"/>
    <s v="Rental"/>
    <s v="DE05"/>
    <s v="Yes"/>
    <s v="part of second floor"/>
    <n v="144.85"/>
    <s v="EUR"/>
    <n v="94.868553676216777"/>
    <s v="---"/>
    <n v="13741.71"/>
    <s v="---"/>
    <n v="0"/>
    <n v="0"/>
    <e v="#DIV/0!"/>
    <e v="#DIV/0!"/>
    <e v="#DIV/0!"/>
    <d v="2018-01-01T00:00:00"/>
    <x v="32"/>
    <s v="undetermined"/>
    <s v="No"/>
    <s v="Yes"/>
    <s v="Yes"/>
    <s v="Daniel Krauss"/>
    <n v="0"/>
    <m/>
  </r>
  <r>
    <x v="1"/>
    <x v="15"/>
    <x v="13"/>
    <x v="23"/>
    <n v="70565"/>
    <x v="31"/>
    <s v="Rental"/>
    <s v="DE08"/>
    <s v="Yes"/>
    <s v="part of the 4th floor"/>
    <n v="81.16"/>
    <s v="EUR"/>
    <n v="78.650000000000006"/>
    <s v="---"/>
    <n v="6383.2340000000004"/>
    <s v="---"/>
    <n v="0"/>
    <n v="0"/>
    <e v="#DIV/0!"/>
    <e v="#DIV/0!"/>
    <e v="#DIV/0!"/>
    <d v="2025-07-01T00:00:00"/>
    <x v="32"/>
    <s v="undetermined"/>
    <s v="No"/>
    <s v="Yes"/>
    <s v="Yes"/>
    <s v="Daniel Krauss"/>
    <n v="0"/>
    <m/>
  </r>
  <r>
    <x v="1"/>
    <x v="15"/>
    <x v="13"/>
    <x v="28"/>
    <n v="40472"/>
    <x v="32"/>
    <s v="Rental"/>
    <s v="DE03"/>
    <s v="No"/>
    <s v="3rd floor"/>
    <n v="480.14"/>
    <s v="EUR"/>
    <n v="16.27"/>
    <n v="0.05"/>
    <n v="7811.8777999999993"/>
    <n v="3.5"/>
    <n v="0"/>
    <n v="0"/>
    <e v="#DIV/0!"/>
    <e v="#DIV/0!"/>
    <e v="#DIV/0!"/>
    <d v="2019-01-01T00:00:00"/>
    <x v="32"/>
    <d v="2027-03-31T00:00:00"/>
    <s v="No"/>
    <s v="No"/>
    <s v="No"/>
    <s v="Daniel Krauss"/>
    <n v="0"/>
    <m/>
  </r>
  <r>
    <x v="1"/>
    <x v="15"/>
    <x v="13"/>
    <x v="29"/>
    <n v="60528"/>
    <x v="33"/>
    <s v="Rental"/>
    <s v="DE04"/>
    <s v="No"/>
    <s v="2nd floor"/>
    <n v="497"/>
    <s v="EUR"/>
    <n v="20.071971830985916"/>
    <n v="0.05"/>
    <n v="9975.77"/>
    <s v="---"/>
    <n v="0"/>
    <n v="0"/>
    <e v="#DIV/0!"/>
    <e v="#DIV/0!"/>
    <e v="#DIV/0!"/>
    <d v="2008-09-01T00:00:00"/>
    <x v="32"/>
    <d v="2026-09-01T00:00:00"/>
    <s v="No"/>
    <s v="No"/>
    <s v="No"/>
    <s v="Daniel Krauss"/>
    <n v="0"/>
    <m/>
  </r>
  <r>
    <x v="1"/>
    <x v="16"/>
    <x v="13"/>
    <x v="30"/>
    <n v="65428"/>
    <x v="34"/>
    <s v="Rental"/>
    <s v="DE09"/>
    <s v="No"/>
    <s v="?"/>
    <n v="0"/>
    <n v="0"/>
    <n v="0"/>
    <n v="0"/>
    <n v="0"/>
    <n v="0"/>
    <n v="0"/>
    <n v="0"/>
    <e v="#DIV/0!"/>
    <e v="#DIV/0!"/>
    <e v="#DIV/0!"/>
    <d v="1899-12-30T00:00:00"/>
    <x v="0"/>
    <d v="1899-12-30T00:00:00"/>
    <n v="0"/>
    <n v="0"/>
    <n v="0"/>
    <s v="Daniel Krauss"/>
    <n v="0"/>
    <m/>
  </r>
  <r>
    <x v="1"/>
    <x v="17"/>
    <x v="13"/>
    <x v="31"/>
    <n v="85774"/>
    <x v="35"/>
    <s v="Rental"/>
    <s v="DE10"/>
    <s v="Yes"/>
    <s v="50% ground floor"/>
    <n v="320.36"/>
    <s v="EUR"/>
    <n v="0"/>
    <s v="---"/>
    <s v="???"/>
    <s v="---"/>
    <n v="0"/>
    <n v="0"/>
    <e v="#DIV/0!"/>
    <e v="#DIV/0!"/>
    <e v="#DIV/0!"/>
    <d v="2025-08-01T00:00:00"/>
    <x v="32"/>
    <s v="undetermined"/>
    <s v="No"/>
    <s v="Yes"/>
    <s v="Yes"/>
    <s v="Daniel Krauss"/>
    <n v="0"/>
    <m/>
  </r>
  <r>
    <x v="1"/>
    <x v="18"/>
    <x v="13"/>
    <x v="32"/>
    <n v="73207"/>
    <x v="36"/>
    <s v="Rental"/>
    <s v="DE12"/>
    <s v="No"/>
    <s v="Whole 1st floor"/>
    <n v="394.61"/>
    <s v="EUR"/>
    <n v="15"/>
    <s v="Indexation according to Consumer Price Index (VPI); adjustment if VPI increases by ≥ 5 %. No fixed annual percentage."/>
    <n v="5148.6899999999996"/>
    <n v="2.0222498162742961"/>
    <s v="14, possible second workplace line (20-24)"/>
    <n v="14"/>
    <e v="#VALUE!"/>
    <n v="28.186428571428571"/>
    <e v="#VALUE!"/>
    <d v="2020-04-01T00:00:00"/>
    <x v="13"/>
    <d v="2027-03-31T00:00:00"/>
    <s v="No sublease agreement currently in place"/>
    <s v="No"/>
    <s v="No"/>
    <s v="Daniel Krauss"/>
    <n v="0"/>
    <m/>
  </r>
  <r>
    <x v="1"/>
    <x v="19"/>
    <x v="13"/>
    <x v="33"/>
    <n v="90429"/>
    <x v="37"/>
    <s v="Rental"/>
    <s v="DE13"/>
    <s v="No"/>
    <s v="2nd Floor Building B"/>
    <n v="660"/>
    <s v="EUR"/>
    <s v="3,57 EUR/m²"/>
    <n v="0"/>
    <s v="13.135,67 EUR"/>
    <s v="---"/>
    <n v="0"/>
    <n v="0"/>
    <e v="#DIV/0!"/>
    <e v="#DIV/0!"/>
    <e v="#DIV/0!"/>
    <d v="2019-11-01T00:00:00"/>
    <x v="33"/>
    <d v="2026-10-31T00:00:00"/>
    <n v="0"/>
    <s v="No"/>
    <s v="No"/>
    <s v="Daniel Krauss"/>
    <n v="0"/>
    <m/>
  </r>
  <r>
    <x v="1"/>
    <x v="20"/>
    <x v="13"/>
    <x v="33"/>
    <n v="90402"/>
    <x v="38"/>
    <s v="Rental"/>
    <s v="DE22"/>
    <s v="No"/>
    <s v="3rd Floor"/>
    <n v="53.4"/>
    <s v="EUR"/>
    <n v="21.521910112359549"/>
    <n v="0"/>
    <n v="1149.27"/>
    <s v="---"/>
    <n v="3"/>
    <n v="3"/>
    <n v="1"/>
    <n v="17.8"/>
    <n v="17.8"/>
    <d v="2019-02-01T00:00:00"/>
    <x v="0"/>
    <s v="undetermined"/>
    <n v="0"/>
    <s v="No"/>
    <s v="No"/>
    <s v="Daniel Krauss"/>
    <n v="0"/>
    <m/>
  </r>
  <r>
    <x v="1"/>
    <x v="20"/>
    <x v="13"/>
    <x v="34"/>
    <s v="01896"/>
    <x v="39"/>
    <s v="Rental"/>
    <s v="DE24"/>
    <s v="No"/>
    <s v="1st Floor"/>
    <n v="40"/>
    <s v="EUR"/>
    <n v="9.375"/>
    <n v="0"/>
    <n v="375"/>
    <s v="---"/>
    <n v="3"/>
    <n v="3"/>
    <n v="1"/>
    <n v="13.333333333333334"/>
    <n v="13.333333333333334"/>
    <d v="2020-03-01T00:00:00"/>
    <x v="0"/>
    <s v="undetermined"/>
    <s v="No"/>
    <s v="No"/>
    <s v="No"/>
    <s v="Daniel Krauss"/>
    <n v="0"/>
    <m/>
  </r>
  <r>
    <x v="1"/>
    <x v="20"/>
    <x v="13"/>
    <x v="35"/>
    <n v="69469"/>
    <x v="40"/>
    <s v="Rental"/>
    <s v="DE27"/>
    <s v="No"/>
    <s v="1st Floor"/>
    <n v="70"/>
    <s v="EUR"/>
    <n v="16.861428571428572"/>
    <n v="0"/>
    <n v="1180.3"/>
    <n v="0"/>
    <n v="3"/>
    <n v="3"/>
    <n v="1"/>
    <n v="23.333333333333332"/>
    <n v="23.333333333333332"/>
    <d v="2019-01-01T00:00:00"/>
    <x v="0"/>
    <s v="undetermined"/>
    <s v="No"/>
    <s v="No"/>
    <n v="0"/>
    <s v="Daniel Krauss"/>
    <n v="0"/>
    <m/>
  </r>
  <r>
    <x v="1"/>
    <x v="20"/>
    <x v="13"/>
    <x v="36"/>
    <n v="57076"/>
    <x v="41"/>
    <s v="Rental"/>
    <s v="DE25"/>
    <s v="No"/>
    <s v="5th Floor"/>
    <n v="20"/>
    <s v="EUR"/>
    <n v="20.381"/>
    <n v="0"/>
    <n v="407.62"/>
    <s v="---"/>
    <n v="1"/>
    <n v="1"/>
    <n v="1"/>
    <n v="20"/>
    <n v="20"/>
    <d v="2014-04-01T00:00:00"/>
    <x v="0"/>
    <s v="undetermined"/>
    <s v="No"/>
    <s v="No"/>
    <s v="No"/>
    <s v="Daniel Krauss"/>
    <n v="0"/>
    <m/>
  </r>
  <r>
    <x v="1"/>
    <x v="20"/>
    <x v="13"/>
    <x v="37"/>
    <n v="59423"/>
    <x v="42"/>
    <s v="Rental"/>
    <s v="DE28"/>
    <s v="No"/>
    <s v="Ground Floor"/>
    <n v="25"/>
    <s v="EUR"/>
    <n v="10.96"/>
    <n v="0"/>
    <n v="274"/>
    <n v="0"/>
    <n v="1"/>
    <n v="1"/>
    <n v="1"/>
    <n v="25"/>
    <n v="25"/>
    <d v="2017-09-01T00:00:00"/>
    <x v="0"/>
    <s v="undetermined"/>
    <s v="No"/>
    <s v="No"/>
    <s v="No"/>
    <s v="Daniel Krauss"/>
    <n v="0"/>
    <m/>
  </r>
  <r>
    <x v="1"/>
    <x v="20"/>
    <x v="13"/>
    <x v="38"/>
    <n v="71640"/>
    <x v="43"/>
    <s v="Rental"/>
    <s v="DE18"/>
    <s v="No"/>
    <s v="1st Floor"/>
    <n v="108"/>
    <s v="EUR"/>
    <n v="13.817222222222222"/>
    <n v="0"/>
    <n v="1492.26"/>
    <s v="---"/>
    <n v="3"/>
    <n v="3"/>
    <n v="1"/>
    <n v="36"/>
    <n v="36"/>
    <d v="2017-04-01T00:00:00"/>
    <x v="34"/>
    <s v="Contract terminated as of 31 March 2026"/>
    <n v="0"/>
    <s v="No"/>
    <s v="No"/>
    <s v="Daniel Krauss"/>
    <n v="0"/>
    <m/>
  </r>
  <r>
    <x v="1"/>
    <x v="20"/>
    <x v="13"/>
    <x v="39"/>
    <n v="80337"/>
    <x v="44"/>
    <s v="Rental"/>
    <s v="DE21"/>
    <s v="No"/>
    <s v="2nd Floor"/>
    <n v="385.15"/>
    <s v="EUR"/>
    <n v="29.808957549006884"/>
    <s v="5 % index if consumer-index is high enough"/>
    <n v="11480.92"/>
    <s v="---"/>
    <n v="16"/>
    <n v="16"/>
    <n v="1"/>
    <n v="24.071874999999999"/>
    <n v="24.071874999999999"/>
    <d v="2019-11-01T00:00:00"/>
    <x v="32"/>
    <d v="2027-10-31T00:00:00"/>
    <n v="0"/>
    <s v="Yes"/>
    <s v="No"/>
    <s v="Daniel Krauss"/>
    <n v="0"/>
    <m/>
  </r>
  <r>
    <x v="1"/>
    <x v="20"/>
    <x v="13"/>
    <x v="40"/>
    <n v="39104"/>
    <x v="45"/>
    <s v="Rental"/>
    <s v="DE19"/>
    <s v="No"/>
    <s v="6th Floor"/>
    <n v="433"/>
    <s v="EUR"/>
    <n v="10.332655889145496"/>
    <n v="0"/>
    <n v="4474.04"/>
    <s v="---"/>
    <n v="11"/>
    <n v="11"/>
    <n v="1"/>
    <n v="39.363636363636367"/>
    <n v="39.363636363636367"/>
    <d v="2010-04-01T00:00:00"/>
    <x v="32"/>
    <d v="2030-03-31T00:00:00"/>
    <n v="0"/>
    <s v="Yes"/>
    <s v="No"/>
    <s v="Daniel Krauss"/>
    <n v="0"/>
    <m/>
  </r>
  <r>
    <x v="1"/>
    <x v="20"/>
    <x v="13"/>
    <x v="41"/>
    <n v="61118"/>
    <x v="46"/>
    <s v="Rental"/>
    <s v="DE14"/>
    <s v="No"/>
    <s v="1st Floor"/>
    <n v="45"/>
    <s v="EUR"/>
    <n v="15.555555555555555"/>
    <n v="0"/>
    <n v="700"/>
    <n v="0"/>
    <n v="2"/>
    <n v="2"/>
    <n v="1"/>
    <n v="22.5"/>
    <n v="22.5"/>
    <d v="2020-04-01T00:00:00"/>
    <x v="32"/>
    <s v="not fixed"/>
    <n v="0"/>
    <s v="No"/>
    <s v="No"/>
    <s v="Daniel Krauss"/>
    <n v="0"/>
    <m/>
  </r>
  <r>
    <x v="1"/>
    <x v="20"/>
    <x v="13"/>
    <x v="27"/>
    <n v="22805"/>
    <x v="47"/>
    <s v="Rental"/>
    <s v="DE16"/>
    <s v="No"/>
    <s v="1st Floor"/>
    <n v="42"/>
    <s v="EUR"/>
    <n v="17.850000000000001"/>
    <s v="2 % per year starting 2027"/>
    <n v="749.7"/>
    <s v="---"/>
    <n v="2"/>
    <n v="2"/>
    <n v="1"/>
    <n v="21"/>
    <n v="21"/>
    <d v="2025-08-15T00:00:00"/>
    <x v="32"/>
    <s v="undetermined"/>
    <n v="0"/>
    <s v="No"/>
    <s v="No"/>
    <s v="Daniel Krauss"/>
    <n v="0"/>
    <m/>
  </r>
  <r>
    <x v="1"/>
    <x v="20"/>
    <x v="13"/>
    <x v="42"/>
    <s v="07743"/>
    <x v="48"/>
    <s v="Rental"/>
    <s v="DE17"/>
    <s v="No"/>
    <s v="1st Floor"/>
    <n v="48.16"/>
    <s v="EUR"/>
    <n v="12.377491694352161"/>
    <n v="0"/>
    <n v="596.1"/>
    <s v="---"/>
    <n v="2"/>
    <n v="2"/>
    <n v="1"/>
    <n v="24.08"/>
    <n v="24.08"/>
    <d v="2017-11-01T00:00:00"/>
    <x v="32"/>
    <s v="undetermined"/>
    <n v="0"/>
    <s v="No"/>
    <s v="No"/>
    <s v="Daniel Krauss"/>
    <n v="0"/>
    <m/>
  </r>
  <r>
    <x v="1"/>
    <x v="20"/>
    <x v="13"/>
    <x v="43"/>
    <n v="55590"/>
    <x v="49"/>
    <s v="Rental"/>
    <s v="DE20"/>
    <s v="No"/>
    <s v="1st Floor"/>
    <n v="30"/>
    <s v="EUR"/>
    <n v="10.71"/>
    <n v="0"/>
    <n v="321.3"/>
    <s v="---"/>
    <n v="1"/>
    <n v="1"/>
    <n v="1"/>
    <n v="30"/>
    <n v="30"/>
    <d v="2018-07-01T00:00:00"/>
    <x v="32"/>
    <s v="undetermined"/>
    <n v="0"/>
    <s v="No"/>
    <s v="No"/>
    <s v="Daniel Krauss"/>
    <n v="0"/>
    <m/>
  </r>
  <r>
    <x v="1"/>
    <x v="13"/>
    <x v="13"/>
    <x v="22"/>
    <n v="81671"/>
    <x v="50"/>
    <s v="Rental"/>
    <s v="DE29"/>
    <s v="No"/>
    <s v="4th and 5th floor"/>
    <n v="1266"/>
    <s v="EUR"/>
    <n v="434"/>
    <s v="CPI"/>
    <n v="0"/>
    <n v="400000"/>
    <n v="150"/>
    <n v="65"/>
    <n v="0.43333333333333335"/>
    <n v="19.476923076923075"/>
    <n v="8.44"/>
    <d v="2021-05-01T00:00:00"/>
    <x v="35"/>
    <d v="2026-04-30T00:00:00"/>
    <s v="No"/>
    <s v="Yes"/>
    <s v="No"/>
    <n v="0"/>
    <n v="0"/>
    <m/>
  </r>
  <r>
    <x v="1"/>
    <x v="21"/>
    <x v="14"/>
    <x v="44"/>
    <n v="57001"/>
    <x v="51"/>
    <s v="Rental"/>
    <s v="GR03"/>
    <s v="No"/>
    <s v="whole building"/>
    <n v="440"/>
    <s v="EUR"/>
    <n v="62.73"/>
    <n v="0.03"/>
    <n v="0"/>
    <n v="75267.140564090805"/>
    <n v="70"/>
    <n v="60"/>
    <n v="0.8571428571428571"/>
    <n v="7.333333333333333"/>
    <n v="6.2857142857142856"/>
    <d v="2022-01-01T00:00:00"/>
    <x v="36"/>
    <d v="2027-12-31T00:00:00"/>
    <s v="No"/>
    <s v="No"/>
    <s v="No"/>
    <n v="0"/>
    <n v="0"/>
    <m/>
  </r>
  <r>
    <x v="1"/>
    <x v="21"/>
    <x v="14"/>
    <x v="45"/>
    <n v="17342"/>
    <x v="52"/>
    <s v="Rental"/>
    <s v="GR01"/>
    <s v="No"/>
    <s v="whole building"/>
    <n v="843.18"/>
    <s v="EUR"/>
    <n v="136.16"/>
    <n v="0.03"/>
    <n v="0"/>
    <n v="144235.78995643201"/>
    <n v="54"/>
    <n v="50"/>
    <n v="0.92592592592592593"/>
    <n v="16.863599999999998"/>
    <n v="15.614444444444443"/>
    <d v="2023-01-01T00:00:00"/>
    <x v="36"/>
    <d v="2027-12-31T00:00:00"/>
    <s v="No"/>
    <s v="No"/>
    <s v="No"/>
    <n v="0"/>
    <d v="2025-09-26T00:00:00"/>
    <m/>
  </r>
  <r>
    <x v="1"/>
    <x v="21"/>
    <x v="14"/>
    <x v="45"/>
    <n v="17342"/>
    <x v="53"/>
    <s v="Rental"/>
    <s v="GR04"/>
    <s v="No"/>
    <s v="2 floors"/>
    <n v="687.32"/>
    <s v="EUR"/>
    <n v="66.92"/>
    <n v="0.03"/>
    <n v="0"/>
    <n v="85500"/>
    <n v="181"/>
    <n v="50"/>
    <n v="0.27624309392265195"/>
    <n v="13.746400000000001"/>
    <n v="3.7973480662983428"/>
    <s v="not provided"/>
    <x v="15"/>
    <s v="indefinite"/>
    <s v="No"/>
    <s v="No"/>
    <s v="No"/>
    <n v="0"/>
    <n v="0"/>
    <m/>
  </r>
  <r>
    <x v="1"/>
    <x v="21"/>
    <x v="14"/>
    <x v="45"/>
    <n v="17342"/>
    <x v="54"/>
    <s v="Rental"/>
    <s v="GR02"/>
    <s v="No"/>
    <s v="2 floors"/>
    <n v="210"/>
    <s v="EUR"/>
    <n v="161.65"/>
    <n v="0.03"/>
    <n v="0"/>
    <n v="48000"/>
    <n v="55"/>
    <n v="53"/>
    <n v="0.96363636363636362"/>
    <n v="3.9622641509433962"/>
    <n v="3.8181818181818183"/>
    <s v="not provided"/>
    <x v="15"/>
    <s v="indefinite"/>
    <s v="No"/>
    <s v="No"/>
    <s v="No"/>
    <n v="0"/>
    <d v="1899-12-30T00:00:00"/>
    <m/>
  </r>
  <r>
    <x v="0"/>
    <x v="22"/>
    <x v="15"/>
    <x v="46"/>
    <n v="999077"/>
    <x v="55"/>
    <s v="Rental"/>
    <s v="HK01"/>
    <s v="Yes"/>
    <s v="Suites 304 - 306"/>
    <n v="471.94724000000002"/>
    <s v="HKD"/>
    <n v="6716.6829919378288"/>
    <s v="N/A"/>
    <n v="0"/>
    <n v="955.83565654499853"/>
    <n v="62"/>
    <n v="73"/>
    <n v="1.1774193548387097"/>
    <n v="6.4650306849315076"/>
    <n v="7.6120522580645167"/>
    <d v="2023-04-15T00:00:00"/>
    <x v="37"/>
    <d v="2027-04-14T00:00:00"/>
    <s v="No"/>
    <s v="No"/>
    <s v="No"/>
    <n v="0"/>
    <d v="1899-12-30T00:00:00"/>
    <m/>
  </r>
  <r>
    <x v="1"/>
    <x v="2"/>
    <x v="16"/>
    <x v="47"/>
    <n v="1087"/>
    <x v="56"/>
    <s v="Rental"/>
    <s v="HU01"/>
    <s v="Yes"/>
    <s v="part of a floor"/>
    <n v="158.6"/>
    <s v="EUR"/>
    <s v="11,4/m²"/>
    <s v="CPI"/>
    <n v="0"/>
    <s v="7,8/m2"/>
    <s v="22 +3 from Jan 2026"/>
    <n v="13"/>
    <e v="#VALUE!"/>
    <n v="12.2"/>
    <e v="#VALUE!"/>
    <d v="2022-04-01T00:00:00"/>
    <x v="13"/>
    <d v="2027-03-31T00:00:00"/>
    <s v="No"/>
    <s v="Yes"/>
    <s v="No"/>
    <n v="0"/>
    <d v="2025-09-19T00:00:00"/>
    <m/>
  </r>
  <r>
    <x v="0"/>
    <x v="23"/>
    <x v="17"/>
    <x v="48"/>
    <n v="122002"/>
    <x v="57"/>
    <s v="Rental"/>
    <s v="IN02"/>
    <s v="No"/>
    <s v="6th and 7th floor"/>
    <n v="3532.4522999999999"/>
    <s v="INR"/>
    <n v="9687.5193750387498"/>
    <s v="Next escalation iis 10% in 2024 Sept"/>
    <n v="0"/>
    <n v="5861.2204427601146"/>
    <n v="1425"/>
    <n v="782"/>
    <n v="0.54877192982456136"/>
    <n v="4.5172024296675195"/>
    <n v="2.4789138947368419"/>
    <d v="2022-02-14T00:00:00"/>
    <x v="38"/>
    <s v="anytime - 6 months notice"/>
    <s v="No"/>
    <s v="No"/>
    <s v="Yes"/>
    <n v="0"/>
    <d v="1899-12-30T00:00:00"/>
    <m/>
  </r>
  <r>
    <x v="0"/>
    <x v="23"/>
    <x v="17"/>
    <x v="49"/>
    <n v="122101"/>
    <x v="58"/>
    <s v="Rental"/>
    <s v="IN04"/>
    <s v="No"/>
    <s v="8th Floor, Block-1"/>
    <n v="1836.6931"/>
    <s v="INR"/>
    <n v="67.781992918563475"/>
    <n v="4.9999999999999996E-2"/>
    <n v="1340050"/>
    <n v="135.949114820435"/>
    <n v="639"/>
    <n v="227"/>
    <n v="0.35524256651017216"/>
    <n v="8.0911590308370034"/>
    <n v="2.8743241001564943"/>
    <d v="2025-02-01T00:00:00"/>
    <x v="39"/>
    <d v="2028-01-31T00:00:00"/>
    <s v="NA"/>
    <s v="No"/>
    <s v="Yes (LEED)"/>
    <s v="India GSD"/>
    <n v="0"/>
    <m/>
  </r>
  <r>
    <x v="0"/>
    <x v="23"/>
    <x v="17"/>
    <x v="50"/>
    <n v="201301"/>
    <x v="59"/>
    <s v="Rental"/>
    <s v="IN03"/>
    <s v="No "/>
    <s v="11th floor"/>
    <n v="1243.0427"/>
    <s v="INR"/>
    <n v="6716.6801000268661"/>
    <s v="Next escaltion is 15% in 2025 Jun"/>
    <n v="0"/>
    <n v="4977.251289758573"/>
    <n v="352"/>
    <n v="286"/>
    <n v="0.8125"/>
    <n v="4.3463031468531463"/>
    <n v="3.5313713068181816"/>
    <d v="2022-06-15T00:00:00"/>
    <x v="40"/>
    <s v="anytime - 6 months notice"/>
    <s v="No"/>
    <s v="No"/>
    <s v="Yes"/>
    <n v="0"/>
    <n v="0"/>
    <m/>
  </r>
  <r>
    <x v="0"/>
    <x v="23"/>
    <x v="17"/>
    <x v="48"/>
    <n v="122002"/>
    <x v="60"/>
    <s v="Rental"/>
    <s v="IN01"/>
    <s v="No"/>
    <s v="1st floor"/>
    <n v="945.75"/>
    <s v="INR"/>
    <n v="14079.194825056315"/>
    <s v="Next escaltion is 15% in 2024 Nov"/>
    <n v="0"/>
    <n v="3623.0036991204802"/>
    <n v="79"/>
    <n v="87"/>
    <n v="1.1012658227848102"/>
    <n v="10.870689655172415"/>
    <n v="11.971518987341772"/>
    <d v="2021-11-01T00:00:00"/>
    <x v="33"/>
    <s v="anytime - 6 months notice"/>
    <s v="No"/>
    <s v="No"/>
    <s v="No"/>
    <n v="0"/>
    <d v="2025-09-25T00:00:00"/>
    <m/>
  </r>
  <r>
    <x v="0"/>
    <x v="24"/>
    <x v="18"/>
    <x v="51"/>
    <n v="12980"/>
    <x v="61"/>
    <s v="Rental"/>
    <s v="ID01"/>
    <s v="No"/>
    <s v="1 floor at level 6"/>
    <n v="332.06"/>
    <s v="IDR"/>
    <n v="1740000"/>
    <n v="0"/>
    <n v="0"/>
    <n v="1416000"/>
    <n v="38"/>
    <n v="51"/>
    <n v="1.3421052631578947"/>
    <n v="6.5109803921568625"/>
    <n v="8.7384210526315798"/>
    <d v="2021-05-01T00:00:00"/>
    <x v="41"/>
    <d v="2031-04-30T00:00:00"/>
    <s v="No"/>
    <n v="0"/>
    <s v="No"/>
    <n v="0"/>
    <d v="1899-12-30T00:00:00"/>
    <m/>
  </r>
  <r>
    <x v="2"/>
    <x v="0"/>
    <x v="19"/>
    <x v="52"/>
    <s v="D12 XE93"/>
    <x v="62"/>
    <s v="Owned"/>
    <s v="IR04"/>
    <s v="N/A"/>
    <s v="Whole Building"/>
    <n v="1773.08"/>
    <s v="EUR"/>
    <n v="190"/>
    <s v="N/A"/>
    <n v="0"/>
    <n v="346138.16543850204"/>
    <n v="310"/>
    <n v="206"/>
    <n v="0.6645161290322581"/>
    <n v="8.607184466019417"/>
    <n v="5.7196129032258058"/>
    <s v="N/A"/>
    <x v="42"/>
    <s v="N/A"/>
    <s v="No"/>
    <s v="Yes"/>
    <s v="No"/>
    <n v="0"/>
    <n v="0"/>
    <m/>
  </r>
  <r>
    <x v="2"/>
    <x v="0"/>
    <x v="19"/>
    <x v="52"/>
    <s v="D12 P651"/>
    <x v="63"/>
    <s v="Owned"/>
    <s v="IR05"/>
    <s v="N/A"/>
    <s v="Whole Building"/>
    <n v="2530.52"/>
    <s v="EUR"/>
    <n v="190"/>
    <s v="N/A"/>
    <n v="0"/>
    <n v="494004.52907112945"/>
    <n v="305"/>
    <n v="192"/>
    <n v="0.62950819672131153"/>
    <n v="13.179791666666667"/>
    <n v="8.2967868852459024"/>
    <s v="N/A"/>
    <x v="42"/>
    <s v="N/A"/>
    <s v="No"/>
    <s v="Yes"/>
    <s v="No"/>
    <n v="0"/>
    <n v="0"/>
    <m/>
  </r>
  <r>
    <x v="2"/>
    <x v="0"/>
    <x v="19"/>
    <x v="52"/>
    <s v="D12 C4V6"/>
    <x v="64"/>
    <s v="Owned"/>
    <s v="IR02"/>
    <s v="N/A"/>
    <s v="Whole Building"/>
    <n v="1968.2"/>
    <s v="EUR"/>
    <n v="190"/>
    <s v="N/A"/>
    <n v="0"/>
    <n v="384229.21538569027"/>
    <n v="203"/>
    <n v="125"/>
    <n v="0.61576354679802958"/>
    <n v="15.7456"/>
    <n v="9.6955665024630537"/>
    <s v="N/A"/>
    <x v="42"/>
    <s v="N/A"/>
    <s v="Yes"/>
    <s v="Yes "/>
    <s v="No"/>
    <n v="0"/>
    <d v="1899-12-30T00:00:00"/>
    <m/>
  </r>
  <r>
    <x v="2"/>
    <x v="0"/>
    <x v="19"/>
    <x v="52"/>
    <s v="D12 C4V6"/>
    <x v="64"/>
    <s v="Sublease"/>
    <s v="IR02"/>
    <s v="N/A - we own building"/>
    <s v="Part of 2nd Floor"/>
    <n v="198"/>
    <s v="EUR"/>
    <n v="75.757575757575751"/>
    <s v="Fixed "/>
    <n v="45000"/>
    <s v="Pro rata - 10.72% of 11B"/>
    <n v="25"/>
    <n v="16"/>
    <n v="0.64"/>
    <n v="12.375"/>
    <n v="7.92"/>
    <s v="24/10/2015 - revised Jan 25"/>
    <x v="43"/>
    <s v="3 months notice required"/>
    <s v="Licences with AGA for area of 11B. AGA pay a licence fee per sqm, pay a portion of the buildng charges. No end date and 3 months termiantion for both parties"/>
    <s v="Yes"/>
    <s v="No"/>
    <n v="0"/>
    <d v="1899-12-30T00:00:00"/>
    <m/>
  </r>
  <r>
    <x v="2"/>
    <x v="0"/>
    <x v="19"/>
    <x v="52"/>
    <s v="D12 C4V6"/>
    <x v="64"/>
    <s v="Sublease"/>
    <s v="IR02"/>
    <s v="N/A - we own building"/>
    <s v="Part of 2nd Floor"/>
    <n v="96"/>
    <s v="EUR"/>
    <n v="208.33333333333334"/>
    <s v="Fixed"/>
    <n v="20000"/>
    <s v="Rates only"/>
    <n v="0"/>
    <n v="0"/>
    <e v="#DIV/0!"/>
    <e v="#DIV/0!"/>
    <e v="#DIV/0!"/>
    <d v="2021-11-03T00:00:00"/>
    <x v="43"/>
    <s v="N/A"/>
    <s v="Licences with Allianz Ireland for area of 11B. Allianz Ireland pay a licence fee per sqm, pay aportion of the buildng charges. No end date and 3 months termiantion for both parties"/>
    <n v="0"/>
    <s v="Yes - we own the building"/>
    <n v="0"/>
    <d v="1899-12-30T00:00:00"/>
    <m/>
  </r>
  <r>
    <x v="2"/>
    <x v="0"/>
    <x v="19"/>
    <x v="52"/>
    <s v="D12 C4V6"/>
    <x v="64"/>
    <s v="Sublease"/>
    <s v="IR02"/>
    <s v="N/A - we own building"/>
    <s v="Part of 1st Floor"/>
    <n v="179"/>
    <s v="EUR"/>
    <s v="181,47 year/m² (true up)"/>
    <s v="Fi9xed"/>
    <n v="160000"/>
    <s v="35.41% of 11B"/>
    <n v="0"/>
    <n v="0"/>
    <e v="#DIV/0!"/>
    <e v="#DIV/0!"/>
    <e v="#DIV/0!"/>
    <s v="18/12/2019 - - in revision currently - awating their variations"/>
    <x v="43"/>
    <s v="N/A"/>
    <s v="Licences with Allianz Technology for area of 11B. Allianz Technology pay a licence fee per sqm, pay aportion of the buildng charges. No end date and 3 months termiantion for both parties"/>
    <s v="Yes"/>
    <s v="Yes - we own the building"/>
    <n v="0"/>
    <n v="0"/>
    <m/>
  </r>
  <r>
    <x v="2"/>
    <x v="0"/>
    <x v="19"/>
    <x v="52"/>
    <s v="D12 KD63"/>
    <x v="65"/>
    <s v="Owned"/>
    <s v="IR03"/>
    <s v="N/A"/>
    <s v="Whole Building"/>
    <n v="1523.88"/>
    <s v="EUR"/>
    <n v="190"/>
    <s v="N/A"/>
    <n v="0"/>
    <n v="297489.69451374136"/>
    <n v="0"/>
    <n v="0"/>
    <e v="#DIV/0!"/>
    <e v="#DIV/0!"/>
    <e v="#DIV/0!"/>
    <s v="N/A"/>
    <x v="42"/>
    <s v="N/A"/>
    <s v="No"/>
    <s v="Yes"/>
    <s v="No"/>
    <n v="0"/>
    <n v="0"/>
    <m/>
  </r>
  <r>
    <x v="2"/>
    <x v="3"/>
    <x v="19"/>
    <x v="52"/>
    <s v="D12 C4V6"/>
    <x v="66"/>
    <s v="Owned"/>
    <s v="IR01"/>
    <s v="N/A"/>
    <s v="Whole Building"/>
    <n v="1937"/>
    <s v="EUR"/>
    <n v="190"/>
    <s v="N/A"/>
    <n v="0"/>
    <n v="378138.39559093694"/>
    <n v="130"/>
    <n v="137"/>
    <n v="1.0538461538461539"/>
    <n v="14.138686131386862"/>
    <n v="14.9"/>
    <s v="N/A"/>
    <x v="42"/>
    <s v="N/A"/>
    <s v="No"/>
    <s v="Yes"/>
    <s v="No"/>
    <s v="seamus.reilly@allianz.com"/>
    <d v="2025-09-19T00:00:00"/>
    <m/>
  </r>
  <r>
    <x v="1"/>
    <x v="25"/>
    <x v="20"/>
    <x v="53"/>
    <n v="73042"/>
    <x v="67"/>
    <s v="Rental"/>
    <s v="IT02"/>
    <s v="No"/>
    <s v="Ground &amp; 1st floor"/>
    <n v="1305"/>
    <s v="EUR"/>
    <n v="40.353256704980843"/>
    <s v="annual adjustment through revaluation equal to 75% of the change in the ISTAT index, starting from the second year"/>
    <s v="50895 € / year"/>
    <n v="70000"/>
    <n v="154"/>
    <n v="295"/>
    <n v="1.9155844155844155"/>
    <n v="4.4237288135593218"/>
    <n v="8.4740259740259738"/>
    <d v="2018-01-01T00:00:00"/>
    <x v="44"/>
    <d v="2030-12-31T00:00:00"/>
    <s v="No"/>
    <s v="Yes"/>
    <s v="No"/>
    <n v="0"/>
    <d v="1899-12-30T00:00:00"/>
    <m/>
  </r>
  <r>
    <x v="1"/>
    <x v="25"/>
    <x v="20"/>
    <x v="54"/>
    <n v="40055"/>
    <x v="68"/>
    <s v="Rental"/>
    <s v="IT03"/>
    <s v="No"/>
    <s v="3rd floor"/>
    <n v="120"/>
    <s v="EUR"/>
    <n v="186"/>
    <s v="NA"/>
    <s v="22380 €/ year"/>
    <n v="13500"/>
    <n v="15"/>
    <n v="12"/>
    <n v="0.8"/>
    <n v="10"/>
    <n v="8"/>
    <d v="2022-01-02T00:00:00"/>
    <x v="45"/>
    <d v="2028-02-28T00:00:00"/>
    <s v="No"/>
    <s v="N/A"/>
    <s v="No"/>
    <n v="0"/>
    <n v="0"/>
    <m/>
  </r>
  <r>
    <x v="1"/>
    <x v="25"/>
    <x v="20"/>
    <x v="55"/>
    <n v="20139"/>
    <x v="69"/>
    <s v="Rental"/>
    <s v="IT01"/>
    <s v="Yes"/>
    <s v="2nd &amp; 3rd floor"/>
    <n v="2314"/>
    <s v="EUR"/>
    <n v="291.70267934312881"/>
    <s v="100% of the percentage change (only if positive) in the consumer price index as determined by ISTAT in the previous year._x000a_It applies each year."/>
    <s v="675000 € /year"/>
    <n v="335000"/>
    <n v="407"/>
    <n v="203"/>
    <n v="0.49877149877149879"/>
    <n v="11.399014778325123"/>
    <n v="5.6855036855036856"/>
    <d v="2025-06-30T00:00:00"/>
    <x v="46"/>
    <d v="2032-06-29T00:00:00"/>
    <s v="No"/>
    <s v="Yes"/>
    <s v="Yes (Breeam)"/>
    <n v="0"/>
    <s v="23/09/2025"/>
    <m/>
  </r>
  <r>
    <x v="0"/>
    <x v="26"/>
    <x v="21"/>
    <x v="56"/>
    <n v="1400002"/>
    <x v="70"/>
    <s v="Rental"/>
    <s v="JP01"/>
    <s v="No"/>
    <s v="2nd Floor"/>
    <n v="1247.42"/>
    <s v="JPY"/>
    <n v="36299.562296580138"/>
    <n v="0"/>
    <n v="45280800"/>
    <n v="42199.629635567806"/>
    <n v="202"/>
    <n v="235"/>
    <n v="1.1633663366336633"/>
    <n v="5.3081702127659574"/>
    <n v="6.1753465346534657"/>
    <d v="2023-10-01T00:00:00"/>
    <x v="47"/>
    <d v="2025-09-30T00:00:00"/>
    <s v="No"/>
    <s v="No"/>
    <s v="No"/>
    <n v="0"/>
    <d v="2026-02-03T00:00:00"/>
    <m/>
  </r>
  <r>
    <x v="0"/>
    <x v="26"/>
    <x v="21"/>
    <x v="57"/>
    <n v="8020005"/>
    <x v="71"/>
    <s v="Rental"/>
    <s v="JP02"/>
    <s v="No"/>
    <s v="5th Floor "/>
    <n v="352.94"/>
    <s v="JPY"/>
    <n v="34486.654955516518"/>
    <n v="0"/>
    <n v="12171720"/>
    <n v="9306.8651895506318"/>
    <n v="102"/>
    <n v="91"/>
    <n v="0.89215686274509809"/>
    <n v="3.8784615384615386"/>
    <n v="3.4601960784313723"/>
    <d v="2022-03-01T00:00:00"/>
    <x v="48"/>
    <d v="2026-02-28T00:00:00"/>
    <s v="No"/>
    <s v="No"/>
    <s v="No"/>
    <n v="0"/>
    <d v="2026-02-03T00:00:00"/>
    <m/>
  </r>
  <r>
    <x v="2"/>
    <x v="9"/>
    <x v="22"/>
    <x v="58"/>
    <s v="N/A"/>
    <x v="72"/>
    <s v="Rental"/>
    <s v="BH01"/>
    <s v="No"/>
    <s v="12th floor - office 1501 + 1502"/>
    <n v="275"/>
    <s v="BHD"/>
    <n v="37.090909090909093"/>
    <s v="6% every two years"/>
    <n v="10200"/>
    <n v="3.1540727272727276"/>
    <n v="23"/>
    <n v="21"/>
    <n v="0.91304347826086951"/>
    <n v="13.095238095238095"/>
    <n v="11.956521739130435"/>
    <d v="2022-06-01T00:00:00"/>
    <x v="49"/>
    <s v="anytime"/>
    <s v="No"/>
    <s v="N/A"/>
    <s v="No"/>
    <s v="Angelyn Valeza"/>
    <s v="26/01/2026"/>
    <m/>
  </r>
  <r>
    <x v="2"/>
    <x v="9"/>
    <x v="22"/>
    <x v="58"/>
    <s v="N/A"/>
    <x v="72"/>
    <s v="Rental"/>
    <s v="BH01"/>
    <s v="No"/>
    <s v="12th floor - office 1503 + 1504"/>
    <n v="275"/>
    <s v="BHD"/>
    <n v="37.090909090909093"/>
    <s v="6% every two years"/>
    <n v="10200"/>
    <n v="0"/>
    <n v="0"/>
    <n v="0"/>
    <e v="#DIV/0!"/>
    <e v="#DIV/0!"/>
    <e v="#DIV/0!"/>
    <s v="1 month notice can be given to vacate but after 1 year"/>
    <x v="50"/>
    <s v="Yes"/>
    <s v="subleaser"/>
    <m/>
    <m/>
    <m/>
    <m/>
    <m/>
  </r>
  <r>
    <x v="2"/>
    <x v="9"/>
    <x v="23"/>
    <x v="59"/>
    <s v="N/A"/>
    <x v="73"/>
    <s v="Rental"/>
    <s v="SA01"/>
    <s v="No"/>
    <s v="2 floors (M01-M02 : full floor \ office: 1st floor)  "/>
    <n v="1003"/>
    <s v="SAR"/>
    <n v="750"/>
    <s v="N/A"/>
    <n v="752250"/>
    <n v="122.3528993020937"/>
    <n v="101"/>
    <n v="0"/>
    <n v="0"/>
    <e v="#DIV/0!"/>
    <n v="9.9306930693069315"/>
    <s v="unknown"/>
    <x v="51"/>
    <d v="2025-12-31T00:00:00"/>
    <s v="No"/>
    <s v="N/A"/>
    <s v="No"/>
    <s v="Murtadha Abdulmuhsin"/>
    <d v="2026-02-24T00:00:00"/>
    <m/>
  </r>
  <r>
    <x v="2"/>
    <x v="9"/>
    <x v="23"/>
    <x v="60"/>
    <s v="N/A"/>
    <x v="74"/>
    <s v="Rental"/>
    <s v="SA02"/>
    <s v="No"/>
    <s v="Single office 1st floor Office B/9"/>
    <n v="115"/>
    <s v="SAR"/>
    <n v="1300"/>
    <s v="N/A"/>
    <n v="149500"/>
    <n v="44.082000000000001"/>
    <n v="3"/>
    <n v="7"/>
    <n v="2.3333333333333335"/>
    <n v="16.428571428571427"/>
    <n v="38.333333333333336"/>
    <s v="unknown"/>
    <x v="52"/>
    <d v="2025-12-07T00:00:00"/>
    <s v="No"/>
    <s v="N/A"/>
    <s v="No"/>
    <s v="Murtadha Abdulmuhsin"/>
    <n v="0"/>
    <m/>
  </r>
  <r>
    <x v="2"/>
    <x v="9"/>
    <x v="24"/>
    <x v="61"/>
    <s v="NA"/>
    <x v="75"/>
    <s v="Rental"/>
    <s v="LE01"/>
    <s v="No"/>
    <s v="Whole Building (GF+5 Floors+Storage)"/>
    <n v="1750"/>
    <s v="USD"/>
    <n v="77.142857142857139"/>
    <s v="18.5% every 3 years"/>
    <n v="135000"/>
    <n v="88.571428571428569"/>
    <n v="174"/>
    <n v="163"/>
    <n v="0.93678160919540232"/>
    <n v="10.736196319018404"/>
    <n v="10.057471264367816"/>
    <d v="2026-01-15T00:00:00"/>
    <x v="53"/>
    <d v="2029-01-15T00:00:00"/>
    <s v="No"/>
    <s v="No"/>
    <s v="No"/>
    <s v="Youmna Aoun"/>
    <d v="2026-01-27T00:00:00"/>
    <m/>
  </r>
  <r>
    <x v="2"/>
    <x v="9"/>
    <x v="24"/>
    <x v="61"/>
    <s v="NA"/>
    <x v="76"/>
    <s v="Rental"/>
    <s v="LE02"/>
    <s v="No"/>
    <s v="GF"/>
    <n v="500"/>
    <s v="USD"/>
    <n v="74.8"/>
    <s v="10% every 3 years"/>
    <n v="37400"/>
    <n v="180"/>
    <n v="59"/>
    <n v="119"/>
    <n v="2.0169491525423728"/>
    <n v="4.2016806722689077"/>
    <n v="8.4745762711864412"/>
    <d v="2023-01-01T00:00:00"/>
    <x v="54"/>
    <s v="NA"/>
    <s v="No"/>
    <s v="No"/>
    <s v="No"/>
    <s v="Youmna Aoun"/>
    <n v="0"/>
    <m/>
  </r>
  <r>
    <x v="2"/>
    <x v="9"/>
    <x v="24"/>
    <x v="61"/>
    <s v="NA"/>
    <x v="75"/>
    <s v="Rental"/>
    <s v="LE01"/>
    <s v="No"/>
    <s v="Plot for Parking"/>
    <n v="960"/>
    <s v="USD"/>
    <n v="34.375"/>
    <s v="10% every 3 years"/>
    <n v="33000"/>
    <s v="NA"/>
    <n v="0"/>
    <n v="0"/>
    <e v="#DIV/0!"/>
    <e v="#DIV/0!"/>
    <e v="#DIV/0!"/>
    <d v="2021-09-09T00:00:00"/>
    <x v="54"/>
    <d v="2029-01-01T00:00:00"/>
    <s v="No"/>
    <s v="NA"/>
    <s v="NA"/>
    <s v="Youmna Aoun"/>
    <n v="0"/>
    <m/>
  </r>
  <r>
    <x v="2"/>
    <x v="9"/>
    <x v="24"/>
    <x v="61"/>
    <s v="NA"/>
    <x v="75"/>
    <s v="Rental"/>
    <s v="LE01"/>
    <s v="No"/>
    <s v="Plot for Parking"/>
    <n v="1000"/>
    <s v="USD"/>
    <n v="0"/>
    <n v="0"/>
    <n v="0"/>
    <n v="0"/>
    <n v="0"/>
    <n v="0"/>
    <e v="#DIV/0!"/>
    <e v="#DIV/0!"/>
    <e v="#DIV/0!"/>
    <d v="2021-05-29T00:00:00"/>
    <x v="55"/>
    <d v="2025-12-31T00:00:00"/>
    <s v="No"/>
    <s v="NA"/>
    <s v="NA"/>
    <s v="Youmna Aoun"/>
    <n v="0"/>
    <m/>
  </r>
  <r>
    <x v="2"/>
    <x v="27"/>
    <x v="25"/>
    <x v="62"/>
    <n v="3722"/>
    <x v="77"/>
    <s v="Sublease"/>
    <s v="LY01"/>
    <s v="No"/>
    <s v="First Floor"/>
    <n v="380"/>
    <s v="EUR"/>
    <n v="1196.9000000000001"/>
    <n v="0"/>
    <n v="72000"/>
    <s v="230Euro /m"/>
    <n v="7"/>
    <n v="9"/>
    <n v="1.2857142857142858"/>
    <n v="42.222222222222221"/>
    <n v="54.285714285714285"/>
    <d v="2022-11-29T00:00:00"/>
    <x v="56"/>
    <n v="0"/>
    <s v="N/A"/>
    <s v="No"/>
    <s v="No"/>
    <n v="0"/>
    <d v="2025-11-19T00:00:00"/>
    <m/>
  </r>
  <r>
    <x v="0"/>
    <x v="28"/>
    <x v="26"/>
    <x v="63"/>
    <n v="50450"/>
    <x v="78"/>
    <s v="Rental"/>
    <s v="MY01"/>
    <s v="No"/>
    <s v="17th floor Office suite 19-17-1 &amp; 3 &amp; 5"/>
    <n v="635.54942300000005"/>
    <s v="MYR"/>
    <n v="542.50131857959377"/>
    <s v="no rent increase"/>
    <n v="0"/>
    <n v="161348.85999999999"/>
    <n v="85"/>
    <n v="114"/>
    <n v="1.3411764705882352"/>
    <n v="5.5749949385964914"/>
    <n v="7.4770520352941183"/>
    <d v="2022-01-01T00:00:00"/>
    <x v="36"/>
    <d v="2027-12-31T00:00:00"/>
    <s v="No"/>
    <s v="No"/>
    <s v="No"/>
    <n v="0"/>
    <d v="1899-12-30T00:00:00"/>
    <m/>
  </r>
  <r>
    <x v="0"/>
    <x v="28"/>
    <x v="26"/>
    <x v="63"/>
    <n v="50450"/>
    <x v="79"/>
    <s v="Rental"/>
    <s v="MY01"/>
    <s v="No"/>
    <s v="13th floor Office suite 19-13-2"/>
    <n v="306.57990000000001"/>
    <s v="MYR"/>
    <n v="542.50131857959377"/>
    <s v="no rent increase"/>
    <n v="0"/>
    <n v="78081.259999999995"/>
    <n v="43"/>
    <n v="43"/>
    <n v="1"/>
    <n v="7.1297651162790698"/>
    <n v="7.1297651162790698"/>
    <d v="2021-12-01T00:00:00"/>
    <x v="36"/>
    <d v="2027-12-31T00:00:00"/>
    <s v="No"/>
    <s v="No"/>
    <s v="No"/>
    <n v="0"/>
    <d v="1899-12-30T00:00:00"/>
    <m/>
  </r>
  <r>
    <x v="3"/>
    <x v="29"/>
    <x v="27"/>
    <x v="64"/>
    <n v="37510"/>
    <x v="80"/>
    <s v="Rental"/>
    <s v="MX03"/>
    <s v="No"/>
    <s v="4th floor "/>
    <n v="10"/>
    <s v="MXN"/>
    <n v="2397.6000000000004"/>
    <s v="INPC"/>
    <n v="0"/>
    <s v="None"/>
    <n v="48"/>
    <n v="0"/>
    <n v="0"/>
    <e v="#DIV/0!"/>
    <n v="0.20833333333333334"/>
    <d v="2023-01-01T00:00:00"/>
    <x v="6"/>
    <d v="2023-12-31T00:00:00"/>
    <s v="No"/>
    <s v="No"/>
    <s v="No"/>
    <n v="0"/>
    <n v="0"/>
    <m/>
  </r>
  <r>
    <x v="3"/>
    <x v="29"/>
    <x v="27"/>
    <x v="65"/>
    <n v="76150"/>
    <x v="81"/>
    <s v="Rental"/>
    <s v="MX02"/>
    <s v="No"/>
    <s v="4th floor (401-404)"/>
    <n v="857.47"/>
    <s v="MXN"/>
    <n v="2160"/>
    <s v="INPC"/>
    <n v="0"/>
    <n v="480"/>
    <n v="249"/>
    <n v="120"/>
    <n v="0.48192771084337349"/>
    <n v="7.1455833333333336"/>
    <n v="3.4436546184738956"/>
    <d v="2022-03-16T00:00:00"/>
    <x v="57"/>
    <d v="2025-03-15T00:00:00"/>
    <s v="No"/>
    <s v="No"/>
    <s v="No"/>
    <n v="0"/>
    <n v="0"/>
    <m/>
  </r>
  <r>
    <x v="3"/>
    <x v="29"/>
    <x v="27"/>
    <x v="66"/>
    <n v="3940"/>
    <x v="82"/>
    <s v="Rental"/>
    <s v="MX01"/>
    <s v="No"/>
    <s v="8th Floor"/>
    <n v="1884.66"/>
    <s v="MXN"/>
    <n v="5066.7700000000004"/>
    <s v="INPC"/>
    <n v="9549138.7482000012"/>
    <n v="354"/>
    <n v="957"/>
    <n v="417"/>
    <n v="0.43573667711598746"/>
    <n v="4.5195683453237416"/>
    <n v="1.9693416927899687"/>
    <d v="2021-09-01T00:00:00"/>
    <x v="58"/>
    <d v="2024-10-31T00:00:00"/>
    <s v="No"/>
    <s v="No"/>
    <s v="No"/>
    <n v="0"/>
    <s v="31/09/2025"/>
    <m/>
  </r>
  <r>
    <x v="1"/>
    <x v="30"/>
    <x v="28"/>
    <x v="67"/>
    <s v="1059 VM"/>
    <x v="83"/>
    <s v="Rental"/>
    <s v="NL01"/>
    <s v="No"/>
    <s v="floors 1A, 3A, 4A"/>
    <n v="1821"/>
    <s v="EUR"/>
    <n v="189"/>
    <n v="2.5000000000000001E-2"/>
    <n v="0"/>
    <n v="49.42"/>
    <n v="221"/>
    <n v="203"/>
    <n v="0.91855203619909498"/>
    <n v="8.970443349753694"/>
    <n v="8.239819004524886"/>
    <d v="2023-05-01T00:00:00"/>
    <x v="59"/>
    <d v="2028-04-30T00:00:00"/>
    <s v="No"/>
    <s v="tbd"/>
    <s v="No"/>
    <n v="0"/>
    <d v="2025-11-26T00:00:00"/>
    <m/>
  </r>
  <r>
    <x v="0"/>
    <x v="31"/>
    <x v="29"/>
    <x v="68"/>
    <s v="0622"/>
    <x v="84"/>
    <s v="Rental"/>
    <s v="NZ01"/>
    <s v="No"/>
    <s v="2nd and 3rd floors"/>
    <n v="990"/>
    <s v="NZD"/>
    <n v="352.96"/>
    <s v="Market indexed"/>
    <n v="349430.39999999997"/>
    <n v="280.96363636363634"/>
    <n v="88"/>
    <n v="98"/>
    <n v="1.1136363636363635"/>
    <n v="10.102040816326531"/>
    <n v="11.25"/>
    <d v="2016-08-01T00:00:00"/>
    <x v="60"/>
    <d v="2025-08-01T00:00:00"/>
    <s v="Yes"/>
    <s v="Yes"/>
    <s v="No"/>
    <n v="0"/>
    <d v="2026-01-08T00:00:00"/>
    <m/>
  </r>
  <r>
    <x v="2"/>
    <x v="3"/>
    <x v="30"/>
    <x v="69"/>
    <n v="6754"/>
    <x v="85"/>
    <s v="Rental"/>
    <s v="PH01"/>
    <s v="Yes"/>
    <s v="Whole 9th floor"/>
    <n v="2572.04"/>
    <s v="PHP"/>
    <n v="957.21"/>
    <s v="5 every year"/>
    <n v="2461982.4084000001"/>
    <s v="PHP 220 per square meter per month for the common area and maintenance charges"/>
    <n v="261"/>
    <n v="206"/>
    <n v="0.78927203065134099"/>
    <n v="12.485631067961165"/>
    <n v="9.8545593869731807"/>
    <d v="2026-01-13T00:00:00"/>
    <x v="61"/>
    <s v="anytime"/>
    <s v="No"/>
    <s v="No"/>
    <s v="No"/>
    <s v="Ramil G. Eugenio"/>
    <n v="46050"/>
    <m/>
  </r>
  <r>
    <x v="1"/>
    <x v="32"/>
    <x v="31"/>
    <x v="70"/>
    <s v="87-100"/>
    <x v="86"/>
    <s v="Rental"/>
    <s v="PL02"/>
    <s v="No"/>
    <s v="4th floor"/>
    <s v="795,32 "/>
    <s v="PLN"/>
    <s v=" 53,50"/>
    <s v="New building"/>
    <n v="0"/>
    <n v="0"/>
    <n v="0"/>
    <n v="0"/>
    <e v="#DIV/0!"/>
    <e v="#DIV/0!"/>
    <e v="#DIV/0!"/>
    <d v="2024-10-01T00:00:00"/>
    <x v="62"/>
    <s v="31/12/2029 "/>
    <n v="0"/>
    <s v="No"/>
    <s v="No"/>
    <n v="0"/>
    <d v="2025-10-02T00:00:00"/>
    <m/>
  </r>
  <r>
    <x v="1"/>
    <x v="32"/>
    <x v="31"/>
    <x v="71"/>
    <s v="02-672"/>
    <x v="87"/>
    <s v="Rental"/>
    <s v="PL01"/>
    <s v="No"/>
    <s v="4th floor"/>
    <n v="2357.52"/>
    <s v="PLN"/>
    <n v="1222.02"/>
    <s v="In accordance with the provisions of the lease agreement binding us, the building's landlord adjusted the rental rates by adopting the official inflation rate for the euro of 9,2% (EICP) and 8,4% (MUICP) - subject to the official CPI"/>
    <n v="0"/>
    <n v="535420.5"/>
    <n v="343"/>
    <n v="141"/>
    <n v="0.41107871720116618"/>
    <n v="16.72"/>
    <n v="6.8732361516034981"/>
    <d v="2020-02-03T00:00:00"/>
    <x v="63"/>
    <d v="2027-11-30T00:00:00"/>
    <s v="Rio Foundation uses 400m² free of charge until 31.12.2023, which got extended until 31.12.2024 - Email Sylwia 07.05.2024"/>
    <s v="No"/>
    <s v="yes (the company has adopted an ESG strategy in every area of the business )"/>
    <n v="0"/>
    <d v="2025-10-02T00:00:00"/>
    <m/>
  </r>
  <r>
    <x v="1"/>
    <x v="33"/>
    <x v="32"/>
    <x v="0"/>
    <n v="0"/>
    <x v="88"/>
    <s v="Rental"/>
    <s v="PT01"/>
    <s v="No"/>
    <n v="0"/>
    <n v="1251"/>
    <s v="EUR"/>
    <n v="140.39999999999998"/>
    <n v="0"/>
    <n v="175640.39999999997"/>
    <n v="0"/>
    <n v="0"/>
    <n v="168"/>
    <e v="#DIV/0!"/>
    <n v="7.4464285714285712"/>
    <e v="#DIV/0!"/>
    <d v="2025-10-31T00:00:00"/>
    <x v="64"/>
    <d v="2030-10-31T00:00:00"/>
    <n v="0"/>
    <s v="Yes"/>
    <s v="No"/>
    <s v="Alzira Alves"/>
    <d v="2026-02-10T00:00:00"/>
    <m/>
  </r>
  <r>
    <x v="2"/>
    <x v="9"/>
    <x v="33"/>
    <x v="72"/>
    <n v="55171"/>
    <x v="89"/>
    <s v="Sublease"/>
    <s v="QT01"/>
    <s v="Yes"/>
    <s v="Single office (6th floor) 604 D"/>
    <n v="128.25"/>
    <s v="QAR"/>
    <n v="1080"/>
    <s v="N/A"/>
    <n v="138510"/>
    <n v="175.83625730994152"/>
    <n v="22"/>
    <n v="22"/>
    <n v="1"/>
    <n v="5.8295454545454541"/>
    <n v="5.8295454545454541"/>
    <d v="2025-06-01T00:00:00"/>
    <x v="65"/>
    <d v="2025-06-01T00:00:00"/>
    <s v="No"/>
    <s v="N/A"/>
    <s v="No"/>
    <s v="Zuheila Miranda / Maria Herrera"/>
    <n v="0"/>
    <m/>
  </r>
  <r>
    <x v="2"/>
    <x v="3"/>
    <x v="34"/>
    <x v="73"/>
    <n v="55171"/>
    <x v="90"/>
    <s v="Rental"/>
    <s v="QT01"/>
    <s v="No"/>
    <s v="6th floor"/>
    <n v="384.75"/>
    <s v="QAR"/>
    <n v="1080"/>
    <s v="N/A"/>
    <n v="415530"/>
    <n v="175.83625730994152"/>
    <n v="16"/>
    <n v="44"/>
    <n v="2.75"/>
    <n v="8.7443181818181817"/>
    <n v="24.046875"/>
    <d v="2025-06-01T00:00:00"/>
    <x v="65"/>
    <d v="2025-06-01T00:00:00"/>
    <s v="Yes  "/>
    <s v="No"/>
    <s v="No"/>
    <n v="0"/>
    <d v="2026-02-02T00:00:00"/>
    <m/>
  </r>
  <r>
    <x v="1"/>
    <x v="2"/>
    <x v="35"/>
    <x v="74"/>
    <n v="20339"/>
    <x v="91"/>
    <s v="Rental"/>
    <s v="RO01"/>
    <s v="No"/>
    <s v="11th floor"/>
    <n v="2343.77"/>
    <s v="EUR"/>
    <n v="167.76"/>
    <s v="0 until 2025. At 5 years anniversary, based on market status, if the net difference in the net effective rent per square meter per month between the term of the lease and the market benchmark is above 15% then the rent will be amended, if is less the rent will remain unchanged"/>
    <n v="41553"/>
    <n v="69.960000000000008"/>
    <n v="200"/>
    <s v="120 workstations with TC &amp; Monitors_x000a_60 Travelers (with laptop)"/>
    <e v="#VALUE!"/>
    <e v="#VALUE!"/>
    <n v="11.71885"/>
    <d v="2020-01-01T00:00:00"/>
    <x v="62"/>
    <d v="2024-12-31T00:00:00"/>
    <s v="No"/>
    <s v="Yes"/>
    <s v="BREEAM"/>
    <n v="0"/>
    <d v="2025-09-25T00:00:00"/>
    <m/>
  </r>
  <r>
    <x v="0"/>
    <x v="34"/>
    <x v="36"/>
    <x v="75"/>
    <n v="68897"/>
    <x v="92"/>
    <s v="Rental"/>
    <s v="SG01"/>
    <s v="No"/>
    <s v="9th floor"/>
    <n v="411.18889999999999"/>
    <s v="SGD"/>
    <n v="1278.72"/>
    <n v="0.02"/>
    <n v="0"/>
    <n v="63250.09"/>
    <n v="50"/>
    <n v="0"/>
    <n v="0"/>
    <e v="#DIV/0!"/>
    <n v="8.2237779999999994"/>
    <d v="2022-01-19T00:00:00"/>
    <x v="66"/>
    <d v="2028-01-18T00:00:00"/>
    <s v="N/A"/>
    <s v="No"/>
    <s v="No"/>
    <n v="0"/>
    <d v="1899-12-30T00:00:00"/>
    <m/>
  </r>
  <r>
    <x v="1"/>
    <x v="35"/>
    <x v="37"/>
    <x v="76"/>
    <n v="28043"/>
    <x v="93"/>
    <s v="Rental"/>
    <s v="SP01"/>
    <s v="Yes"/>
    <s v="Second floor completly  and Third floor two parts."/>
    <n v="5511"/>
    <s v="EUR"/>
    <n v="193.56"/>
    <n v="2.8000000000000001E-2"/>
    <n v="0"/>
    <n v="95.808383233532936"/>
    <n v="629"/>
    <n v="509"/>
    <n v="0.80922098569157397"/>
    <n v="10.827111984282908"/>
    <n v="8.761526232114468"/>
    <s v="15/01/2013"/>
    <x v="67"/>
    <d v="2026-01-15T00:00:00"/>
    <s v="No"/>
    <s v="Yes"/>
    <s v="LEED - Gold"/>
    <s v="Alzira Alves"/>
    <d v="2025-10-06T00:00:00"/>
    <m/>
  </r>
  <r>
    <x v="1"/>
    <x v="36"/>
    <x v="37"/>
    <x v="77"/>
    <s v="08009"/>
    <x v="94"/>
    <s v="Rental"/>
    <s v="MA02"/>
    <s v="No"/>
    <s v="Partial 3rd Floor"/>
    <n v="425.95"/>
    <s v="EUR"/>
    <n v="226"/>
    <s v="IPC March YTD"/>
    <n v="0"/>
    <n v="31.636934527270611"/>
    <n v="39"/>
    <n v="77"/>
    <n v="1.9743589743589745"/>
    <n v="5.5318181818181813"/>
    <n v="10.921794871794871"/>
    <d v="2010-04-01T00:00:00"/>
    <x v="68"/>
    <d v="2024-03-31T00:00:00"/>
    <n v="0"/>
    <s v="Yes"/>
    <s v="No"/>
    <n v="0"/>
    <n v="0"/>
    <m/>
  </r>
  <r>
    <x v="1"/>
    <x v="36"/>
    <x v="37"/>
    <x v="77"/>
    <s v="08010"/>
    <x v="94"/>
    <s v="Rental"/>
    <s v="MA02"/>
    <s v="No"/>
    <s v="Parking"/>
    <n v="0"/>
    <n v="0"/>
    <n v="0"/>
    <n v="0"/>
    <n v="0"/>
    <n v="11.87"/>
    <n v="0"/>
    <n v="0"/>
    <e v="#DIV/0!"/>
    <e v="#DIV/0!"/>
    <e v="#DIV/0!"/>
    <m/>
    <x v="68"/>
    <d v="1899-12-30T00:00:00"/>
    <n v="0"/>
    <n v="0"/>
    <n v="0"/>
    <n v="0"/>
    <n v="0"/>
    <m/>
  </r>
  <r>
    <x v="1"/>
    <x v="36"/>
    <x v="37"/>
    <x v="78"/>
    <n v="41005"/>
    <x v="95"/>
    <s v="Rental"/>
    <s v="MA03"/>
    <s v="No"/>
    <s v="Partial 2nd Floor"/>
    <n v="179.8"/>
    <s v="EUR"/>
    <n v="148.07999999999998"/>
    <s v="IPC October YTD"/>
    <n v="0"/>
    <n v="22.11294577430386"/>
    <n v="64"/>
    <n v="29"/>
    <n v="0.453125"/>
    <n v="6.2"/>
    <n v="2.8093750000000002"/>
    <d v="2021-10-15T00:00:00"/>
    <x v="69"/>
    <d v="2023-10-14T00:00:00"/>
    <n v="0"/>
    <s v="Yes"/>
    <s v="BREEAM"/>
    <n v="0"/>
    <n v="0"/>
    <m/>
  </r>
  <r>
    <x v="1"/>
    <x v="36"/>
    <x v="37"/>
    <x v="78"/>
    <n v="41006"/>
    <x v="95"/>
    <s v="Rental"/>
    <s v="MA03"/>
    <s v="No"/>
    <s v="Parking"/>
    <n v="0"/>
    <n v="0"/>
    <n v="0"/>
    <n v="0"/>
    <n v="0"/>
    <n v="0"/>
    <n v="0"/>
    <n v="0"/>
    <e v="#DIV/0!"/>
    <e v="#DIV/0!"/>
    <e v="#DIV/0!"/>
    <m/>
    <x v="69"/>
    <d v="1899-12-30T00:00:00"/>
    <n v="0"/>
    <n v="0"/>
    <n v="0"/>
    <n v="0"/>
    <d v="1899-12-30T00:00:00"/>
    <m/>
  </r>
  <r>
    <x v="1"/>
    <x v="36"/>
    <x v="37"/>
    <x v="79"/>
    <n v="48001"/>
    <x v="96"/>
    <s v="Rental"/>
    <s v="MA04"/>
    <s v="No"/>
    <s v="Partial, 2nd floor"/>
    <n v="140"/>
    <s v="EUR"/>
    <n v="136.68"/>
    <s v="IPC December YTD"/>
    <n v="0"/>
    <n v="0"/>
    <n v="17"/>
    <n v="13"/>
    <n v="0.76470588235294112"/>
    <n v="10.76923076923077"/>
    <n v="8.235294117647058"/>
    <d v="2021-11-15T00:00:00"/>
    <x v="70"/>
    <d v="2023-12-31T00:00:00"/>
    <n v="0"/>
    <s v="Yes"/>
    <s v="No"/>
    <n v="0"/>
    <n v="0"/>
    <m/>
  </r>
  <r>
    <x v="1"/>
    <x v="36"/>
    <x v="37"/>
    <x v="80"/>
    <n v="28760"/>
    <x v="97"/>
    <s v="Rental"/>
    <s v="MA01"/>
    <s v="No"/>
    <s v="Whole Building"/>
    <n v="4725"/>
    <s v="EUR"/>
    <n v="127"/>
    <s v="IPC+2,5% max. 5,5%"/>
    <n v="0"/>
    <n v="33.96"/>
    <n v="854"/>
    <n v="659"/>
    <n v="0.77166276346604212"/>
    <n v="7.1699544764795142"/>
    <n v="5.5327868852459012"/>
    <d v="1998-10-29T00:00:00"/>
    <x v="36"/>
    <d v="2023-12-31T00:00:00"/>
    <n v="0"/>
    <s v="Yes"/>
    <s v="No"/>
    <n v="0"/>
    <d v="1899-12-30T00:00:00"/>
    <m/>
  </r>
  <r>
    <x v="2"/>
    <x v="9"/>
    <x v="38"/>
    <x v="81"/>
    <n v="115"/>
    <x v="98"/>
    <s v="Rental"/>
    <s v="OM01"/>
    <s v="No"/>
    <s v="Single office 1st Floor Office no #17"/>
    <n v="310"/>
    <s v="OMR"/>
    <n v="45.29032258064516"/>
    <s v="N/A"/>
    <n v="14040"/>
    <n v="3.8391193548387097"/>
    <n v="14"/>
    <n v="20"/>
    <n v="1.4285714285714286"/>
    <n v="15.5"/>
    <n v="22.142857142857142"/>
    <d v="2023-05-01T00:00:00"/>
    <x v="59"/>
    <d v="2028-04-30T00:00:00"/>
    <s v="No"/>
    <s v="N/A"/>
    <s v="No"/>
    <s v="Aparna Syed"/>
    <s v="26/01/2026"/>
    <m/>
  </r>
  <r>
    <x v="2"/>
    <x v="9"/>
    <x v="38"/>
    <x v="81"/>
    <n v="115"/>
    <x v="98"/>
    <s v="Rental"/>
    <s v="OM01"/>
    <s v="No"/>
    <s v="Single office 2nd Floor Office no #21"/>
    <n v="125"/>
    <s v="OMR"/>
    <n v="50.4"/>
    <s v="N/A"/>
    <n v="6300"/>
    <n v="1.3038159999999999"/>
    <n v="11"/>
    <n v="32"/>
    <n v="2.9090909090909092"/>
    <n v="3.90625"/>
    <n v="11.363636363636363"/>
    <d v="2025-03-01T00:00:00"/>
    <x v="59"/>
    <d v="2028-04-30T00:00:00"/>
    <s v="No"/>
    <s v="N/A"/>
    <s v="No"/>
    <s v="Aparna Syed"/>
    <n v="0"/>
    <m/>
  </r>
  <r>
    <x v="1"/>
    <x v="37"/>
    <x v="39"/>
    <x v="82"/>
    <n v="8304"/>
    <x v="99"/>
    <s v="Rental"/>
    <s v="CH01"/>
    <s v="Yes"/>
    <s v="A part of the 1st and 2nd floor &amp; parking"/>
    <n v="1257"/>
    <s v="CHF"/>
    <n v="586"/>
    <s v="Depends on National Index of consumer prices "/>
    <n v="737020"/>
    <s v="The costs are included in the total rental costs."/>
    <n v="152"/>
    <n v="130"/>
    <n v="0.85526315789473684"/>
    <n v="9.6692307692307686"/>
    <n v="8.2697368421052637"/>
    <d v="2020-10-01T00:00:00"/>
    <x v="62"/>
    <d v="2029-12-31T00:00:00"/>
    <s v="No"/>
    <s v="Yes"/>
    <s v="Verein Association Minergie - Certified standard 2009"/>
    <n v="0"/>
    <d v="2025-10-08T00:00:00"/>
    <m/>
  </r>
  <r>
    <x v="0"/>
    <x v="38"/>
    <x v="40"/>
    <x v="83"/>
    <n v="10400"/>
    <x v="100"/>
    <s v="Rental"/>
    <s v="TH01"/>
    <s v="No"/>
    <s v="7 floor"/>
    <n v="2268"/>
    <s v="THB"/>
    <n v="164"/>
    <n v="0.06"/>
    <n v="4463424"/>
    <n v="246"/>
    <n v="420"/>
    <n v="384"/>
    <n v="0.91428571428571426"/>
    <n v="5.90625"/>
    <n v="5.4"/>
    <d v="2021-08-01T00:00:00"/>
    <x v="71"/>
    <d v="2031-07-31T00:00:00"/>
    <s v="No"/>
    <s v="No"/>
    <s v="No"/>
    <n v="0"/>
    <d v="2026-02-05T00:00:00"/>
    <m/>
  </r>
  <r>
    <x v="0"/>
    <x v="38"/>
    <x v="40"/>
    <x v="83"/>
    <n v="10260"/>
    <x v="101"/>
    <s v="Rental"/>
    <s v="TH02"/>
    <s v="No"/>
    <s v="8 floor"/>
    <n v="320"/>
    <s v="THB"/>
    <n v="100"/>
    <n v="0"/>
    <n v="384000"/>
    <n v="250"/>
    <n v="22"/>
    <n v="54"/>
    <n v="2.4545454545454546"/>
    <n v="5.9259259259259256"/>
    <n v="14.545454545454545"/>
    <d v="2023-08-15T00:00:00"/>
    <x v="72"/>
    <d v="2026-08-14T00:00:00"/>
    <s v="No"/>
    <s v="No"/>
    <s v="No"/>
    <n v="0"/>
    <d v="1899-12-30T00:00:00"/>
    <m/>
  </r>
  <r>
    <x v="2"/>
    <x v="9"/>
    <x v="41"/>
    <x v="84"/>
    <n v="1002"/>
    <x v="102"/>
    <s v="Rental"/>
    <s v="TU01"/>
    <s v="No"/>
    <s v="whole building (basement, ground, 1st and 2nd floors)"/>
    <n v="609"/>
    <s v="TND"/>
    <n v="443.3497536945813"/>
    <s v="5% annually"/>
    <n v="270000"/>
    <s v="N/A"/>
    <n v="104"/>
    <n v="89"/>
    <n v="0.85576923076923073"/>
    <n v="6.8426966292134832"/>
    <n v="5.8557692307692308"/>
    <d v="2025-12-08T00:00:00"/>
    <x v="73"/>
    <d v="2028-12-07T00:00:00"/>
    <s v="No"/>
    <s v="N/A"/>
    <s v="No"/>
    <s v="Sabrine Boughdiri"/>
    <d v="2026-02-02T00:00:00"/>
    <m/>
  </r>
  <r>
    <x v="1"/>
    <x v="39"/>
    <x v="42"/>
    <x v="85"/>
    <n v="0"/>
    <x v="103"/>
    <s v="Rental"/>
    <s v="TR01"/>
    <s v="No"/>
    <n v="0"/>
    <n v="1450"/>
    <s v="TRY"/>
    <n v="0"/>
    <s v="_x000a_Average annual inflation"/>
    <n v="240000"/>
    <n v="2520"/>
    <n v="145"/>
    <s v="N/A"/>
    <e v="#VALUE!"/>
    <e v="#VALUE!"/>
    <n v="10"/>
    <d v="2017-02-01T00:00:00"/>
    <x v="74"/>
    <d v="2027-06-01T00:00:00"/>
    <s v="No"/>
    <s v="No"/>
    <s v="No"/>
    <n v="0"/>
    <d v="2025-10-02T00:00:00"/>
    <m/>
  </r>
  <r>
    <x v="1"/>
    <x v="39"/>
    <x v="42"/>
    <x v="86"/>
    <n v="34662"/>
    <x v="104"/>
    <s v="Rental"/>
    <s v="TR02"/>
    <s v="No"/>
    <n v="0"/>
    <n v="830"/>
    <s v="TRY"/>
    <n v="0"/>
    <s v="_x000a_Average annual inflation"/>
    <n v="472950"/>
    <n v="2520"/>
    <n v="125"/>
    <s v="N/A"/>
    <e v="#VALUE!"/>
    <e v="#VALUE!"/>
    <n v="6.64"/>
    <d v="2018-02-01T00:00:00"/>
    <x v="74"/>
    <d v="2027-06-01T00:00:00"/>
    <s v="No"/>
    <s v="No"/>
    <s v="No"/>
    <n v="0"/>
    <d v="2025-10-02T00:00:00"/>
    <m/>
  </r>
  <r>
    <x v="2"/>
    <x v="9"/>
    <x v="43"/>
    <x v="87"/>
    <n v="80864"/>
    <x v="105"/>
    <s v="Rental"/>
    <s v="UA01"/>
    <s v="No"/>
    <s v="First floor (entire floor)"/>
    <n v="3625.05"/>
    <s v="AED"/>
    <n v="1028.0255444752486"/>
    <s v="6% annual"/>
    <n v="3726644"/>
    <n v="117.7269968690087"/>
    <n v="927"/>
    <n v="520"/>
    <n v="0.56094929881337652"/>
    <n v="6.9712500000000004"/>
    <n v="3.9105177993527511"/>
    <d v="2020-11-01T00:00:00"/>
    <x v="60"/>
    <s v="written notice no later than 6 months before the expiry"/>
    <s v="No"/>
    <s v="N/A"/>
    <s v="No"/>
    <s v="Shirin Syed "/>
    <d v="2025-09-25T00:00:00"/>
    <m/>
  </r>
  <r>
    <x v="2"/>
    <x v="9"/>
    <x v="43"/>
    <x v="87"/>
    <n v="80864"/>
    <x v="106"/>
    <s v="Rental"/>
    <s v="UA02"/>
    <s v="No"/>
    <s v="4 offices (second floor) 201 to 204"/>
    <n v="607.49"/>
    <s v="AED"/>
    <n v="1140.9833906730976"/>
    <s v="6% rent increase effective from 2024 through 2027 (covering a period of 3 years), after which the lease contract will require renewal"/>
    <n v="693136"/>
    <n v="115.27243246802418"/>
    <n v="63"/>
    <n v="83"/>
    <n v="1.3174603174603174"/>
    <n v="7.3191566265060244"/>
    <n v="9.6426984126984134"/>
    <d v="2022-09-20T00:00:00"/>
    <x v="75"/>
    <s v="3 months notice before vacate"/>
    <s v="No"/>
    <s v="N/A"/>
    <s v="No"/>
    <s v="Shirin Syed "/>
    <n v="0"/>
    <m/>
  </r>
  <r>
    <x v="2"/>
    <x v="9"/>
    <x v="43"/>
    <x v="87"/>
    <n v="80864"/>
    <x v="106"/>
    <s v="Rental"/>
    <s v="UA02"/>
    <s v="No"/>
    <s v="1 office (second floor) - Vakson Extension - 206"/>
    <n v="124.59"/>
    <s v="AED"/>
    <n v="1291.5964363111004"/>
    <s v="Approx. 5.83% rent increase from April 2026 to January 2027. From April 2027 to July 2027, the rent will be AED 70,453"/>
    <n v="160920"/>
    <n v="15.568665221927922"/>
    <n v="21"/>
    <n v="22"/>
    <n v="1.0476190476190477"/>
    <n v="5.6631818181818181"/>
    <n v="5.9328571428571433"/>
    <d v="2023-03-22T00:00:00"/>
    <x v="76"/>
    <s v="3 months notice before vacate"/>
    <s v="No"/>
    <s v="N/A"/>
    <s v="No"/>
    <s v="Shirin Syed "/>
    <n v="0"/>
    <m/>
  </r>
  <r>
    <x v="2"/>
    <x v="9"/>
    <x v="43"/>
    <x v="88"/>
    <n v="340536"/>
    <x v="107"/>
    <s v="Rental"/>
    <s v="UA04"/>
    <s v="No"/>
    <s v="This property is rented and we have occupied 2 offices "/>
    <n v="275.14999999999998"/>
    <s v="AED"/>
    <n v="658.27730328911514"/>
    <s v="5% annual increase until Feb 2026, then rent remains until end of lease 2028"/>
    <n v="181125"/>
    <n v="0"/>
    <n v="21"/>
    <n v="22"/>
    <n v="1.0476190476190477"/>
    <n v="12.506818181818181"/>
    <n v="13.102380952380951"/>
    <d v="2023-03-01T00:00:00"/>
    <x v="77"/>
    <s v="3 months notice before vacate"/>
    <s v="No"/>
    <s v="N/A"/>
    <s v="No"/>
    <s v="Mahmood Kuniyil"/>
    <n v="0"/>
    <m/>
  </r>
  <r>
    <x v="2"/>
    <x v="9"/>
    <x v="43"/>
    <x v="89"/>
    <s v="N/A"/>
    <x v="108"/>
    <s v="Rental"/>
    <s v="UA03"/>
    <s v="No"/>
    <s v="Single office (Mezzanie floor)"/>
    <n v="38"/>
    <s v="AED"/>
    <n v="921.0526315789474"/>
    <s v="0% - annual contract"/>
    <n v="35000"/>
    <n v="203.37157894736842"/>
    <n v="3"/>
    <n v="7"/>
    <n v="2.3333333333333335"/>
    <n v="5.4285714285714288"/>
    <n v="12.666666666666666"/>
    <d v="2024-10-01T00:00:00"/>
    <x v="20"/>
    <s v="2 months notice prior to the end of the 6th month of the lease period"/>
    <s v="No"/>
    <s v="N/A"/>
    <s v="No"/>
    <s v="Shirin Syed "/>
    <n v="0"/>
    <m/>
  </r>
  <r>
    <x v="1"/>
    <x v="10"/>
    <x v="44"/>
    <x v="90"/>
    <s v="B5 4UA"/>
    <x v="109"/>
    <s v="Rental"/>
    <s v="UK02"/>
    <s v="No"/>
    <s v="Half of 3rd floor"/>
    <n v="703"/>
    <s v="GBP"/>
    <n v="683.27652916073976"/>
    <s v="n/a"/>
    <n v="480343.4"/>
    <n v="306.94051209103839"/>
    <n v="47"/>
    <n v="47"/>
    <n v="1"/>
    <n v="14.957446808510639"/>
    <n v="14.957446808510639"/>
    <s v="18/11/2024"/>
    <x v="78"/>
    <s v="monthly"/>
    <s v="No"/>
    <s v="N/A"/>
    <s v="No"/>
    <n v="0"/>
    <d v="2025-10-01T00:00:00"/>
    <m/>
  </r>
  <r>
    <x v="1"/>
    <x v="10"/>
    <x v="44"/>
    <x v="91"/>
    <s v="CR9 6HD"/>
    <x v="110"/>
    <s v="Rental"/>
    <s v="UK01"/>
    <s v="No"/>
    <s v="Whole Buidling"/>
    <n v="4937.7944500000003"/>
    <s v="GBP"/>
    <n v="312.15355268585552"/>
    <s v="Rent review November 2026"/>
    <n v="1541350.08"/>
    <n v="230.57723676610311"/>
    <n v="395"/>
    <n v="321"/>
    <n v="0.81265822784810127"/>
    <n v="15.382537227414332"/>
    <n v="12.500745443037976"/>
    <s v="14/11/2021"/>
    <x v="79"/>
    <s v="13/11/2031"/>
    <s v="No"/>
    <s v="Yes"/>
    <s v="No"/>
    <n v="0"/>
    <d v="2025-10-01T00:00:00"/>
    <m/>
  </r>
  <r>
    <x v="3"/>
    <x v="40"/>
    <x v="45"/>
    <x v="92"/>
    <n v="23233"/>
    <x v="111"/>
    <s v="Rental"/>
    <s v="US01"/>
    <s v="No"/>
    <s v="4th and 5th floor"/>
    <n v="11171.957361999999"/>
    <s v="USD"/>
    <n v="258"/>
    <n v="0.03"/>
    <n v="0"/>
    <s v="tbd"/>
    <n v="518"/>
    <n v="561"/>
    <n v="1.083011583011583"/>
    <n v="19.914362499108734"/>
    <n v="21.567485254826252"/>
    <d v="2023-07-01T00:00:00"/>
    <x v="80"/>
    <d v="2031-05-31T00:00:00"/>
    <s v="No"/>
    <s v="No, RECs are purchased to offset usage"/>
    <s v="No"/>
    <n v="0"/>
    <d v="2025-10-31T00:00:00"/>
    <m/>
  </r>
  <r>
    <x v="3"/>
    <x v="40"/>
    <x v="45"/>
    <x v="93"/>
    <n v="33811"/>
    <x v="112"/>
    <s v="Rental"/>
    <s v="US02"/>
    <s v="No"/>
    <s v="Training Rooms and 4 Private Offices"/>
    <s v="Not renting by square foot but by space"/>
    <s v="USD"/>
    <n v="13350"/>
    <s v="N/A"/>
    <n v="0"/>
    <s v="included in monthly rent"/>
    <s v="N/A"/>
    <s v="4 furninshed offices and training for up to 30"/>
    <e v="#VALUE!"/>
    <e v="#VALUE!"/>
    <e v="#VALUE!"/>
    <d v="2023-03-06T00:00:00"/>
    <x v="81"/>
    <s v="Month to Month"/>
    <s v="No"/>
    <s v="No"/>
    <s v="No"/>
    <n v="0"/>
    <d v="2025-10-31T00:0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1D8668-9CA2-4F4E-BBF3-DDB8DE87D887}"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333" firstHeaderRow="1" firstDataRow="1" firstDataCol="1"/>
  <pivotFields count="30">
    <pivotField axis="axisRow" showAll="0" defaultSubtotal="0">
      <items count="4">
        <item x="1"/>
        <item x="0"/>
        <item x="3"/>
        <item x="2"/>
      </items>
    </pivotField>
    <pivotField axis="axisRow" showAll="0" defaultSubtotal="0">
      <items count="41">
        <item x="0"/>
        <item x="14"/>
        <item x="1"/>
        <item x="2"/>
        <item x="4"/>
        <item x="5"/>
        <item x="6"/>
        <item x="7"/>
        <item x="8"/>
        <item x="11"/>
        <item x="15"/>
        <item x="16"/>
        <item x="17"/>
        <item x="18"/>
        <item x="19"/>
        <item x="20"/>
        <item x="21"/>
        <item x="22"/>
        <item x="23"/>
        <item x="24"/>
        <item x="25"/>
        <item x="28"/>
        <item x="29"/>
        <item x="12"/>
        <item x="34"/>
        <item x="35"/>
        <item x="37"/>
        <item x="38"/>
        <item x="39"/>
        <item x="10"/>
        <item x="40"/>
        <item x="13"/>
        <item x="3"/>
        <item x="26"/>
        <item x="27"/>
        <item x="36"/>
        <item x="30"/>
        <item x="31"/>
        <item x="9"/>
        <item x="33"/>
        <item x="32"/>
      </items>
    </pivotField>
    <pivotField axis="axisRow" showAll="0" defaultSubtota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pivotField>
    <pivotField axis="axisRow" showAll="0">
      <items count="95">
        <item x="0"/>
        <item x="89"/>
        <item x="59"/>
        <item x="67"/>
        <item x="85"/>
        <item x="19"/>
        <item x="45"/>
        <item x="68"/>
        <item x="41"/>
        <item x="83"/>
        <item x="77"/>
        <item x="8"/>
        <item x="61"/>
        <item x="24"/>
        <item x="79"/>
        <item x="90"/>
        <item x="11"/>
        <item x="13"/>
        <item x="1"/>
        <item x="3"/>
        <item x="74"/>
        <item x="47"/>
        <item x="7"/>
        <item x="53"/>
        <item x="17"/>
        <item x="9"/>
        <item x="66"/>
        <item x="91"/>
        <item x="72"/>
        <item x="73"/>
        <item x="87"/>
        <item x="52"/>
        <item x="28"/>
        <item x="29"/>
        <item x="48"/>
        <item x="49"/>
        <item x="27"/>
        <item x="46"/>
        <item x="86"/>
        <item x="51"/>
        <item x="42"/>
        <item x="88"/>
        <item x="57"/>
        <item x="63"/>
        <item x="93"/>
        <item x="20"/>
        <item x="26"/>
        <item x="64"/>
        <item x="16"/>
        <item x="38"/>
        <item x="76"/>
        <item x="40"/>
        <item x="69"/>
        <item x="58"/>
        <item x="43"/>
        <item x="55"/>
        <item x="15"/>
        <item x="39"/>
        <item x="22"/>
        <item x="81"/>
        <item x="25"/>
        <item x="14"/>
        <item x="50"/>
        <item x="33"/>
        <item x="32"/>
        <item x="12"/>
        <item x="34"/>
        <item x="65"/>
        <item x="92"/>
        <item x="60"/>
        <item x="30"/>
        <item x="18"/>
        <item x="21"/>
        <item x="4"/>
        <item x="5"/>
        <item x="78"/>
        <item x="10"/>
        <item x="56"/>
        <item x="36"/>
        <item x="75"/>
        <item x="6"/>
        <item x="23"/>
        <item x="44"/>
        <item x="70"/>
        <item x="80"/>
        <item x="62"/>
        <item x="84"/>
        <item x="37"/>
        <item x="31"/>
        <item x="2"/>
        <item x="54"/>
        <item x="82"/>
        <item x="71"/>
        <item x="35"/>
        <item t="default"/>
      </items>
    </pivotField>
    <pivotField showAll="0"/>
    <pivotField axis="axisRow" showAll="0" defaultSubtotal="0">
      <items count="113">
        <item x="0"/>
        <item x="60"/>
        <item x="10"/>
        <item x="77"/>
        <item x="84"/>
        <item x="52"/>
        <item x="110"/>
        <item x="59"/>
        <item x="55"/>
        <item x="17"/>
        <item x="19"/>
        <item x="7"/>
        <item x="51"/>
        <item x="71"/>
        <item x="54"/>
        <item x="102"/>
        <item x="2"/>
        <item x="1"/>
        <item x="112"/>
        <item x="23"/>
        <item x="53"/>
        <item x="70"/>
        <item x="109"/>
        <item x="22"/>
        <item x="8"/>
        <item x="12"/>
        <item x="92"/>
        <item x="18"/>
        <item x="24"/>
        <item x="100"/>
        <item x="101"/>
        <item x="20"/>
        <item x="111"/>
        <item x="85"/>
        <item x="74"/>
        <item x="89"/>
        <item x="73"/>
        <item x="27"/>
        <item x="90"/>
        <item x="4"/>
        <item x="104"/>
        <item x="50"/>
        <item x="82"/>
        <item x="95"/>
        <item x="81"/>
        <item x="107"/>
        <item x="35"/>
        <item x="98"/>
        <item x="105"/>
        <item x="66"/>
        <item x="64"/>
        <item x="65"/>
        <item x="62"/>
        <item x="63"/>
        <item x="14"/>
        <item x="96"/>
        <item x="93"/>
        <item x="21"/>
        <item x="37"/>
        <item x="48"/>
        <item x="88"/>
        <item x="15"/>
        <item x="36"/>
        <item x="72"/>
        <item x="34"/>
        <item x="46"/>
        <item x="61"/>
        <item x="91"/>
        <item x="32"/>
        <item x="33"/>
        <item x="31"/>
        <item x="40"/>
        <item x="9"/>
        <item x="58"/>
        <item x="13"/>
        <item x="30"/>
        <item x="44"/>
        <item x="38"/>
        <item x="87"/>
        <item x="56"/>
        <item x="68"/>
        <item x="3"/>
        <item x="49"/>
        <item x="28"/>
        <item x="42"/>
        <item x="76"/>
        <item x="75"/>
        <item x="80"/>
        <item x="45"/>
        <item x="83"/>
        <item x="99"/>
        <item x="39"/>
        <item x="94"/>
        <item x="97"/>
        <item x="5"/>
        <item x="6"/>
        <item x="108"/>
        <item x="25"/>
        <item x="11"/>
        <item x="29"/>
        <item x="47"/>
        <item x="16"/>
        <item x="26"/>
        <item x="86"/>
        <item x="103"/>
        <item x="57"/>
        <item x="79"/>
        <item x="78"/>
        <item x="106"/>
        <item x="69"/>
        <item x="43"/>
        <item x="41"/>
        <item x="67"/>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83">
        <item x="19"/>
        <item x="61"/>
        <item x="81"/>
        <item x="15"/>
        <item x="42"/>
        <item x="50"/>
        <item x="75"/>
        <item x="43"/>
        <item x="32"/>
        <item x="73"/>
        <item x="0"/>
        <item x="51"/>
        <item x="48"/>
        <item x="34"/>
        <item x="68"/>
        <item x="35"/>
        <item x="29"/>
        <item x="65"/>
        <item x="52"/>
        <item x="5"/>
        <item x="72"/>
        <item x="20"/>
        <item x="69"/>
        <item x="18"/>
        <item x="33"/>
        <item x="70"/>
        <item x="17"/>
        <item x="6"/>
        <item x="10"/>
        <item x="67"/>
        <item x="57"/>
        <item x="13"/>
        <item x="37"/>
        <item x="49"/>
        <item x="74"/>
        <item x="2"/>
        <item x="14"/>
        <item x="12"/>
        <item x="76"/>
        <item x="47"/>
        <item x="78"/>
        <item x="63"/>
        <item x="36"/>
        <item x="66"/>
        <item x="38"/>
        <item x="77"/>
        <item x="59"/>
        <item x="40"/>
        <item x="11"/>
        <item x="21"/>
        <item x="24"/>
        <item x="30"/>
        <item x="22"/>
        <item x="4"/>
        <item x="1"/>
        <item x="31"/>
        <item x="62"/>
        <item x="39"/>
        <item x="58"/>
        <item x="3"/>
        <item x="60"/>
        <item x="56"/>
        <item x="44"/>
        <item x="41"/>
        <item x="7"/>
        <item x="71"/>
        <item x="79"/>
        <item x="54"/>
        <item x="53"/>
        <item x="25"/>
        <item x="16"/>
        <item x="26"/>
        <item x="55"/>
        <item x="27"/>
        <item x="28"/>
        <item x="45"/>
        <item x="8"/>
        <item x="9"/>
        <item x="23"/>
        <item x="80"/>
        <item x="64"/>
        <item x="46"/>
        <item t="default"/>
      </items>
    </pivotField>
    <pivotField showAll="0"/>
    <pivotField showAll="0"/>
    <pivotField showAll="0"/>
    <pivotField showAll="0"/>
    <pivotField showAll="0"/>
    <pivotField showAll="0"/>
    <pivotField showAll="0"/>
  </pivotFields>
  <rowFields count="5">
    <field x="0"/>
    <field x="1"/>
    <field x="2"/>
    <field x="5"/>
    <field x="3"/>
  </rowFields>
  <rowItems count="330">
    <i>
      <x/>
    </i>
    <i r="1">
      <x v="1"/>
    </i>
    <i r="2">
      <x v="13"/>
    </i>
    <i r="3">
      <x v="97"/>
    </i>
    <i r="4">
      <x v="58"/>
    </i>
    <i r="3">
      <x v="102"/>
    </i>
    <i r="4">
      <x v="81"/>
    </i>
    <i r="1">
      <x v="3"/>
    </i>
    <i r="2">
      <x v="2"/>
    </i>
    <i r="3">
      <x v="81"/>
    </i>
    <i r="4">
      <x v="89"/>
    </i>
    <i r="2">
      <x v="5"/>
    </i>
    <i r="3">
      <x v="11"/>
    </i>
    <i r="4">
      <x v="80"/>
    </i>
    <i r="2">
      <x v="16"/>
    </i>
    <i r="3">
      <x v="79"/>
    </i>
    <i r="4">
      <x v="21"/>
    </i>
    <i r="2">
      <x v="35"/>
    </i>
    <i r="3">
      <x v="67"/>
    </i>
    <i r="4">
      <x v="20"/>
    </i>
    <i r="1">
      <x v="8"/>
    </i>
    <i r="2">
      <x v="9"/>
    </i>
    <i r="3">
      <x v="54"/>
    </i>
    <i r="4">
      <x v="17"/>
    </i>
    <i r="3">
      <x v="74"/>
    </i>
    <i r="4">
      <x v="65"/>
    </i>
    <i r="1">
      <x v="9"/>
    </i>
    <i r="2">
      <x v="12"/>
    </i>
    <i r="3">
      <x v="10"/>
    </i>
    <i r="4">
      <x v="71"/>
    </i>
    <i r="3">
      <x v="23"/>
    </i>
    <i r="4">
      <x v="71"/>
    </i>
    <i r="3">
      <x v="27"/>
    </i>
    <i r="4">
      <x v="24"/>
    </i>
    <i r="3">
      <x v="31"/>
    </i>
    <i r="4">
      <x v="5"/>
    </i>
    <i r="3">
      <x v="57"/>
    </i>
    <i r="4">
      <x v="45"/>
    </i>
    <i r="1">
      <x v="10"/>
    </i>
    <i r="2">
      <x v="13"/>
    </i>
    <i r="3">
      <x v="37"/>
    </i>
    <i r="4">
      <x v="13"/>
    </i>
    <i r="3">
      <x v="68"/>
    </i>
    <i r="4">
      <x v="32"/>
    </i>
    <i r="3">
      <x v="69"/>
    </i>
    <i r="4">
      <x v="33"/>
    </i>
    <i r="3">
      <x v="70"/>
    </i>
    <i r="4">
      <x v="81"/>
    </i>
    <i r="3">
      <x v="75"/>
    </i>
    <i r="4">
      <x v="36"/>
    </i>
    <i r="3">
      <x v="83"/>
    </i>
    <i r="4">
      <x v="60"/>
    </i>
    <i r="3">
      <x v="99"/>
    </i>
    <i r="4">
      <x v="46"/>
    </i>
    <i r="1">
      <x v="11"/>
    </i>
    <i r="2">
      <x v="13"/>
    </i>
    <i r="3">
      <x v="64"/>
    </i>
    <i r="4">
      <x v="70"/>
    </i>
    <i r="1">
      <x v="12"/>
    </i>
    <i r="2">
      <x v="13"/>
    </i>
    <i r="3">
      <x v="46"/>
    </i>
    <i r="4">
      <x v="88"/>
    </i>
    <i r="1">
      <x v="13"/>
    </i>
    <i r="2">
      <x v="13"/>
    </i>
    <i r="3">
      <x v="62"/>
    </i>
    <i r="4">
      <x v="64"/>
    </i>
    <i r="1">
      <x v="14"/>
    </i>
    <i r="2">
      <x v="13"/>
    </i>
    <i r="3">
      <x v="58"/>
    </i>
    <i r="4">
      <x v="63"/>
    </i>
    <i r="1">
      <x v="15"/>
    </i>
    <i r="2">
      <x v="13"/>
    </i>
    <i r="3">
      <x v="59"/>
    </i>
    <i r="4">
      <x v="40"/>
    </i>
    <i r="3">
      <x v="65"/>
    </i>
    <i r="4">
      <x v="8"/>
    </i>
    <i r="3">
      <x v="71"/>
    </i>
    <i r="4">
      <x v="93"/>
    </i>
    <i r="3">
      <x v="76"/>
    </i>
    <i r="4">
      <x v="57"/>
    </i>
    <i r="3">
      <x v="77"/>
    </i>
    <i r="4">
      <x v="63"/>
    </i>
    <i r="3">
      <x v="82"/>
    </i>
    <i r="4">
      <x v="54"/>
    </i>
    <i r="3">
      <x v="84"/>
    </i>
    <i r="4">
      <x v="87"/>
    </i>
    <i r="3">
      <x v="88"/>
    </i>
    <i r="4">
      <x v="51"/>
    </i>
    <i r="3">
      <x v="91"/>
    </i>
    <i r="4">
      <x v="66"/>
    </i>
    <i r="3">
      <x v="100"/>
    </i>
    <i r="4">
      <x v="36"/>
    </i>
    <i r="3">
      <x v="110"/>
    </i>
    <i r="4">
      <x v="49"/>
    </i>
    <i r="3">
      <x v="111"/>
    </i>
    <i r="4">
      <x v="78"/>
    </i>
    <i r="1">
      <x v="16"/>
    </i>
    <i r="2">
      <x v="14"/>
    </i>
    <i r="3">
      <x v="5"/>
    </i>
    <i r="4">
      <x v="6"/>
    </i>
    <i r="3">
      <x v="12"/>
    </i>
    <i r="4">
      <x v="82"/>
    </i>
    <i r="3">
      <x v="14"/>
    </i>
    <i r="4">
      <x v="6"/>
    </i>
    <i r="3">
      <x v="20"/>
    </i>
    <i r="4">
      <x v="6"/>
    </i>
    <i r="1">
      <x v="20"/>
    </i>
    <i r="2">
      <x v="20"/>
    </i>
    <i r="3">
      <x v="80"/>
    </i>
    <i r="4">
      <x v="90"/>
    </i>
    <i r="3">
      <x v="109"/>
    </i>
    <i r="4">
      <x v="55"/>
    </i>
    <i r="3">
      <x v="112"/>
    </i>
    <i r="4">
      <x v="23"/>
    </i>
    <i r="1">
      <x v="23"/>
    </i>
    <i r="2">
      <x v="12"/>
    </i>
    <i r="3">
      <x v="19"/>
    </i>
    <i r="4">
      <x v="72"/>
    </i>
    <i r="1">
      <x v="25"/>
    </i>
    <i r="2">
      <x v="37"/>
    </i>
    <i r="3">
      <x v="56"/>
    </i>
    <i r="4">
      <x v="50"/>
    </i>
    <i r="1">
      <x v="26"/>
    </i>
    <i r="2">
      <x v="39"/>
    </i>
    <i r="3">
      <x v="90"/>
    </i>
    <i r="4">
      <x v="91"/>
    </i>
    <i r="1">
      <x v="28"/>
    </i>
    <i r="2">
      <x v="42"/>
    </i>
    <i r="3">
      <x v="40"/>
    </i>
    <i r="4">
      <x v="38"/>
    </i>
    <i r="3">
      <x v="104"/>
    </i>
    <i r="4">
      <x v="4"/>
    </i>
    <i r="1">
      <x v="29"/>
    </i>
    <i r="2">
      <x v="11"/>
    </i>
    <i r="3">
      <x v="9"/>
    </i>
    <i r="4">
      <x v="48"/>
    </i>
    <i r="2">
      <x v="44"/>
    </i>
    <i r="3">
      <x v="6"/>
    </i>
    <i r="4">
      <x v="27"/>
    </i>
    <i r="3">
      <x v="22"/>
    </i>
    <i r="4">
      <x v="15"/>
    </i>
    <i r="1">
      <x v="31"/>
    </i>
    <i r="2">
      <x v="12"/>
    </i>
    <i r="3">
      <x v="28"/>
    </i>
    <i r="4">
      <x v="71"/>
    </i>
    <i r="2">
      <x v="13"/>
    </i>
    <i r="3">
      <x v="41"/>
    </i>
    <i r="4">
      <x v="58"/>
    </i>
    <i r="1">
      <x v="35"/>
    </i>
    <i r="2">
      <x v="37"/>
    </i>
    <i r="3">
      <x v="43"/>
    </i>
    <i r="4">
      <x v="75"/>
    </i>
    <i r="3">
      <x v="55"/>
    </i>
    <i r="4">
      <x v="14"/>
    </i>
    <i r="3">
      <x v="92"/>
    </i>
    <i r="4">
      <x v="10"/>
    </i>
    <i r="3">
      <x v="93"/>
    </i>
    <i r="4">
      <x v="84"/>
    </i>
    <i r="1">
      <x v="36"/>
    </i>
    <i r="2">
      <x v="28"/>
    </i>
    <i r="3">
      <x v="89"/>
    </i>
    <i r="4">
      <x v="3"/>
    </i>
    <i r="1">
      <x v="39"/>
    </i>
    <i r="2">
      <x v="32"/>
    </i>
    <i r="3">
      <x v="60"/>
    </i>
    <i r="4">
      <x/>
    </i>
    <i r="1">
      <x v="40"/>
    </i>
    <i r="2">
      <x v="31"/>
    </i>
    <i r="3">
      <x v="78"/>
    </i>
    <i r="4">
      <x v="92"/>
    </i>
    <i r="3">
      <x v="103"/>
    </i>
    <i r="4">
      <x v="83"/>
    </i>
    <i>
      <x v="1"/>
    </i>
    <i r="1">
      <x/>
    </i>
    <i r="2">
      <x/>
    </i>
    <i r="3">
      <x/>
    </i>
    <i r="4">
      <x/>
    </i>
    <i r="1">
      <x v="2"/>
    </i>
    <i r="2">
      <x v="1"/>
    </i>
    <i r="3">
      <x v="16"/>
    </i>
    <i r="4">
      <x v="18"/>
    </i>
    <i r="3">
      <x v="17"/>
    </i>
    <i r="4">
      <x v="18"/>
    </i>
    <i r="1">
      <x v="6"/>
    </i>
    <i r="2">
      <x v="7"/>
    </i>
    <i r="3">
      <x v="2"/>
    </i>
    <i r="4">
      <x v="25"/>
    </i>
    <i r="3">
      <x v="72"/>
    </i>
    <i r="4">
      <x v="11"/>
    </i>
    <i r="3">
      <x v="98"/>
    </i>
    <i r="4">
      <x v="76"/>
    </i>
    <i r="1">
      <x v="17"/>
    </i>
    <i r="2">
      <x v="15"/>
    </i>
    <i r="3">
      <x v="8"/>
    </i>
    <i r="4">
      <x v="37"/>
    </i>
    <i r="1">
      <x v="18"/>
    </i>
    <i r="2">
      <x v="17"/>
    </i>
    <i r="3">
      <x v="1"/>
    </i>
    <i r="4">
      <x v="34"/>
    </i>
    <i r="3">
      <x v="7"/>
    </i>
    <i r="4">
      <x v="62"/>
    </i>
    <i r="3">
      <x v="73"/>
    </i>
    <i r="4">
      <x v="35"/>
    </i>
    <i r="3">
      <x v="105"/>
    </i>
    <i r="4">
      <x v="34"/>
    </i>
    <i r="1">
      <x v="19"/>
    </i>
    <i r="2">
      <x v="18"/>
    </i>
    <i r="3">
      <x v="66"/>
    </i>
    <i r="4">
      <x v="39"/>
    </i>
    <i r="1">
      <x v="21"/>
    </i>
    <i r="2">
      <x v="26"/>
    </i>
    <i r="3">
      <x v="106"/>
    </i>
    <i r="4">
      <x v="43"/>
    </i>
    <i r="3">
      <x v="107"/>
    </i>
    <i r="4">
      <x v="43"/>
    </i>
    <i r="1">
      <x v="24"/>
    </i>
    <i r="2">
      <x v="36"/>
    </i>
    <i r="3">
      <x v="26"/>
    </i>
    <i r="4">
      <x v="79"/>
    </i>
    <i r="1">
      <x v="27"/>
    </i>
    <i r="2">
      <x v="40"/>
    </i>
    <i r="3">
      <x v="29"/>
    </i>
    <i r="4">
      <x v="9"/>
    </i>
    <i r="3">
      <x v="30"/>
    </i>
    <i r="4">
      <x v="9"/>
    </i>
    <i r="1">
      <x v="33"/>
    </i>
    <i r="2">
      <x v="21"/>
    </i>
    <i r="3">
      <x v="13"/>
    </i>
    <i r="4">
      <x v="42"/>
    </i>
    <i r="3">
      <x v="21"/>
    </i>
    <i r="4">
      <x v="77"/>
    </i>
    <i r="1">
      <x v="37"/>
    </i>
    <i r="2">
      <x v="29"/>
    </i>
    <i r="3">
      <x v="4"/>
    </i>
    <i r="4">
      <x v="7"/>
    </i>
    <i>
      <x v="2"/>
    </i>
    <i r="1">
      <x v="4"/>
    </i>
    <i r="2">
      <x v="4"/>
    </i>
    <i r="3">
      <x v="94"/>
    </i>
    <i r="4">
      <x v="73"/>
    </i>
    <i r="3">
      <x v="95"/>
    </i>
    <i r="4">
      <x v="74"/>
    </i>
    <i r="1">
      <x v="5"/>
    </i>
    <i r="2">
      <x v="6"/>
    </i>
    <i r="3">
      <x v="24"/>
    </i>
    <i r="4">
      <x v="22"/>
    </i>
    <i r="1">
      <x v="7"/>
    </i>
    <i r="2">
      <x v="8"/>
    </i>
    <i r="3">
      <x v="25"/>
    </i>
    <i r="4">
      <x v="16"/>
    </i>
    <i r="1">
      <x v="22"/>
    </i>
    <i r="2">
      <x v="27"/>
    </i>
    <i r="3">
      <x v="42"/>
    </i>
    <i r="4">
      <x v="26"/>
    </i>
    <i r="3">
      <x v="44"/>
    </i>
    <i r="4">
      <x v="67"/>
    </i>
    <i r="3">
      <x v="87"/>
    </i>
    <i r="4">
      <x v="47"/>
    </i>
    <i r="1">
      <x v="30"/>
    </i>
    <i r="2">
      <x v="45"/>
    </i>
    <i r="3">
      <x v="18"/>
    </i>
    <i r="4">
      <x v="44"/>
    </i>
    <i r="3">
      <x v="32"/>
    </i>
    <i r="4">
      <x v="68"/>
    </i>
    <i>
      <x v="3"/>
    </i>
    <i r="1">
      <x/>
    </i>
    <i r="2">
      <x v="19"/>
    </i>
    <i r="3">
      <x v="50"/>
    </i>
    <i r="4">
      <x v="31"/>
    </i>
    <i r="3">
      <x v="51"/>
    </i>
    <i r="4">
      <x v="31"/>
    </i>
    <i r="3">
      <x v="52"/>
    </i>
    <i r="4">
      <x v="31"/>
    </i>
    <i r="3">
      <x v="53"/>
    </i>
    <i r="4">
      <x v="31"/>
    </i>
    <i r="1">
      <x v="32"/>
    </i>
    <i r="2">
      <x v="3"/>
    </i>
    <i r="3">
      <x v="39"/>
    </i>
    <i r="4">
      <x v="19"/>
    </i>
    <i r="2">
      <x v="19"/>
    </i>
    <i r="3">
      <x v="49"/>
    </i>
    <i r="4">
      <x v="31"/>
    </i>
    <i r="2">
      <x v="30"/>
    </i>
    <i r="3">
      <x v="33"/>
    </i>
    <i r="4">
      <x v="52"/>
    </i>
    <i r="2">
      <x v="34"/>
    </i>
    <i r="3">
      <x v="38"/>
    </i>
    <i r="4">
      <x v="29"/>
    </i>
    <i r="1">
      <x v="34"/>
    </i>
    <i r="2">
      <x v="25"/>
    </i>
    <i r="3">
      <x v="3"/>
    </i>
    <i r="4">
      <x v="85"/>
    </i>
    <i r="1">
      <x v="38"/>
    </i>
    <i r="2">
      <x v="10"/>
    </i>
    <i r="3">
      <x v="61"/>
    </i>
    <i r="4">
      <x v="61"/>
    </i>
    <i r="3">
      <x v="101"/>
    </i>
    <i r="4">
      <x v="56"/>
    </i>
    <i r="2">
      <x v="22"/>
    </i>
    <i r="3">
      <x v="63"/>
    </i>
    <i r="4">
      <x v="53"/>
    </i>
    <i r="2">
      <x v="23"/>
    </i>
    <i r="3">
      <x v="34"/>
    </i>
    <i r="4">
      <x v="69"/>
    </i>
    <i r="3">
      <x v="36"/>
    </i>
    <i r="4">
      <x v="2"/>
    </i>
    <i r="2">
      <x v="24"/>
    </i>
    <i r="3">
      <x v="85"/>
    </i>
    <i r="4">
      <x v="12"/>
    </i>
    <i r="3">
      <x v="86"/>
    </i>
    <i r="4">
      <x v="12"/>
    </i>
    <i r="2">
      <x v="33"/>
    </i>
    <i r="3">
      <x v="35"/>
    </i>
    <i r="4">
      <x v="28"/>
    </i>
    <i r="2">
      <x v="38"/>
    </i>
    <i r="3">
      <x v="47"/>
    </i>
    <i r="4">
      <x v="59"/>
    </i>
    <i r="2">
      <x v="41"/>
    </i>
    <i r="3">
      <x v="15"/>
    </i>
    <i r="4">
      <x v="86"/>
    </i>
    <i r="2">
      <x v="43"/>
    </i>
    <i r="3">
      <x v="45"/>
    </i>
    <i r="4">
      <x v="41"/>
    </i>
    <i r="3">
      <x v="48"/>
    </i>
    <i r="4">
      <x v="30"/>
    </i>
    <i r="3">
      <x v="96"/>
    </i>
    <i r="4">
      <x v="1"/>
    </i>
    <i r="3">
      <x v="108"/>
    </i>
    <i r="4">
      <x v="30"/>
    </i>
    <i t="grand">
      <x/>
    </i>
  </rowItems>
  <colItems count="1">
    <i/>
  </colItems>
  <dataFields count="1">
    <dataField name="End Dates of lease" fld="22" baseField="0" baseItem="0" numFmtId="14"/>
  </dataFields>
  <formats count="106">
    <format dxfId="255">
      <pivotArea field="0" type="button" dataOnly="0" labelOnly="1" outline="0" axis="axisRow" fieldPosition="0"/>
    </format>
    <format dxfId="254">
      <pivotArea dataOnly="0" labelOnly="1" fieldPosition="0">
        <references count="1">
          <reference field="0" count="0"/>
        </references>
      </pivotArea>
    </format>
    <format dxfId="253">
      <pivotArea dataOnly="0" labelOnly="1" grandRow="1" outline="0" fieldPosition="0"/>
    </format>
    <format dxfId="252">
      <pivotArea dataOnly="0" labelOnly="1" fieldPosition="0">
        <references count="2">
          <reference field="0" count="1" selected="0">
            <x v="0"/>
          </reference>
          <reference field="1" count="22">
            <x v="1"/>
            <x v="3"/>
            <x v="8"/>
            <x v="9"/>
            <x v="10"/>
            <x v="11"/>
            <x v="12"/>
            <x v="13"/>
            <x v="14"/>
            <x v="15"/>
            <x v="16"/>
            <x v="20"/>
            <x v="23"/>
            <x v="25"/>
            <x v="26"/>
            <x v="28"/>
            <x v="29"/>
            <x v="31"/>
            <x v="35"/>
            <x v="36"/>
            <x v="39"/>
            <x v="40"/>
          </reference>
        </references>
      </pivotArea>
    </format>
    <format dxfId="251">
      <pivotArea dataOnly="0" labelOnly="1" fieldPosition="0">
        <references count="2">
          <reference field="0" count="1" selected="0">
            <x v="1"/>
          </reference>
          <reference field="1" count="11">
            <x v="0"/>
            <x v="2"/>
            <x v="6"/>
            <x v="17"/>
            <x v="18"/>
            <x v="19"/>
            <x v="21"/>
            <x v="24"/>
            <x v="27"/>
            <x v="33"/>
            <x v="37"/>
          </reference>
        </references>
      </pivotArea>
    </format>
    <format dxfId="250">
      <pivotArea dataOnly="0" labelOnly="1" fieldPosition="0">
        <references count="2">
          <reference field="0" count="1" selected="0">
            <x v="2"/>
          </reference>
          <reference field="1" count="5">
            <x v="4"/>
            <x v="5"/>
            <x v="7"/>
            <x v="22"/>
            <x v="30"/>
          </reference>
        </references>
      </pivotArea>
    </format>
    <format dxfId="249">
      <pivotArea dataOnly="0" labelOnly="1" fieldPosition="0">
        <references count="2">
          <reference field="0" count="1" selected="0">
            <x v="3"/>
          </reference>
          <reference field="1" count="4">
            <x v="0"/>
            <x v="32"/>
            <x v="34"/>
            <x v="38"/>
          </reference>
        </references>
      </pivotArea>
    </format>
    <format dxfId="248">
      <pivotArea dataOnly="0" labelOnly="1" fieldPosition="0">
        <references count="3">
          <reference field="0" count="1" selected="0">
            <x v="0"/>
          </reference>
          <reference field="1" count="1" selected="0">
            <x v="1"/>
          </reference>
          <reference field="2" count="1">
            <x v="13"/>
          </reference>
        </references>
      </pivotArea>
    </format>
    <format dxfId="247">
      <pivotArea dataOnly="0" labelOnly="1" fieldPosition="0">
        <references count="3">
          <reference field="0" count="1" selected="0">
            <x v="0"/>
          </reference>
          <reference field="1" count="1" selected="0">
            <x v="3"/>
          </reference>
          <reference field="2" count="4">
            <x v="2"/>
            <x v="5"/>
            <x v="16"/>
            <x v="35"/>
          </reference>
        </references>
      </pivotArea>
    </format>
    <format dxfId="246">
      <pivotArea dataOnly="0" labelOnly="1" fieldPosition="0">
        <references count="3">
          <reference field="0" count="1" selected="0">
            <x v="0"/>
          </reference>
          <reference field="1" count="1" selected="0">
            <x v="8"/>
          </reference>
          <reference field="2" count="1">
            <x v="9"/>
          </reference>
        </references>
      </pivotArea>
    </format>
    <format dxfId="245">
      <pivotArea dataOnly="0" labelOnly="1" fieldPosition="0">
        <references count="3">
          <reference field="0" count="1" selected="0">
            <x v="0"/>
          </reference>
          <reference field="1" count="1" selected="0">
            <x v="9"/>
          </reference>
          <reference field="2" count="1">
            <x v="12"/>
          </reference>
        </references>
      </pivotArea>
    </format>
    <format dxfId="244">
      <pivotArea dataOnly="0" labelOnly="1" fieldPosition="0">
        <references count="3">
          <reference field="0" count="1" selected="0">
            <x v="0"/>
          </reference>
          <reference field="1" count="1" selected="0">
            <x v="10"/>
          </reference>
          <reference field="2" count="1">
            <x v="13"/>
          </reference>
        </references>
      </pivotArea>
    </format>
    <format dxfId="243">
      <pivotArea dataOnly="0" labelOnly="1" fieldPosition="0">
        <references count="3">
          <reference field="0" count="1" selected="0">
            <x v="0"/>
          </reference>
          <reference field="1" count="1" selected="0">
            <x v="11"/>
          </reference>
          <reference field="2" count="1">
            <x v="13"/>
          </reference>
        </references>
      </pivotArea>
    </format>
    <format dxfId="242">
      <pivotArea dataOnly="0" labelOnly="1" fieldPosition="0">
        <references count="3">
          <reference field="0" count="1" selected="0">
            <x v="0"/>
          </reference>
          <reference field="1" count="1" selected="0">
            <x v="12"/>
          </reference>
          <reference field="2" count="1">
            <x v="13"/>
          </reference>
        </references>
      </pivotArea>
    </format>
    <format dxfId="241">
      <pivotArea dataOnly="0" labelOnly="1" fieldPosition="0">
        <references count="3">
          <reference field="0" count="1" selected="0">
            <x v="0"/>
          </reference>
          <reference field="1" count="1" selected="0">
            <x v="13"/>
          </reference>
          <reference field="2" count="1">
            <x v="13"/>
          </reference>
        </references>
      </pivotArea>
    </format>
    <format dxfId="240">
      <pivotArea dataOnly="0" labelOnly="1" fieldPosition="0">
        <references count="3">
          <reference field="0" count="1" selected="0">
            <x v="0"/>
          </reference>
          <reference field="1" count="1" selected="0">
            <x v="14"/>
          </reference>
          <reference field="2" count="1">
            <x v="13"/>
          </reference>
        </references>
      </pivotArea>
    </format>
    <format dxfId="239">
      <pivotArea dataOnly="0" labelOnly="1" fieldPosition="0">
        <references count="3">
          <reference field="0" count="1" selected="0">
            <x v="0"/>
          </reference>
          <reference field="1" count="1" selected="0">
            <x v="15"/>
          </reference>
          <reference field="2" count="1">
            <x v="13"/>
          </reference>
        </references>
      </pivotArea>
    </format>
    <format dxfId="238">
      <pivotArea dataOnly="0" labelOnly="1" fieldPosition="0">
        <references count="3">
          <reference field="0" count="1" selected="0">
            <x v="0"/>
          </reference>
          <reference field="1" count="1" selected="0">
            <x v="16"/>
          </reference>
          <reference field="2" count="1">
            <x v="14"/>
          </reference>
        </references>
      </pivotArea>
    </format>
    <format dxfId="237">
      <pivotArea dataOnly="0" labelOnly="1" fieldPosition="0">
        <references count="3">
          <reference field="0" count="1" selected="0">
            <x v="0"/>
          </reference>
          <reference field="1" count="1" selected="0">
            <x v="20"/>
          </reference>
          <reference field="2" count="1">
            <x v="20"/>
          </reference>
        </references>
      </pivotArea>
    </format>
    <format dxfId="236">
      <pivotArea dataOnly="0" labelOnly="1" fieldPosition="0">
        <references count="3">
          <reference field="0" count="1" selected="0">
            <x v="0"/>
          </reference>
          <reference field="1" count="1" selected="0">
            <x v="23"/>
          </reference>
          <reference field="2" count="1">
            <x v="12"/>
          </reference>
        </references>
      </pivotArea>
    </format>
    <format dxfId="235">
      <pivotArea dataOnly="0" labelOnly="1" fieldPosition="0">
        <references count="3">
          <reference field="0" count="1" selected="0">
            <x v="0"/>
          </reference>
          <reference field="1" count="1" selected="0">
            <x v="25"/>
          </reference>
          <reference field="2" count="1">
            <x v="37"/>
          </reference>
        </references>
      </pivotArea>
    </format>
    <format dxfId="234">
      <pivotArea dataOnly="0" labelOnly="1" fieldPosition="0">
        <references count="3">
          <reference field="0" count="1" selected="0">
            <x v="0"/>
          </reference>
          <reference field="1" count="1" selected="0">
            <x v="26"/>
          </reference>
          <reference field="2" count="1">
            <x v="39"/>
          </reference>
        </references>
      </pivotArea>
    </format>
    <format dxfId="233">
      <pivotArea dataOnly="0" labelOnly="1" fieldPosition="0">
        <references count="3">
          <reference field="0" count="1" selected="0">
            <x v="0"/>
          </reference>
          <reference field="1" count="1" selected="0">
            <x v="28"/>
          </reference>
          <reference field="2" count="1">
            <x v="42"/>
          </reference>
        </references>
      </pivotArea>
    </format>
    <format dxfId="232">
      <pivotArea dataOnly="0" labelOnly="1" fieldPosition="0">
        <references count="3">
          <reference field="0" count="1" selected="0">
            <x v="0"/>
          </reference>
          <reference field="1" count="1" selected="0">
            <x v="29"/>
          </reference>
          <reference field="2" count="2">
            <x v="11"/>
            <x v="44"/>
          </reference>
        </references>
      </pivotArea>
    </format>
    <format dxfId="231">
      <pivotArea dataOnly="0" labelOnly="1" fieldPosition="0">
        <references count="3">
          <reference field="0" count="1" selected="0">
            <x v="0"/>
          </reference>
          <reference field="1" count="1" selected="0">
            <x v="31"/>
          </reference>
          <reference field="2" count="2">
            <x v="12"/>
            <x v="13"/>
          </reference>
        </references>
      </pivotArea>
    </format>
    <format dxfId="230">
      <pivotArea dataOnly="0" labelOnly="1" fieldPosition="0">
        <references count="3">
          <reference field="0" count="1" selected="0">
            <x v="0"/>
          </reference>
          <reference field="1" count="1" selected="0">
            <x v="35"/>
          </reference>
          <reference field="2" count="1">
            <x v="37"/>
          </reference>
        </references>
      </pivotArea>
    </format>
    <format dxfId="229">
      <pivotArea dataOnly="0" labelOnly="1" fieldPosition="0">
        <references count="3">
          <reference field="0" count="1" selected="0">
            <x v="0"/>
          </reference>
          <reference field="1" count="1" selected="0">
            <x v="36"/>
          </reference>
          <reference field="2" count="1">
            <x v="28"/>
          </reference>
        </references>
      </pivotArea>
    </format>
    <format dxfId="228">
      <pivotArea dataOnly="0" labelOnly="1" fieldPosition="0">
        <references count="3">
          <reference field="0" count="1" selected="0">
            <x v="0"/>
          </reference>
          <reference field="1" count="1" selected="0">
            <x v="39"/>
          </reference>
          <reference field="2" count="1">
            <x v="32"/>
          </reference>
        </references>
      </pivotArea>
    </format>
    <format dxfId="227">
      <pivotArea dataOnly="0" labelOnly="1" fieldPosition="0">
        <references count="3">
          <reference field="0" count="1" selected="0">
            <x v="0"/>
          </reference>
          <reference field="1" count="1" selected="0">
            <x v="40"/>
          </reference>
          <reference field="2" count="1">
            <x v="31"/>
          </reference>
        </references>
      </pivotArea>
    </format>
    <format dxfId="226">
      <pivotArea dataOnly="0" labelOnly="1" fieldPosition="0">
        <references count="3">
          <reference field="0" count="1" selected="0">
            <x v="1"/>
          </reference>
          <reference field="1" count="1" selected="0">
            <x v="0"/>
          </reference>
          <reference field="2" count="1">
            <x v="0"/>
          </reference>
        </references>
      </pivotArea>
    </format>
    <format dxfId="225">
      <pivotArea dataOnly="0" labelOnly="1" fieldPosition="0">
        <references count="3">
          <reference field="0" count="1" selected="0">
            <x v="1"/>
          </reference>
          <reference field="1" count="1" selected="0">
            <x v="2"/>
          </reference>
          <reference field="2" count="1">
            <x v="1"/>
          </reference>
        </references>
      </pivotArea>
    </format>
    <format dxfId="224">
      <pivotArea dataOnly="0" labelOnly="1" fieldPosition="0">
        <references count="3">
          <reference field="0" count="1" selected="0">
            <x v="1"/>
          </reference>
          <reference field="1" count="1" selected="0">
            <x v="6"/>
          </reference>
          <reference field="2" count="1">
            <x v="7"/>
          </reference>
        </references>
      </pivotArea>
    </format>
    <format dxfId="223">
      <pivotArea dataOnly="0" labelOnly="1" fieldPosition="0">
        <references count="3">
          <reference field="0" count="1" selected="0">
            <x v="1"/>
          </reference>
          <reference field="1" count="1" selected="0">
            <x v="17"/>
          </reference>
          <reference field="2" count="1">
            <x v="15"/>
          </reference>
        </references>
      </pivotArea>
    </format>
    <format dxfId="222">
      <pivotArea dataOnly="0" labelOnly="1" fieldPosition="0">
        <references count="3">
          <reference field="0" count="1" selected="0">
            <x v="1"/>
          </reference>
          <reference field="1" count="1" selected="0">
            <x v="18"/>
          </reference>
          <reference field="2" count="1">
            <x v="17"/>
          </reference>
        </references>
      </pivotArea>
    </format>
    <format dxfId="221">
      <pivotArea dataOnly="0" labelOnly="1" fieldPosition="0">
        <references count="3">
          <reference field="0" count="1" selected="0">
            <x v="1"/>
          </reference>
          <reference field="1" count="1" selected="0">
            <x v="19"/>
          </reference>
          <reference field="2" count="1">
            <x v="18"/>
          </reference>
        </references>
      </pivotArea>
    </format>
    <format dxfId="220">
      <pivotArea dataOnly="0" labelOnly="1" fieldPosition="0">
        <references count="3">
          <reference field="0" count="1" selected="0">
            <x v="1"/>
          </reference>
          <reference field="1" count="1" selected="0">
            <x v="21"/>
          </reference>
          <reference field="2" count="1">
            <x v="26"/>
          </reference>
        </references>
      </pivotArea>
    </format>
    <format dxfId="219">
      <pivotArea dataOnly="0" labelOnly="1" fieldPosition="0">
        <references count="3">
          <reference field="0" count="1" selected="0">
            <x v="1"/>
          </reference>
          <reference field="1" count="1" selected="0">
            <x v="24"/>
          </reference>
          <reference field="2" count="1">
            <x v="36"/>
          </reference>
        </references>
      </pivotArea>
    </format>
    <format dxfId="218">
      <pivotArea dataOnly="0" labelOnly="1" fieldPosition="0">
        <references count="3">
          <reference field="0" count="1" selected="0">
            <x v="1"/>
          </reference>
          <reference field="1" count="1" selected="0">
            <x v="27"/>
          </reference>
          <reference field="2" count="1">
            <x v="40"/>
          </reference>
        </references>
      </pivotArea>
    </format>
    <format dxfId="217">
      <pivotArea dataOnly="0" labelOnly="1" fieldPosition="0">
        <references count="3">
          <reference field="0" count="1" selected="0">
            <x v="1"/>
          </reference>
          <reference field="1" count="1" selected="0">
            <x v="33"/>
          </reference>
          <reference field="2" count="1">
            <x v="21"/>
          </reference>
        </references>
      </pivotArea>
    </format>
    <format dxfId="216">
      <pivotArea dataOnly="0" labelOnly="1" fieldPosition="0">
        <references count="3">
          <reference field="0" count="1" selected="0">
            <x v="1"/>
          </reference>
          <reference field="1" count="1" selected="0">
            <x v="37"/>
          </reference>
          <reference field="2" count="1">
            <x v="29"/>
          </reference>
        </references>
      </pivotArea>
    </format>
    <format dxfId="215">
      <pivotArea dataOnly="0" labelOnly="1" fieldPosition="0">
        <references count="3">
          <reference field="0" count="1" selected="0">
            <x v="2"/>
          </reference>
          <reference field="1" count="1" selected="0">
            <x v="4"/>
          </reference>
          <reference field="2" count="1">
            <x v="4"/>
          </reference>
        </references>
      </pivotArea>
    </format>
    <format dxfId="214">
      <pivotArea dataOnly="0" labelOnly="1" fieldPosition="0">
        <references count="3">
          <reference field="0" count="1" selected="0">
            <x v="2"/>
          </reference>
          <reference field="1" count="1" selected="0">
            <x v="5"/>
          </reference>
          <reference field="2" count="1">
            <x v="6"/>
          </reference>
        </references>
      </pivotArea>
    </format>
    <format dxfId="213">
      <pivotArea dataOnly="0" labelOnly="1" fieldPosition="0">
        <references count="3">
          <reference field="0" count="1" selected="0">
            <x v="2"/>
          </reference>
          <reference field="1" count="1" selected="0">
            <x v="7"/>
          </reference>
          <reference field="2" count="1">
            <x v="8"/>
          </reference>
        </references>
      </pivotArea>
    </format>
    <format dxfId="212">
      <pivotArea dataOnly="0" labelOnly="1" fieldPosition="0">
        <references count="3">
          <reference field="0" count="1" selected="0">
            <x v="2"/>
          </reference>
          <reference field="1" count="1" selected="0">
            <x v="22"/>
          </reference>
          <reference field="2" count="1">
            <x v="27"/>
          </reference>
        </references>
      </pivotArea>
    </format>
    <format dxfId="211">
      <pivotArea dataOnly="0" labelOnly="1" fieldPosition="0">
        <references count="3">
          <reference field="0" count="1" selected="0">
            <x v="2"/>
          </reference>
          <reference field="1" count="1" selected="0">
            <x v="30"/>
          </reference>
          <reference field="2" count="1">
            <x v="45"/>
          </reference>
        </references>
      </pivotArea>
    </format>
    <format dxfId="210">
      <pivotArea dataOnly="0" labelOnly="1" fieldPosition="0">
        <references count="3">
          <reference field="0" count="1" selected="0">
            <x v="3"/>
          </reference>
          <reference field="1" count="1" selected="0">
            <x v="0"/>
          </reference>
          <reference field="2" count="1">
            <x v="19"/>
          </reference>
        </references>
      </pivotArea>
    </format>
    <format dxfId="209">
      <pivotArea dataOnly="0" labelOnly="1" fieldPosition="0">
        <references count="3">
          <reference field="0" count="1" selected="0">
            <x v="3"/>
          </reference>
          <reference field="1" count="1" selected="0">
            <x v="32"/>
          </reference>
          <reference field="2" count="4">
            <x v="3"/>
            <x v="19"/>
            <x v="30"/>
            <x v="34"/>
          </reference>
        </references>
      </pivotArea>
    </format>
    <format dxfId="208">
      <pivotArea dataOnly="0" labelOnly="1" fieldPosition="0">
        <references count="3">
          <reference field="0" count="1" selected="0">
            <x v="3"/>
          </reference>
          <reference field="1" count="1" selected="0">
            <x v="34"/>
          </reference>
          <reference field="2" count="1">
            <x v="25"/>
          </reference>
        </references>
      </pivotArea>
    </format>
    <format dxfId="207">
      <pivotArea dataOnly="0" labelOnly="1" fieldPosition="0">
        <references count="3">
          <reference field="0" count="1" selected="0">
            <x v="3"/>
          </reference>
          <reference field="1" count="1" selected="0">
            <x v="38"/>
          </reference>
          <reference field="2" count="8">
            <x v="10"/>
            <x v="22"/>
            <x v="23"/>
            <x v="24"/>
            <x v="33"/>
            <x v="38"/>
            <x v="41"/>
            <x v="43"/>
          </reference>
        </references>
      </pivotArea>
    </format>
    <format dxfId="206">
      <pivotArea dataOnly="0" labelOnly="1" fieldPosition="0">
        <references count="4">
          <reference field="0" count="1" selected="0">
            <x v="0"/>
          </reference>
          <reference field="1" count="1" selected="0">
            <x v="1"/>
          </reference>
          <reference field="2" count="1" selected="0">
            <x v="13"/>
          </reference>
          <reference field="3" count="2">
            <x v="58"/>
            <x v="81"/>
          </reference>
        </references>
      </pivotArea>
    </format>
    <format dxfId="205">
      <pivotArea dataOnly="0" labelOnly="1" fieldPosition="0">
        <references count="4">
          <reference field="0" count="1" selected="0">
            <x v="0"/>
          </reference>
          <reference field="1" count="1" selected="0">
            <x v="3"/>
          </reference>
          <reference field="2" count="1" selected="0">
            <x v="2"/>
          </reference>
          <reference field="3" count="1">
            <x v="89"/>
          </reference>
        </references>
      </pivotArea>
    </format>
    <format dxfId="204">
      <pivotArea dataOnly="0" labelOnly="1" fieldPosition="0">
        <references count="4">
          <reference field="0" count="1" selected="0">
            <x v="0"/>
          </reference>
          <reference field="1" count="1" selected="0">
            <x v="3"/>
          </reference>
          <reference field="2" count="1" selected="0">
            <x v="5"/>
          </reference>
          <reference field="3" count="1">
            <x v="80"/>
          </reference>
        </references>
      </pivotArea>
    </format>
    <format dxfId="203">
      <pivotArea dataOnly="0" labelOnly="1" fieldPosition="0">
        <references count="4">
          <reference field="0" count="1" selected="0">
            <x v="0"/>
          </reference>
          <reference field="1" count="1" selected="0">
            <x v="3"/>
          </reference>
          <reference field="2" count="1" selected="0">
            <x v="16"/>
          </reference>
          <reference field="3" count="1">
            <x v="21"/>
          </reference>
        </references>
      </pivotArea>
    </format>
    <format dxfId="202">
      <pivotArea dataOnly="0" labelOnly="1" fieldPosition="0">
        <references count="4">
          <reference field="0" count="1" selected="0">
            <x v="0"/>
          </reference>
          <reference field="1" count="1" selected="0">
            <x v="3"/>
          </reference>
          <reference field="2" count="1" selected="0">
            <x v="35"/>
          </reference>
          <reference field="3" count="1">
            <x v="20"/>
          </reference>
        </references>
      </pivotArea>
    </format>
    <format dxfId="201">
      <pivotArea dataOnly="0" labelOnly="1" fieldPosition="0">
        <references count="4">
          <reference field="0" count="1" selected="0">
            <x v="0"/>
          </reference>
          <reference field="1" count="1" selected="0">
            <x v="8"/>
          </reference>
          <reference field="2" count="1" selected="0">
            <x v="9"/>
          </reference>
          <reference field="3" count="2">
            <x v="17"/>
            <x v="65"/>
          </reference>
        </references>
      </pivotArea>
    </format>
    <format dxfId="200">
      <pivotArea dataOnly="0" labelOnly="1" fieldPosition="0">
        <references count="4">
          <reference field="0" count="1" selected="0">
            <x v="0"/>
          </reference>
          <reference field="1" count="1" selected="0">
            <x v="9"/>
          </reference>
          <reference field="2" count="1" selected="0">
            <x v="12"/>
          </reference>
          <reference field="3" count="4">
            <x v="5"/>
            <x v="24"/>
            <x v="45"/>
            <x v="71"/>
          </reference>
        </references>
      </pivotArea>
    </format>
    <format dxfId="199">
      <pivotArea dataOnly="0" labelOnly="1" fieldPosition="0">
        <references count="4">
          <reference field="0" count="1" selected="0">
            <x v="0"/>
          </reference>
          <reference field="1" count="1" selected="0">
            <x v="10"/>
          </reference>
          <reference field="2" count="1" selected="0">
            <x v="13"/>
          </reference>
          <reference field="3" count="7">
            <x v="13"/>
            <x v="32"/>
            <x v="33"/>
            <x v="36"/>
            <x v="46"/>
            <x v="60"/>
            <x v="81"/>
          </reference>
        </references>
      </pivotArea>
    </format>
    <format dxfId="198">
      <pivotArea dataOnly="0" labelOnly="1" fieldPosition="0">
        <references count="4">
          <reference field="0" count="1" selected="0">
            <x v="0"/>
          </reference>
          <reference field="1" count="1" selected="0">
            <x v="11"/>
          </reference>
          <reference field="2" count="1" selected="0">
            <x v="13"/>
          </reference>
          <reference field="3" count="1">
            <x v="70"/>
          </reference>
        </references>
      </pivotArea>
    </format>
    <format dxfId="197">
      <pivotArea dataOnly="0" labelOnly="1" fieldPosition="0">
        <references count="4">
          <reference field="0" count="1" selected="0">
            <x v="0"/>
          </reference>
          <reference field="1" count="1" selected="0">
            <x v="12"/>
          </reference>
          <reference field="2" count="1" selected="0">
            <x v="13"/>
          </reference>
          <reference field="3" count="1">
            <x v="88"/>
          </reference>
        </references>
      </pivotArea>
    </format>
    <format dxfId="196">
      <pivotArea dataOnly="0" labelOnly="1" fieldPosition="0">
        <references count="4">
          <reference field="0" count="1" selected="0">
            <x v="0"/>
          </reference>
          <reference field="1" count="1" selected="0">
            <x v="13"/>
          </reference>
          <reference field="2" count="1" selected="0">
            <x v="13"/>
          </reference>
          <reference field="3" count="1">
            <x v="64"/>
          </reference>
        </references>
      </pivotArea>
    </format>
    <format dxfId="195">
      <pivotArea dataOnly="0" labelOnly="1" fieldPosition="0">
        <references count="4">
          <reference field="0" count="1" selected="0">
            <x v="0"/>
          </reference>
          <reference field="1" count="1" selected="0">
            <x v="14"/>
          </reference>
          <reference field="2" count="1" selected="0">
            <x v="13"/>
          </reference>
          <reference field="3" count="1">
            <x v="63"/>
          </reference>
        </references>
      </pivotArea>
    </format>
    <format dxfId="194">
      <pivotArea dataOnly="0" labelOnly="1" fieldPosition="0">
        <references count="4">
          <reference field="0" count="1" selected="0">
            <x v="0"/>
          </reference>
          <reference field="1" count="1" selected="0">
            <x v="15"/>
          </reference>
          <reference field="2" count="1" selected="0">
            <x v="13"/>
          </reference>
          <reference field="3" count="12">
            <x v="8"/>
            <x v="36"/>
            <x v="40"/>
            <x v="49"/>
            <x v="51"/>
            <x v="54"/>
            <x v="57"/>
            <x v="63"/>
            <x v="66"/>
            <x v="78"/>
            <x v="87"/>
            <x v="93"/>
          </reference>
        </references>
      </pivotArea>
    </format>
    <format dxfId="193">
      <pivotArea dataOnly="0" labelOnly="1" fieldPosition="0">
        <references count="4">
          <reference field="0" count="1" selected="0">
            <x v="0"/>
          </reference>
          <reference field="1" count="1" selected="0">
            <x v="16"/>
          </reference>
          <reference field="2" count="1" selected="0">
            <x v="14"/>
          </reference>
          <reference field="3" count="2">
            <x v="6"/>
            <x v="82"/>
          </reference>
        </references>
      </pivotArea>
    </format>
    <format dxfId="192">
      <pivotArea dataOnly="0" labelOnly="1" fieldPosition="0">
        <references count="4">
          <reference field="0" count="1" selected="0">
            <x v="0"/>
          </reference>
          <reference field="1" count="1" selected="0">
            <x v="20"/>
          </reference>
          <reference field="2" count="1" selected="0">
            <x v="20"/>
          </reference>
          <reference field="3" count="3">
            <x v="23"/>
            <x v="55"/>
            <x v="90"/>
          </reference>
        </references>
      </pivotArea>
    </format>
    <format dxfId="191">
      <pivotArea dataOnly="0" labelOnly="1" fieldPosition="0">
        <references count="4">
          <reference field="0" count="1" selected="0">
            <x v="0"/>
          </reference>
          <reference field="1" count="1" selected="0">
            <x v="23"/>
          </reference>
          <reference field="2" count="1" selected="0">
            <x v="12"/>
          </reference>
          <reference field="3" count="1">
            <x v="72"/>
          </reference>
        </references>
      </pivotArea>
    </format>
    <format dxfId="190">
      <pivotArea dataOnly="0" labelOnly="1" fieldPosition="0">
        <references count="4">
          <reference field="0" count="1" selected="0">
            <x v="0"/>
          </reference>
          <reference field="1" count="1" selected="0">
            <x v="25"/>
          </reference>
          <reference field="2" count="1" selected="0">
            <x v="37"/>
          </reference>
          <reference field="3" count="1">
            <x v="50"/>
          </reference>
        </references>
      </pivotArea>
    </format>
    <format dxfId="189">
      <pivotArea dataOnly="0" labelOnly="1" fieldPosition="0">
        <references count="4">
          <reference field="0" count="1" selected="0">
            <x v="0"/>
          </reference>
          <reference field="1" count="1" selected="0">
            <x v="26"/>
          </reference>
          <reference field="2" count="1" selected="0">
            <x v="39"/>
          </reference>
          <reference field="3" count="1">
            <x v="91"/>
          </reference>
        </references>
      </pivotArea>
    </format>
    <format dxfId="188">
      <pivotArea dataOnly="0" labelOnly="1" fieldPosition="0">
        <references count="4">
          <reference field="0" count="1" selected="0">
            <x v="0"/>
          </reference>
          <reference field="1" count="1" selected="0">
            <x v="28"/>
          </reference>
          <reference field="2" count="1" selected="0">
            <x v="42"/>
          </reference>
          <reference field="3" count="2">
            <x v="4"/>
            <x v="38"/>
          </reference>
        </references>
      </pivotArea>
    </format>
    <format dxfId="187">
      <pivotArea dataOnly="0" labelOnly="1" fieldPosition="0">
        <references count="4">
          <reference field="0" count="1" selected="0">
            <x v="0"/>
          </reference>
          <reference field="1" count="1" selected="0">
            <x v="29"/>
          </reference>
          <reference field="2" count="1" selected="0">
            <x v="11"/>
          </reference>
          <reference field="3" count="1">
            <x v="48"/>
          </reference>
        </references>
      </pivotArea>
    </format>
    <format dxfId="186">
      <pivotArea dataOnly="0" labelOnly="1" fieldPosition="0">
        <references count="4">
          <reference field="0" count="1" selected="0">
            <x v="0"/>
          </reference>
          <reference field="1" count="1" selected="0">
            <x v="29"/>
          </reference>
          <reference field="2" count="1" selected="0">
            <x v="44"/>
          </reference>
          <reference field="3" count="2">
            <x v="15"/>
            <x v="27"/>
          </reference>
        </references>
      </pivotArea>
    </format>
    <format dxfId="185">
      <pivotArea dataOnly="0" labelOnly="1" fieldPosition="0">
        <references count="4">
          <reference field="0" count="1" selected="0">
            <x v="0"/>
          </reference>
          <reference field="1" count="1" selected="0">
            <x v="31"/>
          </reference>
          <reference field="2" count="1" selected="0">
            <x v="12"/>
          </reference>
          <reference field="3" count="1">
            <x v="71"/>
          </reference>
        </references>
      </pivotArea>
    </format>
    <format dxfId="184">
      <pivotArea dataOnly="0" labelOnly="1" fieldPosition="0">
        <references count="4">
          <reference field="0" count="1" selected="0">
            <x v="0"/>
          </reference>
          <reference field="1" count="1" selected="0">
            <x v="31"/>
          </reference>
          <reference field="2" count="1" selected="0">
            <x v="13"/>
          </reference>
          <reference field="3" count="1">
            <x v="58"/>
          </reference>
        </references>
      </pivotArea>
    </format>
    <format dxfId="183">
      <pivotArea dataOnly="0" labelOnly="1" fieldPosition="0">
        <references count="4">
          <reference field="0" count="1" selected="0">
            <x v="0"/>
          </reference>
          <reference field="1" count="1" selected="0">
            <x v="35"/>
          </reference>
          <reference field="2" count="1" selected="0">
            <x v="37"/>
          </reference>
          <reference field="3" count="4">
            <x v="10"/>
            <x v="14"/>
            <x v="75"/>
            <x v="84"/>
          </reference>
        </references>
      </pivotArea>
    </format>
    <format dxfId="182">
      <pivotArea dataOnly="0" labelOnly="1" fieldPosition="0">
        <references count="4">
          <reference field="0" count="1" selected="0">
            <x v="0"/>
          </reference>
          <reference field="1" count="1" selected="0">
            <x v="36"/>
          </reference>
          <reference field="2" count="1" selected="0">
            <x v="28"/>
          </reference>
          <reference field="3" count="1">
            <x v="3"/>
          </reference>
        </references>
      </pivotArea>
    </format>
    <format dxfId="181">
      <pivotArea dataOnly="0" labelOnly="1" fieldPosition="0">
        <references count="4">
          <reference field="0" count="1" selected="0">
            <x v="0"/>
          </reference>
          <reference field="1" count="1" selected="0">
            <x v="39"/>
          </reference>
          <reference field="2" count="1" selected="0">
            <x v="32"/>
          </reference>
          <reference field="3" count="1">
            <x v="0"/>
          </reference>
        </references>
      </pivotArea>
    </format>
    <format dxfId="180">
      <pivotArea dataOnly="0" labelOnly="1" fieldPosition="0">
        <references count="4">
          <reference field="0" count="1" selected="0">
            <x v="0"/>
          </reference>
          <reference field="1" count="1" selected="0">
            <x v="40"/>
          </reference>
          <reference field="2" count="1" selected="0">
            <x v="31"/>
          </reference>
          <reference field="3" count="2">
            <x v="83"/>
            <x v="92"/>
          </reference>
        </references>
      </pivotArea>
    </format>
    <format dxfId="179">
      <pivotArea dataOnly="0" labelOnly="1" fieldPosition="0">
        <references count="4">
          <reference field="0" count="1" selected="0">
            <x v="1"/>
          </reference>
          <reference field="1" count="1" selected="0">
            <x v="0"/>
          </reference>
          <reference field="2" count="1" selected="0">
            <x v="0"/>
          </reference>
          <reference field="3" count="1">
            <x v="0"/>
          </reference>
        </references>
      </pivotArea>
    </format>
    <format dxfId="178">
      <pivotArea dataOnly="0" labelOnly="1" fieldPosition="0">
        <references count="4">
          <reference field="0" count="1" selected="0">
            <x v="1"/>
          </reference>
          <reference field="1" count="1" selected="0">
            <x v="2"/>
          </reference>
          <reference field="2" count="1" selected="0">
            <x v="1"/>
          </reference>
          <reference field="3" count="1">
            <x v="18"/>
          </reference>
        </references>
      </pivotArea>
    </format>
    <format dxfId="177">
      <pivotArea dataOnly="0" labelOnly="1" fieldPosition="0">
        <references count="4">
          <reference field="0" count="1" selected="0">
            <x v="1"/>
          </reference>
          <reference field="1" count="1" selected="0">
            <x v="6"/>
          </reference>
          <reference field="2" count="1" selected="0">
            <x v="7"/>
          </reference>
          <reference field="3" count="3">
            <x v="11"/>
            <x v="25"/>
            <x v="76"/>
          </reference>
        </references>
      </pivotArea>
    </format>
    <format dxfId="176">
      <pivotArea dataOnly="0" labelOnly="1" fieldPosition="0">
        <references count="4">
          <reference field="0" count="1" selected="0">
            <x v="1"/>
          </reference>
          <reference field="1" count="1" selected="0">
            <x v="17"/>
          </reference>
          <reference field="2" count="1" selected="0">
            <x v="15"/>
          </reference>
          <reference field="3" count="1">
            <x v="37"/>
          </reference>
        </references>
      </pivotArea>
    </format>
    <format dxfId="175">
      <pivotArea dataOnly="0" labelOnly="1" fieldPosition="0">
        <references count="4">
          <reference field="0" count="1" selected="0">
            <x v="1"/>
          </reference>
          <reference field="1" count="1" selected="0">
            <x v="18"/>
          </reference>
          <reference field="2" count="1" selected="0">
            <x v="17"/>
          </reference>
          <reference field="3" count="3">
            <x v="34"/>
            <x v="35"/>
            <x v="62"/>
          </reference>
        </references>
      </pivotArea>
    </format>
    <format dxfId="174">
      <pivotArea dataOnly="0" labelOnly="1" fieldPosition="0">
        <references count="4">
          <reference field="0" count="1" selected="0">
            <x v="1"/>
          </reference>
          <reference field="1" count="1" selected="0">
            <x v="19"/>
          </reference>
          <reference field="2" count="1" selected="0">
            <x v="18"/>
          </reference>
          <reference field="3" count="1">
            <x v="39"/>
          </reference>
        </references>
      </pivotArea>
    </format>
    <format dxfId="173">
      <pivotArea dataOnly="0" labelOnly="1" fieldPosition="0">
        <references count="4">
          <reference field="0" count="1" selected="0">
            <x v="1"/>
          </reference>
          <reference field="1" count="1" selected="0">
            <x v="21"/>
          </reference>
          <reference field="2" count="1" selected="0">
            <x v="26"/>
          </reference>
          <reference field="3" count="1">
            <x v="43"/>
          </reference>
        </references>
      </pivotArea>
    </format>
    <format dxfId="172">
      <pivotArea dataOnly="0" labelOnly="1" fieldPosition="0">
        <references count="4">
          <reference field="0" count="1" selected="0">
            <x v="1"/>
          </reference>
          <reference field="1" count="1" selected="0">
            <x v="24"/>
          </reference>
          <reference field="2" count="1" selected="0">
            <x v="36"/>
          </reference>
          <reference field="3" count="1">
            <x v="79"/>
          </reference>
        </references>
      </pivotArea>
    </format>
    <format dxfId="171">
      <pivotArea dataOnly="0" labelOnly="1" fieldPosition="0">
        <references count="4">
          <reference field="0" count="1" selected="0">
            <x v="1"/>
          </reference>
          <reference field="1" count="1" selected="0">
            <x v="27"/>
          </reference>
          <reference field="2" count="1" selected="0">
            <x v="40"/>
          </reference>
          <reference field="3" count="1">
            <x v="9"/>
          </reference>
        </references>
      </pivotArea>
    </format>
    <format dxfId="170">
      <pivotArea dataOnly="0" labelOnly="1" fieldPosition="0">
        <references count="4">
          <reference field="0" count="1" selected="0">
            <x v="1"/>
          </reference>
          <reference field="1" count="1" selected="0">
            <x v="33"/>
          </reference>
          <reference field="2" count="1" selected="0">
            <x v="21"/>
          </reference>
          <reference field="3" count="2">
            <x v="42"/>
            <x v="77"/>
          </reference>
        </references>
      </pivotArea>
    </format>
    <format dxfId="169">
      <pivotArea dataOnly="0" labelOnly="1" fieldPosition="0">
        <references count="4">
          <reference field="0" count="1" selected="0">
            <x v="1"/>
          </reference>
          <reference field="1" count="1" selected="0">
            <x v="37"/>
          </reference>
          <reference field="2" count="1" selected="0">
            <x v="29"/>
          </reference>
          <reference field="3" count="1">
            <x v="7"/>
          </reference>
        </references>
      </pivotArea>
    </format>
    <format dxfId="168">
      <pivotArea dataOnly="0" labelOnly="1" fieldPosition="0">
        <references count="4">
          <reference field="0" count="1" selected="0">
            <x v="2"/>
          </reference>
          <reference field="1" count="1" selected="0">
            <x v="4"/>
          </reference>
          <reference field="2" count="1" selected="0">
            <x v="4"/>
          </reference>
          <reference field="3" count="2">
            <x v="73"/>
            <x v="74"/>
          </reference>
        </references>
      </pivotArea>
    </format>
    <format dxfId="167">
      <pivotArea dataOnly="0" labelOnly="1" fieldPosition="0">
        <references count="4">
          <reference field="0" count="1" selected="0">
            <x v="2"/>
          </reference>
          <reference field="1" count="1" selected="0">
            <x v="5"/>
          </reference>
          <reference field="2" count="1" selected="0">
            <x v="6"/>
          </reference>
          <reference field="3" count="1">
            <x v="22"/>
          </reference>
        </references>
      </pivotArea>
    </format>
    <format dxfId="166">
      <pivotArea dataOnly="0" labelOnly="1" fieldPosition="0">
        <references count="4">
          <reference field="0" count="1" selected="0">
            <x v="2"/>
          </reference>
          <reference field="1" count="1" selected="0">
            <x v="7"/>
          </reference>
          <reference field="2" count="1" selected="0">
            <x v="8"/>
          </reference>
          <reference field="3" count="1">
            <x v="16"/>
          </reference>
        </references>
      </pivotArea>
    </format>
    <format dxfId="165">
      <pivotArea dataOnly="0" labelOnly="1" fieldPosition="0">
        <references count="4">
          <reference field="0" count="1" selected="0">
            <x v="2"/>
          </reference>
          <reference field="1" count="1" selected="0">
            <x v="22"/>
          </reference>
          <reference field="2" count="1" selected="0">
            <x v="27"/>
          </reference>
          <reference field="3" count="3">
            <x v="26"/>
            <x v="47"/>
            <x v="67"/>
          </reference>
        </references>
      </pivotArea>
    </format>
    <format dxfId="164">
      <pivotArea dataOnly="0" labelOnly="1" fieldPosition="0">
        <references count="4">
          <reference field="0" count="1" selected="0">
            <x v="2"/>
          </reference>
          <reference field="1" count="1" selected="0">
            <x v="30"/>
          </reference>
          <reference field="2" count="1" selected="0">
            <x v="45"/>
          </reference>
          <reference field="3" count="2">
            <x v="44"/>
            <x v="68"/>
          </reference>
        </references>
      </pivotArea>
    </format>
    <format dxfId="163">
      <pivotArea dataOnly="0" labelOnly="1" fieldPosition="0">
        <references count="4">
          <reference field="0" count="1" selected="0">
            <x v="3"/>
          </reference>
          <reference field="1" count="1" selected="0">
            <x v="0"/>
          </reference>
          <reference field="2" count="1" selected="0">
            <x v="19"/>
          </reference>
          <reference field="3" count="1">
            <x v="31"/>
          </reference>
        </references>
      </pivotArea>
    </format>
    <format dxfId="162">
      <pivotArea dataOnly="0" labelOnly="1" fieldPosition="0">
        <references count="4">
          <reference field="0" count="1" selected="0">
            <x v="3"/>
          </reference>
          <reference field="1" count="1" selected="0">
            <x v="32"/>
          </reference>
          <reference field="2" count="1" selected="0">
            <x v="3"/>
          </reference>
          <reference field="3" count="1">
            <x v="19"/>
          </reference>
        </references>
      </pivotArea>
    </format>
    <format dxfId="161">
      <pivotArea dataOnly="0" labelOnly="1" fieldPosition="0">
        <references count="4">
          <reference field="0" count="1" selected="0">
            <x v="3"/>
          </reference>
          <reference field="1" count="1" selected="0">
            <x v="32"/>
          </reference>
          <reference field="2" count="1" selected="0">
            <x v="19"/>
          </reference>
          <reference field="3" count="1">
            <x v="31"/>
          </reference>
        </references>
      </pivotArea>
    </format>
    <format dxfId="160">
      <pivotArea dataOnly="0" labelOnly="1" fieldPosition="0">
        <references count="4">
          <reference field="0" count="1" selected="0">
            <x v="3"/>
          </reference>
          <reference field="1" count="1" selected="0">
            <x v="32"/>
          </reference>
          <reference field="2" count="1" selected="0">
            <x v="30"/>
          </reference>
          <reference field="3" count="1">
            <x v="52"/>
          </reference>
        </references>
      </pivotArea>
    </format>
    <format dxfId="159">
      <pivotArea dataOnly="0" labelOnly="1" fieldPosition="0">
        <references count="4">
          <reference field="0" count="1" selected="0">
            <x v="3"/>
          </reference>
          <reference field="1" count="1" selected="0">
            <x v="32"/>
          </reference>
          <reference field="2" count="1" selected="0">
            <x v="34"/>
          </reference>
          <reference field="3" count="1">
            <x v="29"/>
          </reference>
        </references>
      </pivotArea>
    </format>
    <format dxfId="158">
      <pivotArea dataOnly="0" labelOnly="1" fieldPosition="0">
        <references count="4">
          <reference field="0" count="1" selected="0">
            <x v="3"/>
          </reference>
          <reference field="1" count="1" selected="0">
            <x v="34"/>
          </reference>
          <reference field="2" count="1" selected="0">
            <x v="25"/>
          </reference>
          <reference field="3" count="1">
            <x v="85"/>
          </reference>
        </references>
      </pivotArea>
    </format>
    <format dxfId="157">
      <pivotArea dataOnly="0" labelOnly="1" fieldPosition="0">
        <references count="4">
          <reference field="0" count="1" selected="0">
            <x v="3"/>
          </reference>
          <reference field="1" count="1" selected="0">
            <x v="38"/>
          </reference>
          <reference field="2" count="1" selected="0">
            <x v="10"/>
          </reference>
          <reference field="3" count="2">
            <x v="56"/>
            <x v="61"/>
          </reference>
        </references>
      </pivotArea>
    </format>
    <format dxfId="156">
      <pivotArea dataOnly="0" labelOnly="1" fieldPosition="0">
        <references count="4">
          <reference field="0" count="1" selected="0">
            <x v="3"/>
          </reference>
          <reference field="1" count="1" selected="0">
            <x v="38"/>
          </reference>
          <reference field="2" count="1" selected="0">
            <x v="22"/>
          </reference>
          <reference field="3" count="1">
            <x v="53"/>
          </reference>
        </references>
      </pivotArea>
    </format>
    <format dxfId="155">
      <pivotArea dataOnly="0" labelOnly="1" fieldPosition="0">
        <references count="4">
          <reference field="0" count="1" selected="0">
            <x v="3"/>
          </reference>
          <reference field="1" count="1" selected="0">
            <x v="38"/>
          </reference>
          <reference field="2" count="1" selected="0">
            <x v="23"/>
          </reference>
          <reference field="3" count="2">
            <x v="2"/>
            <x v="69"/>
          </reference>
        </references>
      </pivotArea>
    </format>
    <format dxfId="154">
      <pivotArea dataOnly="0" labelOnly="1" fieldPosition="0">
        <references count="4">
          <reference field="0" count="1" selected="0">
            <x v="3"/>
          </reference>
          <reference field="1" count="1" selected="0">
            <x v="38"/>
          </reference>
          <reference field="2" count="1" selected="0">
            <x v="24"/>
          </reference>
          <reference field="3" count="1">
            <x v="12"/>
          </reference>
        </references>
      </pivotArea>
    </format>
    <format dxfId="153">
      <pivotArea dataOnly="0" labelOnly="1" fieldPosition="0">
        <references count="4">
          <reference field="0" count="1" selected="0">
            <x v="3"/>
          </reference>
          <reference field="1" count="1" selected="0">
            <x v="38"/>
          </reference>
          <reference field="2" count="1" selected="0">
            <x v="33"/>
          </reference>
          <reference field="3" count="1">
            <x v="28"/>
          </reference>
        </references>
      </pivotArea>
    </format>
    <format dxfId="152">
      <pivotArea dataOnly="0" labelOnly="1" fieldPosition="0">
        <references count="4">
          <reference field="0" count="1" selected="0">
            <x v="3"/>
          </reference>
          <reference field="1" count="1" selected="0">
            <x v="38"/>
          </reference>
          <reference field="2" count="1" selected="0">
            <x v="38"/>
          </reference>
          <reference field="3" count="1">
            <x v="59"/>
          </reference>
        </references>
      </pivotArea>
    </format>
    <format dxfId="151">
      <pivotArea dataOnly="0" labelOnly="1" fieldPosition="0">
        <references count="4">
          <reference field="0" count="1" selected="0">
            <x v="3"/>
          </reference>
          <reference field="1" count="1" selected="0">
            <x v="38"/>
          </reference>
          <reference field="2" count="1" selected="0">
            <x v="41"/>
          </reference>
          <reference field="3" count="1">
            <x v="86"/>
          </reference>
        </references>
      </pivotArea>
    </format>
    <format dxfId="150">
      <pivotArea dataOnly="0" labelOnly="1" fieldPosition="0">
        <references count="4">
          <reference field="0" count="1" selected="0">
            <x v="3"/>
          </reference>
          <reference field="1" count="1" selected="0">
            <x v="38"/>
          </reference>
          <reference field="2" count="1" selected="0">
            <x v="43"/>
          </reference>
          <reference field="3" count="3">
            <x v="1"/>
            <x v="30"/>
            <x v="4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F6B9989-11D2-493E-9F81-EA1E38388BAF}" name="Tableau7" displayName="Tableau7" ref="L2:R21" totalsRowShown="0" headerRowDxfId="34" headerRowBorderDxfId="33" tableBorderDxfId="32">
  <autoFilter ref="L2:R21" xr:uid="{7F6B9989-11D2-493E-9F81-EA1E38388BAF}"/>
  <sortState ref="L3:R21">
    <sortCondition ref="Q2:Q21"/>
  </sortState>
  <tableColumns count="7">
    <tableColumn id="1" xr3:uid="{E331962E-6537-4D4C-9939-89A48BBE8DC5}" name="BU" dataDxfId="31"/>
    <tableColumn id="2" xr3:uid="{4D29CA62-C727-4949-952F-133B75735B07}" name="Country" dataDxfId="30"/>
    <tableColumn id="3" xr3:uid="{76CCBF14-AC31-47BB-8826-08FEF5D53B25}" name="City" dataDxfId="29"/>
    <tableColumn id="4" xr3:uid="{B4F8C98E-A8D0-420F-A404-B79ED2C8C6BE}" name="Street Address" dataDxfId="28"/>
    <tableColumn id="5" xr3:uid="{DA2846DF-EA75-49E1-A598-4009B9706EEC}" name="Location unique ID" dataDxfId="27"/>
    <tableColumn id="6" xr3:uid="{00EC24D8-24BD-4921-A654-F0059551C961}" name="Lease End Date" dataDxfId="26"/>
    <tableColumn id="7" xr3:uid="{3F513129-DBD8-4765-B0D3-D8E5FE510E96}" name="Lease Notes/ 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51D01CE-B64B-4103-BB95-95F599E58FB8}" name="Tableau8" displayName="Tableau8" ref="B1:H16" totalsRowShown="0" headerRowDxfId="25" dataDxfId="23" headerRowBorderDxfId="24" tableBorderDxfId="22">
  <autoFilter ref="B1:H16" xr:uid="{251D01CE-B64B-4103-BB95-95F599E58FB8}"/>
  <tableColumns count="7">
    <tableColumn id="1" xr3:uid="{75B31B3D-B584-48A4-A7DC-C07731AB1569}" name="BU" dataDxfId="21"/>
    <tableColumn id="2" xr3:uid="{3BF4746F-2363-40FD-8618-86842B4A2D65}" name="Country" dataDxfId="20"/>
    <tableColumn id="3" xr3:uid="{A1134D08-AEAB-4A53-9E38-08ACC84B6668}" name="City" dataDxfId="19"/>
    <tableColumn id="4" xr3:uid="{157062B5-74B7-45C6-9C29-92453FDCFF40}" name="Street Address" dataDxfId="18"/>
    <tableColumn id="5" xr3:uid="{0F6053E1-E01A-4872-B8BD-8D854857AEEC}" name="Location unique ID" dataDxfId="17"/>
    <tableColumn id="6" xr3:uid="{2DB2CDFC-0252-4B43-A632-DA1D99694F70}" name="Lease End Date" dataDxfId="16"/>
    <tableColumn id="7" xr3:uid="{89D03F24-AA66-4008-A8B3-0E08B0F71751}" name="Lease Notes/ Comments"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6A00915-F758-4911-80F8-74E0015D0818}" name="Tableau9" displayName="Tableau9" ref="B18:H50" totalsRowShown="0" headerRowDxfId="14" headerRowBorderDxfId="13" tableBorderDxfId="12">
  <autoFilter ref="B18:H50" xr:uid="{86A00915-F758-4911-80F8-74E0015D0818}"/>
  <sortState ref="B19:H50">
    <sortCondition ref="G18:G50"/>
  </sortState>
  <tableColumns count="7">
    <tableColumn id="1" xr3:uid="{CE542501-7C31-4B03-9B59-874D7C85B054}" name="BU" dataDxfId="11"/>
    <tableColumn id="2" xr3:uid="{72E47A13-33DF-4C68-A0B5-2C8B17209A86}" name="Country" dataDxfId="10"/>
    <tableColumn id="3" xr3:uid="{4C98A354-EB4F-4E15-99A0-0D89C708893C}" name="City" dataDxfId="9"/>
    <tableColumn id="4" xr3:uid="{4FFB8E16-A395-4BC9-9417-00BDB1BBEDFA}" name="Street Address" dataDxfId="8"/>
    <tableColumn id="5" xr3:uid="{C8948DE0-7F5C-496C-8164-07F379766F85}" name="Location unique ID" dataDxfId="7"/>
    <tableColumn id="6" xr3:uid="{AB553B82-690F-433C-8A41-35BC0A3CE512}" name="Lease End Date" dataDxfId="6"/>
    <tableColumn id="7" xr3:uid="{66B31BF4-9C17-4866-BF1D-F53B607D196C}" name="Lease Notes/ Comme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4E978E-A53C-4ACE-A1A6-34B54C841C57}" name="Tableau2" displayName="Tableau2" ref="B2:H11" totalsRowShown="0" headerRowDxfId="5">
  <autoFilter ref="B2:H11" xr:uid="{DD058052-521E-4F22-BFF2-A5F5E2F7A00B}"/>
  <sortState ref="B3:H11">
    <sortCondition ref="G2:G11"/>
  </sortState>
  <tableColumns count="7">
    <tableColumn id="1" xr3:uid="{27365B7B-A90B-4C25-B81C-3BCB00A3BCA0}" name="Country"/>
    <tableColumn id="2" xr3:uid="{FE8D369A-65BA-4512-AB3C-1E612BEC1877}" name="BU"/>
    <tableColumn id="3" xr3:uid="{D8B297BE-3506-4F4D-8575-2701E6C5FEF4}" name="Location ID"/>
    <tableColumn id="4" xr3:uid="{48DF7A53-103E-4E9B-8B71-B67AC3A216B4}" name="City"/>
    <tableColumn id="5" xr3:uid="{788E93CC-886D-43C9-9E59-8ADCFB05B0A7}" name="Address"/>
    <tableColumn id="6" xr3:uid="{984E5C74-D245-4F7C-A40D-C714133D4267}" name="lease end" dataDxfId="4"/>
    <tableColumn id="7" xr3:uid="{2DAA4773-296D-40B6-AEF1-51CF50FBFC4A}" name="Remark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C5FE09-92C5-44E0-A033-3873577865FA}" name="Tableau3" displayName="Tableau3" ref="B2:H40" totalsRowShown="0" headerRowDxfId="3">
  <autoFilter ref="B2:H40" xr:uid="{C9CE8CCD-005A-448D-AF7A-0D8252B82407}"/>
  <sortState ref="B3:H40">
    <sortCondition ref="G2:G40"/>
  </sortState>
  <tableColumns count="7">
    <tableColumn id="1" xr3:uid="{C6FE1272-AF2C-4EBD-AB9C-0741DA171D2E}" name="Country" dataDxfId="2"/>
    <tableColumn id="2" xr3:uid="{68F75327-EFA1-4185-9757-BF8208BD6C5D}" name="BU"/>
    <tableColumn id="3" xr3:uid="{8F08316D-548D-42F1-B17F-2162510C1481}" name="Location ID"/>
    <tableColumn id="4" xr3:uid="{FE155699-F248-4E42-BA15-EA9EA641FA2C}" name="City"/>
    <tableColumn id="5" xr3:uid="{E6BA52E3-C113-40DF-8B92-A1B41745E1B5}" name="Address"/>
    <tableColumn id="6" xr3:uid="{5C3578EA-2E68-4D45-A39F-64E59DCC92DC}" name="lease end" dataDxfId="1"/>
    <tableColumn id="7" xr3:uid="{2D743D29-BA71-42CC-9729-BE3C84C65091}" name="Remark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A9431F-00B2-4B38-8B84-4FCB30FC6117}" name="Tableau1" displayName="Tableau1" ref="B2:I71" totalsRowShown="0">
  <autoFilter ref="B2:I71" xr:uid="{2BDF8D32-2513-4512-B922-7769081F540C}"/>
  <sortState ref="B3:I71">
    <sortCondition ref="G2:G71"/>
  </sortState>
  <tableColumns count="8">
    <tableColumn id="1" xr3:uid="{020F2A84-EBC9-4250-98A4-EB1894DAE139}" name="Country"/>
    <tableColumn id="2" xr3:uid="{E87CD713-A216-4306-9754-B6AB8C0F96BB}" name="BU"/>
    <tableColumn id="3" xr3:uid="{491DC68A-0FFF-4531-968E-7CEA1A026717}" name="Location ID"/>
    <tableColumn id="4" xr3:uid="{DBFF827B-88F5-43DA-86FA-45FCF5610634}" name="City"/>
    <tableColumn id="5" xr3:uid="{6572748A-B1F3-4E4E-9959-D6D4911C113C}" name="Address"/>
    <tableColumn id="6" xr3:uid="{CE218BF2-FB63-4084-B4E9-E9201FA327B2}" name="lease end" dataDxfId="0"/>
    <tableColumn id="7" xr3:uid="{35A29365-F419-4A58-B5FF-9C8C46DBC143}" name="Remarks"/>
    <tableColumn id="8" xr3:uid="{3D5B2A11-BE43-4210-B8D8-80AB61A87D1B}" name="dw"/>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20" dT="2026-01-12T08:11:55.04" personId="{BE096996-AFCA-496E-9DFA-8482EE31D4E4}" id="{B7150585-D5F6-487B-B9DC-118B9786961B}">
    <text>This is monthly</text>
  </threadedComment>
</ThreadedComments>
</file>

<file path=xl/threadedComments/threadedComment2.xml><?xml version="1.0" encoding="utf-8"?>
<ThreadedComments xmlns="http://schemas.microsoft.com/office/spreadsheetml/2018/threadedcomments" xmlns:x="http://schemas.openxmlformats.org/spreadsheetml/2006/main">
  <threadedComment ref="D19" dT="2022-12-16T00:28:37.40" personId="{42AFF94D-4A46-46F8-8CC4-BDE2133EC3BD}" id="{0DA635AC-B0ED-4FEA-A1E1-78D6B60515D5}">
    <text>Does Allianz own any buildings in Brisbane?</text>
  </threadedComment>
  <threadedComment ref="D24" dT="2023-05-12T13:27:42.18" personId="{F7B71ABD-EDB5-440C-822A-7081C0398D8A}" id="{7BBD26B0-92D2-492E-887B-3B207A1E862F}">
    <text>7993 sqm is the total area rented minus the 3441 sqm, which are subleased</text>
  </threadedComment>
  <threadedComment ref="D28" dT="2023-03-21T08:13:55.81" personId="{F7B71ABD-EDB5-440C-822A-7081C0398D8A}" id="{A93BF46F-B57E-4D07-918D-EF78B5B595AF}">
    <text>$762.64 / sqm
Information provided in December 2022 new rental price with indexation of 3,75% is $790.82</text>
  </threadedComment>
  <threadedComment ref="D30" dT="2023-03-21T08:18:32.27" personId="{F7B71ABD-EDB5-440C-822A-7081C0398D8A}" id="{56ECFC0F-C92A-4EF8-B099-3EFD57E12200}">
    <text>$227,619.38 - Landlord ( Base building cleaning, electricity etc.$28.48 per sqm
$391,967 - Direct to vendors - Tenancy cleaning, security, office &amp; kitchen suppliers etc
Total $619,568 = $77.52/sqm
Refer to breakdown List below, these are costs paid to the landlord.
plus 111.677 (annual building signage)</text>
  </threadedComment>
</ThreadedComments>
</file>

<file path=xl/threadedComments/threadedComment3.xml><?xml version="1.0" encoding="utf-8"?>
<ThreadedComments xmlns="http://schemas.microsoft.com/office/spreadsheetml/2018/threadedcomments" xmlns:x="http://schemas.openxmlformats.org/spreadsheetml/2006/main">
  <threadedComment ref="D24" dT="2023-11-15T09:14:09.25" personId="{F7B71ABD-EDB5-440C-822A-7081C0398D8A}" id="{7C40BBD7-54C8-4CC1-B95F-8759BD9FBD01}">
    <text>Office space 761 m²</text>
  </threadedComment>
  <threadedComment ref="D24" dT="2025-09-20T09:05:39.69" personId="{49260E98-FE84-4F32-96E6-831CAB66C008}" id="{7BA20456-BA26-4E1B-807E-D12AF4C63DE1}" parentId="{7C40BBD7-54C8-4CC1-B95F-8759BD9FBD01}">
    <text>Office space 790 m²</text>
  </threadedComment>
  <threadedComment ref="D29" dT="2023-11-15T09:17:21.06" personId="{F7B71ABD-EDB5-440C-822A-7081C0398D8A}" id="{5A4D8DA1-6B80-41B1-A593-156713F16E19}">
    <text>Annual adjustment starting January 2024</text>
  </threadedComment>
  <threadedComment ref="D30" dT="2023-11-15T09:21:53.69" personId="{F7B71ABD-EDB5-440C-822A-7081C0398D8A}" id="{F655181E-6D20-418F-89B7-B55583DE6539}">
    <text>11,85 € OPEX plus 2,60 € Parking (112 € x 20 spots / 861 m²)</text>
  </threadedComment>
  <threadedComment ref="F30" dT="2023-03-22T11:15:29.33" personId="{F7B71ABD-EDB5-440C-822A-7081C0398D8A}" id="{7785372D-D2C6-4F91-9E78-20E103E467B8}">
    <text>includes also the parking fees</text>
  </threadedComment>
</ThreadedComments>
</file>

<file path=xl/threadedComments/threadedComment4.xml><?xml version="1.0" encoding="utf-8"?>
<ThreadedComments xmlns="http://schemas.microsoft.com/office/spreadsheetml/2018/threadedcomments" xmlns:x="http://schemas.openxmlformats.org/spreadsheetml/2006/main">
  <threadedComment ref="D30" dT="2023-03-22T11:15:29.33" personId="{F7B71ABD-EDB5-440C-822A-7081C0398D8A}" id="{0C80650D-8E42-46DD-98A1-1FC6872B961A}">
    <text>includes also the parking fees</text>
  </threadedComment>
  <threadedComment ref="E30" dT="2023-03-21T14:54:40.49" personId="{F7B71ABD-EDB5-440C-822A-7081C0398D8A}" id="{C6882553-3D2C-4671-B3D1-48855EDDC192}">
    <text>includes parking fees of 2.340 € (3 x 65 x 12) 2.340 / 98,14 = 23,84 €/m²</text>
  </threadedComment>
</ThreadedComments>
</file>

<file path=xl/threadedComments/threadedComment5.xml><?xml version="1.0" encoding="utf-8"?>
<ThreadedComments xmlns="http://schemas.microsoft.com/office/spreadsheetml/2018/threadedcomments" xmlns:x="http://schemas.openxmlformats.org/spreadsheetml/2006/main">
  <threadedComment ref="D28" dT="2023-03-24T11:12:59.45" personId="{F7B71ABD-EDB5-440C-822A-7081C0398D8A}" id="{51E538CC-D5C3-4FBC-92EC-4B63374D4E45}">
    <text>577 + 111.000 (Parking per year) but parking shifted to facility cost</text>
  </threadedComment>
  <threadedComment ref="E28" dT="2023-03-24T11:13:45.76" personId="{F7B71ABD-EDB5-440C-822A-7081C0398D8A}" id="{A164DAF4-4A40-4F81-A383-B2FE90DA0B49}">
    <text>600 (no additional charges for 10 parking spots)</text>
  </threadedComment>
  <threadedComment ref="D29" dT="2023-06-23T09:29:59.63" personId="{F7B71ABD-EDB5-440C-822A-7081C0398D8A}" id="{E0892B25-510C-4646-947E-5F87847ACAFA}">
    <text>Increase always in April</text>
  </threadedComment>
  <threadedComment ref="E29" dT="2023-06-23T09:30:22.50" personId="{F7B71ABD-EDB5-440C-822A-7081C0398D8A}" id="{F3D8C735-9787-4D37-B21A-BA9347D46CBB}">
    <text>Increase always in April</text>
  </threadedComment>
  <threadedComment ref="D30" dT="2023-03-24T11:18:16.40" personId="{F7B71ABD-EDB5-440C-822A-7081C0398D8A}" id="{73E2ED7B-F762-4AFE-9395-C064513CB903}">
    <text>80 BRL plus 111.000 for parking. 111.000/ 3256m² equals 34 BRL per m² so 80 plus 34 equal 114 BRL/m²</text>
  </threadedComment>
  <threadedComment ref="E30" dT="2023-03-24T11:31:38.59" personId="{F7B71ABD-EDB5-440C-822A-7081C0398D8A}" id="{F361F49A-96E3-4107-9F18-25CE60754517}">
    <text>costs are so much lower for synergy reasons</text>
  </threadedComment>
  <threadedComment ref="D33" dT="2023-03-24T11:32:00.83" personId="{F7B71ABD-EDB5-440C-822A-7081C0398D8A}" id="{46F5EE9C-F212-420E-8FBE-AEA1C483D11D}">
    <text>(5th floor - 05/09/2016) (8th e 9th - 02/08/2018)</text>
  </threadedComment>
</ThreadedComments>
</file>

<file path=xl/threadedComments/threadedComment6.xml><?xml version="1.0" encoding="utf-8"?>
<ThreadedComments xmlns="http://schemas.microsoft.com/office/spreadsheetml/2018/threadedcomments" xmlns:x="http://schemas.openxmlformats.org/spreadsheetml/2006/main">
  <threadedComment ref="D24" dT="2023-11-30T13:41:16.97" personId="{F7B71ABD-EDB5-440C-822A-7081C0398D8A}" id="{0F150C39-D58C-4FB9-8AF7-D29B6018C50E}">
    <text>Originally there were 1150m² then the space on the first floor was reduced by 155m² (15.11.2023) and the remainder of the fist floor (131,07) will be given back on the 31st of March 2024</text>
  </threadedComment>
  <threadedComment ref="D28" dT="2023-03-27T08:29:44.89" personId="{F7B71ABD-EDB5-440C-822A-7081C0398D8A}" id="{EC52FC66-3527-4886-BDEF-B8FA0C6D93C2}">
    <text>39648,96
39648,96 x 12 = 475.787,52/year/m²</text>
  </threadedComment>
  <threadedComment ref="D30" dT="2023-03-27T08:43:13.55" personId="{F7B71ABD-EDB5-440C-822A-7081C0398D8A}" id="{A3BED21F-0D74-430C-B69E-5505014CAEDF}">
    <text>Gastos $ 229.945.763 Cop  / 1.150 mtr2 / $ 199.952 mtr2</text>
  </threadedComment>
  <threadedComment ref="D32" dT="2023-03-27T08:33:18.42" personId="{F7B71ABD-EDB5-440C-822A-7081C0398D8A}" id="{0671984F-ECF5-4E5F-8B2A-B0B040823CAE}">
    <text>Original answer form Colombia: 13,12%  2023 THE YEAR : $ 618.942.469,01 COP - so this number was taken as total facility cost without rent for 2023 and to be put in lne 32</text>
  </threadedComment>
  <threadedComment ref="D40" dT="2023-03-27T09:18:33.76" personId="{F7B71ABD-EDB5-440C-822A-7081C0398D8A}" id="{FFAA09E7-0EFC-4C9F-92E3-59795FC0F19A}">
    <text>31.01.2024</text>
  </threadedComment>
  <threadedComment ref="D40" dT="2023-11-30T13:43:11.99" personId="{F7B71ABD-EDB5-440C-822A-7081C0398D8A}" id="{7B9AE8AF-9201-4297-BA41-FB63F2E747E2}" parentId="{FFAA09E7-0EFC-4C9F-92E3-59795FC0F19A}">
    <text>Contract was originally valid until 31.03.2024 and then got extended until 31.03.2026</text>
  </threadedComment>
</ThreadedComments>
</file>

<file path=xl/threadedComments/threadedComment7.xml><?xml version="1.0" encoding="utf-8"?>
<ThreadedComments xmlns="http://schemas.microsoft.com/office/spreadsheetml/2018/threadedcomments" xmlns:x="http://schemas.openxmlformats.org/spreadsheetml/2006/main">
  <threadedComment ref="D28" dT="2023-03-27T07:15:16.17" personId="{F7B71ABD-EDB5-440C-822A-7081C0398D8A}" id="{11D5459D-B6E3-437B-BD16-6D5587A5C6EC}">
    <text>4.84/day/m²
4.84 x 365 = 1766,6</text>
  </threadedComment>
  <threadedComment ref="E28" dT="2023-03-27T07:19:19.45" personId="{F7B71ABD-EDB5-440C-822A-7081C0398D8A}" id="{11BF186A-6CBA-4B5B-8E5F-5C88830B0D04}">
    <text>Update Marinette Email 11.06.2024: 70/month/m²
70 x 12 =840 /year/m²</text>
  </threadedComment>
  <threadedComment ref="F28" dT="2023-03-27T07:20:43.96" personId="{F7B71ABD-EDB5-440C-822A-7081C0398D8A}" id="{B44CF43A-B77A-4979-A84B-0F1DFBF359E7}">
    <text>167.340,33/month
167.340,33 / 550,16 = 304,17/month/m² x 12 = 3.650,04/year/m²</text>
  </threadedComment>
  <threadedComment ref="G28" dT="2023-03-27T07:27:51.41" personId="{F7B71ABD-EDB5-440C-822A-7081C0398D8A}" id="{C734BA26-A112-45DD-BB26-6BD25098D620}">
    <text>8000/month
8000 / 24 = 333,32/month/m²
333,32 x 12 = 3999,84/year/m²</text>
  </threadedComment>
  <threadedComment ref="D30" dT="2023-03-27T07:31:51.58" personId="{F7B71ABD-EDB5-440C-822A-7081C0398D8A}" id="{FBCADE97-598B-4BE6-9C66-E64C91B03B93}">
    <text>Update Marinette Email 11.06.: 2.383.717 / 2845 = 837,86</text>
  </threadedComment>
  <threadedComment ref="E30" dT="2023-03-27T07:34:20.15" personId="{F7B71ABD-EDB5-440C-822A-7081C0398D8A}" id="{69187016-CCE4-44E8-A20A-507F64704C8F}">
    <text>Update Email Marinette: 1160795 + 210909 = 1.371.704 / 2197 = 624,35</text>
  </threadedComment>
  <threadedComment ref="F30" dT="2023-03-27T07:35:49.72" personId="{F7B71ABD-EDB5-440C-822A-7081C0398D8A}" id="{ACC62624-226A-4EB0-AEE8-3C58B8D5F627}">
    <text>260.568 + 416.775 = 677.343 / 550 = 1231,53</text>
  </threadedComment>
  <threadedComment ref="G30" dT="2023-03-27T07:38:35.10" personId="{F7B71ABD-EDB5-440C-822A-7081C0398D8A}" id="{007273C4-6884-457B-A00C-5E2C5D34FEB7}">
    <text>Update Email Marinette 11.06.2024: 3000 / 24 = 125</text>
  </threadedComment>
  <threadedComment ref="D46" dT="2023-03-27T07:41:15.19" personId="{F7B71ABD-EDB5-440C-822A-7081C0398D8A}" id="{BF216B24-A45B-4C38-A832-5FBC7E8A3FC3}">
    <text>Update Marinette Email 11.06.2024</text>
  </threadedComment>
  <threadedComment ref="E46" dT="2023-03-27T07:43:44.71" personId="{F7B71ABD-EDB5-440C-822A-7081C0398D8A}" id="{0ECC0130-DC10-44D5-8C1B-53266E32A638}">
    <text xml:space="preserve">Update  Email Marinette 11.06.2024: 256
</text>
  </threadedComment>
  <threadedComment ref="F46" dT="2023-03-27T07:44:02.09" personId="{F7B71ABD-EDB5-440C-822A-7081C0398D8A}" id="{69EC56AD-7B30-4B03-85D2-81A0476585F2}">
    <text>Update Email Marinette 11.06.2024: 38</text>
  </threadedComment>
  <threadedComment ref="G46" dT="2023-03-27T07:44:17.71" personId="{F7B71ABD-EDB5-440C-822A-7081C0398D8A}" id="{91B4350B-1232-468A-8D22-58D2A75988D3}">
    <text>Regular HC：2
HRO：0</text>
  </threadedComment>
  <threadedComment ref="D50" dT="2023-03-27T07:44:37.74" personId="{F7B71ABD-EDB5-440C-822A-7081C0398D8A}" id="{162D4E29-014F-446E-A3F7-DC13AD0E762C}">
    <text>Update Marinette Email 11.06.2024</text>
  </threadedComment>
  <threadedComment ref="E50" dT="2023-03-27T07:44:55.14" personId="{F7B71ABD-EDB5-440C-822A-7081C0398D8A}" id="{1FEDC149-DFEE-4747-B047-D13D31050984}">
    <text>Update Email Marinette 11.06.2024: 398</text>
  </threadedComment>
  <threadedComment ref="F50" dT="2023-03-27T07:45:16.46" personId="{F7B71ABD-EDB5-440C-822A-7081C0398D8A}" id="{AB204038-2E54-4B66-8E4F-31034D82E4D5}">
    <text>Update Marinette Email 11.06.2024: 52</text>
  </threadedComment>
  <threadedComment ref="G50" dT="2023-03-27T07:45:38.47" personId="{F7B71ABD-EDB5-440C-822A-7081C0398D8A}" id="{5A931596-BFBF-4F20-9537-E39AAE9D9D6A}">
    <text>Update Email Marinette 11.06.2024: 2</text>
  </threadedComment>
</ThreadedComments>
</file>

<file path=xl/threadedComments/threadedComment8.xml><?xml version="1.0" encoding="utf-8"?>
<ThreadedComments xmlns="http://schemas.microsoft.com/office/spreadsheetml/2018/threadedcomments" xmlns:x="http://schemas.openxmlformats.org/spreadsheetml/2006/main">
  <threadedComment ref="D15" dT="2023-03-27T11:29:19.41" personId="{F7B71ABD-EDB5-440C-822A-7081C0398D8A}" id="{B8C67585-A5A5-4B0F-B100-F2393C0797E2}">
    <text>Prague 7</text>
  </threadedComment>
  <threadedComment ref="E15" dT="2023-03-27T11:29:39.22" personId="{F7B71ABD-EDB5-440C-822A-7081C0398D8A}" id="{074EF503-ACEC-43B8-B964-704939FEDDEE}">
    <text>Bratislava I.</text>
  </threadedComment>
  <threadedComment ref="D24" dT="2023-03-27T11:32:08.63" personId="{F7B71ABD-EDB5-440C-822A-7081C0398D8A}" id="{BA2C0394-D27D-4D74-ACB0-D6C35AEA8A94}">
    <text>offices 1293,19 m²
storage 98 m²</text>
  </threadedComment>
  <threadedComment ref="E24" dT="2023-03-27T11:32:24.94" personId="{F7B71ABD-EDB5-440C-822A-7081C0398D8A}" id="{31C2BADC-2E00-467D-9397-5FA909B0D1E7}">
    <text>offices 74 m²</text>
  </threadedComment>
  <threadedComment ref="D28" dT="2023-03-27T11:34:16.58" personId="{F7B71ABD-EDB5-440C-822A-7081C0398D8A}" id="{A43221C4-D567-4138-8E77-8C1CD2C44EAB}">
    <text>offices 11,60 EUR/m²
storage 5,45 EUR/m²
parking 98,3 EUR/place
all rent but offices go into the services and facilities costs</text>
  </threadedComment>
  <threadedComment ref="E28" dT="2023-03-27T11:34:32.19" personId="{F7B71ABD-EDB5-440C-822A-7081C0398D8A}" id="{C626D160-A67A-49A5-9C08-817ABE327B93}">
    <text>offices 14 EUR/m²</text>
  </threadedComment>
  <threadedComment ref="D30" dT="2023-03-27T11:44:46.81" personId="{F7B71ABD-EDB5-440C-822A-7081C0398D8A}" id="{B8114AAF-5AA8-4CDE-8C66-4EDBEA1EF2FA}">
    <text>offices 97 CZK/m²
storage 53,53 CZK/m²
parking 381,2 CZK/place
97 x 1293,19 =125.439,43
53,53 x 98 = 5.245,96
381,2 x 14 = 5.336,8
total of 136.022,17 CZK =5.731,06 € x 12 months = 68.772,72 €
plus rent storage and rent parking
storage 98 x 5,45 € = 534,1 € x 12 months = 6.409,2 €
parking 14 x 93,3 = 1.306,2 € x 12 months = 15.674,4 €
Total costs 68.772,72 + 6.409,2 + 15.674,4 = 90.855,8€</text>
  </threadedComment>
  <threadedComment ref="E30" dT="2023-03-27T12:03:49.01" personId="{F7B71ABD-EDB5-440C-822A-7081C0398D8A}" id="{F2ED0477-D134-41B5-B665-2CE3ECA2D9BC}">
    <text>4,2 EUR/m²
4.2 x 12 = 50,4</text>
  </threadedComment>
</ThreadedComments>
</file>

<file path=xl/threadedComments/threadedComment9.xml><?xml version="1.0" encoding="utf-8"?>
<ThreadedComments xmlns="http://schemas.microsoft.com/office/spreadsheetml/2018/threadedcomments" xmlns:x="http://schemas.openxmlformats.org/spreadsheetml/2006/main">
  <threadedComment ref="D28" dT="2026-01-12T06:58:33.44" personId="{BE096996-AFCA-496E-9DFA-8482EE31D4E4}" id="{11DF5E19-D66D-40F1-BEAB-A9509DDEC77A}">
    <text>Rent + service fee is 650 EGP</text>
  </threadedComment>
</ThreadedComments>
</file>

<file path=xl/threadedComments/threadedComment10.xml><?xml version="1.0" encoding="utf-8"?>
<ThreadedComments xmlns="http://schemas.microsoft.com/office/spreadsheetml/2018/threadedcomments" xmlns:x="http://schemas.openxmlformats.org/spreadsheetml/2006/main">
  <threadedComment ref="I19" dT="2023-06-28T12:58:49.43" personId="{F7B71ABD-EDB5-440C-822A-7081C0398D8A}" id="{9B4B826E-6E80-47E9-AC6D-E3AE5163CC07}">
    <text>No but shared with AWP France</text>
  </threadedComment>
  <threadedComment ref="D28" dT="2023-03-27T12:26:57.37" personId="{F7B71ABD-EDB5-440C-822A-7081C0398D8A}" id="{151AD9F6-05E4-4815-965A-991E5973AB52}">
    <text>353,15 / year/m2 without parking, 1 324,34 /year / each parking space</text>
  </threadedComment>
  <threadedComment ref="E28" dT="2023-03-27T12:27:36.31" personId="{F7B71ABD-EDB5-440C-822A-7081C0398D8A}" id="{47962AEC-D51A-48B0-BD5A-0A7F5585D40C}">
    <text>127,46 /year/m2 including the parking</text>
  </threadedComment>
  <threadedComment ref="D30" dT="2023-03-27T12:33:37.93" personId="{F7B71ABD-EDB5-440C-822A-7081C0398D8A}" id="{32E0BC39-5D04-45C7-A9C9-30EDDF82F1D2}">
    <text>Perking should be included here:  1 324,34 /year / each parking space</text>
  </threadedComment>
  <threadedComment ref="I40" dT="2024-05-14T08:31:33.01" personId="{30D4796C-AC3F-4799-B0C0-42E6ADB147D1}" id="{8C24D34D-077F-48B2-A02A-CB5BEB2D0AAD}">
    <text>Original contract ended 30/4/2025. Renewed in 2024 for + 9 years (6+3)</text>
  </threadedComment>
  <threadedComment ref="F42" dT="2023-06-28T13:17:32.58" personId="{F7B71ABD-EDB5-440C-822A-7081C0398D8A}" id="{9DD9B280-987A-47F2-8189-8BD40A786FC7}">
    <text>Service contract will be in place starting Sept 15th with Multiasistencia (30 workstations to be confirmed).</text>
  </threadedComment>
  <threadedComment ref="I42" dT="2023-06-28T13:18:13.24" personId="{F7B71ABD-EDB5-440C-822A-7081C0398D8A}" id="{C68557D0-5A59-4C55-9FF1-76089B13C715}">
    <text>Service contract with Health - subrent 70 workstations
Reinvoicing of part of 1st floor to AWP F</text>
  </threadedComment>
</ThreadedComments>
</file>

<file path=xl/threadedComments/threadedComment11.xml><?xml version="1.0" encoding="utf-8"?>
<ThreadedComments xmlns="http://schemas.microsoft.com/office/spreadsheetml/2018/threadedcomments" xmlns:x="http://schemas.openxmlformats.org/spreadsheetml/2006/main">
  <threadedComment ref="AE29" dT="2023-03-27T13:42:40.20" personId="{F7B71ABD-EDB5-440C-822A-7081C0398D8A}" id="{82158C85-56B8-4B37-BAE6-5205886B6ECA}">
    <text>1st increase on 01.05.2023, 2nd increase on 01.05.2025</text>
  </threadedComment>
</ThreadedComments>
</file>

<file path=xl/threadedComments/threadedComment12.xml><?xml version="1.0" encoding="utf-8"?>
<ThreadedComments xmlns="http://schemas.microsoft.com/office/spreadsheetml/2018/threadedcomments" xmlns:x="http://schemas.openxmlformats.org/spreadsheetml/2006/main">
  <threadedComment ref="G22" dT="2023-07-11T06:57:01.78" personId="{F7B71ABD-EDB5-440C-822A-7081C0398D8A}" id="{D211D587-4FB6-4D12-870C-D9B7D2C06BCC}">
    <text>Different appartments form different landlords were merged into one office</text>
  </threadedComment>
  <threadedComment ref="E30" dT="2025-04-04T12:21:35.24" personId="{F7B71ABD-EDB5-440C-822A-7081C0398D8A}" id="{DAEC16B4-531A-4F4E-A9E6-79DF2338FBB4}">
    <text>Update by Anastasia Alexiou on the 4th of April 2025</text>
  </threadedComment>
  <threadedComment ref="G30" dT="2025-04-04T12:21:02.09" personId="{F7B71ABD-EDB5-440C-822A-7081C0398D8A}" id="{C43CB912-F4B8-402B-B3ED-5E54F77C5885}">
    <text>Update by Anastasia Alexiou on the 4th of April 2025</text>
  </threadedComment>
  <threadedComment ref="G48" dT="2023-07-31T14:01:03.10" personId="{F7B71ABD-EDB5-440C-822A-7081C0398D8A}" id="{9E12662B-AE07-46C0-8A73-CE1B778D1964}">
    <text>Comment from Nikoletta: Hybrid Scheme WFH</text>
  </threadedComment>
</ThreadedComments>
</file>

<file path=xl/threadedComments/threadedComment13.xml><?xml version="1.0" encoding="utf-8"?>
<ThreadedComments xmlns="http://schemas.microsoft.com/office/spreadsheetml/2018/threadedcomments" xmlns:x="http://schemas.openxmlformats.org/spreadsheetml/2006/main">
  <threadedComment ref="D24" dT="2023-06-23T08:48:52.22" personId="{F7B71ABD-EDB5-440C-822A-7081C0398D8A}" id="{32168BDB-CEF8-49A2-875D-29585759CC58}">
    <text>5080 sqft</text>
  </threadedComment>
  <threadedComment ref="D28" dT="2023-06-23T08:12:40.56" personId="{F7B71ABD-EDB5-440C-822A-7081C0398D8A}" id="{6A5F405C-A23D-4ECF-A218-4FE8369E2B8F}">
    <text>HKD 52 (excluding rent free periods). Please see tab "Rent" for detail</text>
  </threadedComment>
  <threadedComment ref="D42" dT="2023-06-23T09:03:37.92" personId="{F7B71ABD-EDB5-440C-822A-7081C0398D8A}" id="{D314935D-F1C7-4108-BE4B-78F663D6DA2B}">
    <text>due to a portoin of our team being embedded on AGCS contracts, we have a sub-lease contract with AGCS to allocate office costs ot this embedded portfolio</text>
  </threadedComment>
</ThreadedComments>
</file>

<file path=xl/threadedComments/threadedComment14.xml><?xml version="1.0" encoding="utf-8"?>
<ThreadedComments xmlns="http://schemas.microsoft.com/office/spreadsheetml/2018/threadedcomments" xmlns:x="http://schemas.openxmlformats.org/spreadsheetml/2006/main">
  <threadedComment ref="D30" dT="2023-03-21T14:54:40.49" personId="{F7B71ABD-EDB5-440C-822A-7081C0398D8A}" id="{C07D6193-D5B7-47FF-AABC-2930604D4C61}">
    <text>includes parking fees of 2.340 € (3 x 65 x 12) 2.340 / 98,14 = 23,84 €/m²</text>
  </threadedComment>
  <threadedComment ref="F30" dT="2023-03-22T11:15:29.33" personId="{F7B71ABD-EDB5-440C-822A-7081C0398D8A}" id="{47AF6977-116B-4C6F-9A61-025724C13501}">
    <text>includes also the parking fees</text>
  </threadedComment>
</ThreadedComments>
</file>

<file path=xl/threadedComments/threadedComment15.xml><?xml version="1.0" encoding="utf-8"?>
<ThreadedComments xmlns="http://schemas.microsoft.com/office/spreadsheetml/2018/threadedcomments" xmlns:x="http://schemas.openxmlformats.org/spreadsheetml/2006/main">
  <threadedComment ref="D24" dT="2025-11-26T11:02:38.54" personId="{B50736BB-777E-4480-A5B1-06B3260D311F}" id="{5BF2143A-C1F9-462B-A6F3-8A789BA0F91C}">
    <text>10180 sqft</text>
  </threadedComment>
  <threadedComment ref="E24" dT="2025-11-26T11:03:32.07" personId="{B50736BB-777E-4480-A5B1-06B3260D311F}" id="{5D520997-DFF6-4269-9B7E-7705C7139539}">
    <text>38023 sqft</text>
  </threadedComment>
  <threadedComment ref="F24" dT="2025-11-26T11:04:18.23" personId="{B50736BB-777E-4480-A5B1-06B3260D311F}" id="{147098D6-5913-4456-83EB-76D8F758291A}">
    <text>13380 sqft</text>
  </threadedComment>
  <threadedComment ref="G24" dT="2025-11-26T11:04:46.11" personId="{B50736BB-777E-4480-A5B1-06B3260D311F}" id="{F4FF8575-EE09-41EA-83FA-49105DB538C7}">
    <text>19770 sqft</text>
  </threadedComment>
  <threadedComment ref="D28" dT="2023-03-28T07:36:22.88" personId="{F7B71ABD-EDB5-440C-822A-7081C0398D8A}" id="{B38D728C-61A5-4ADE-92D7-6EC88B3A00AC}">
    <text>109 INR/sqft/month - conversion into INR/sqm/year</text>
  </threadedComment>
  <threadedComment ref="E28" dT="2023-03-28T07:36:32.17" personId="{F7B71ABD-EDB5-440C-822A-7081C0398D8A}" id="{138602EE-3EAB-4E0B-9CEB-0B3049392628}">
    <text>75 INR/sqft/month - onversion into INR/sqm/year</text>
  </threadedComment>
  <threadedComment ref="F28" dT="2023-03-28T07:36:42.01" personId="{F7B71ABD-EDB5-440C-822A-7081C0398D8A}" id="{A03A8877-3B50-4518-A080-0D2A254B0FD5}">
    <text>52 INR/sqft/month - conversion into IRN/sqm/year</text>
  </threadedComment>
  <threadedComment ref="D30" dT="2023-03-28T08:02:37.62" personId="{F7B71ABD-EDB5-440C-822A-7081C0398D8A}" id="{A6CDA8A2-9EDB-4694-8FA6-62D1D33524F3}">
    <text>INR 3.90 CAM charges - conversation into INR/sqm/year plus facilities</text>
  </threadedComment>
  <threadedComment ref="E30" dT="2023-03-28T08:02:54.62" personId="{F7B71ABD-EDB5-440C-822A-7081C0398D8A}" id="{0F3950D8-BAE3-4639-A23E-0C8C40952116}">
    <text>INR 17 CAM charges - conversation into INR/sqm/year plus facilities cost</text>
  </threadedComment>
  <threadedComment ref="F30" dT="2023-03-28T08:03:20.49" personId="{F7B71ABD-EDB5-440C-822A-7081C0398D8A}" id="{3570FB14-F1EE-4DE4-8902-26E289F2B900}">
    <text>INR 19.09 CAM charges - conversation into INR/sqm/year plus facilities cost</text>
  </threadedComment>
</ThreadedComments>
</file>

<file path=xl/threadedComments/threadedComment16.xml><?xml version="1.0" encoding="utf-8"?>
<ThreadedComments xmlns="http://schemas.microsoft.com/office/spreadsheetml/2018/threadedcomments" xmlns:x="http://schemas.openxmlformats.org/spreadsheetml/2006/main">
  <threadedComment ref="D25" dT="2023-02-13T15:01:18.32" personId="{F7B71ABD-EDB5-440C-822A-7081C0398D8A}" id="{4DCA171A-E1C4-4C67-8178-D25764D3E561}">
    <text>reserved parking: 25 mio./year
unreserved parking 15 mio./year
motorcycle parking 1.5 mio/year</text>
  </threadedComment>
  <threadedComment ref="D28" dT="2023-02-13T14:29:07.45" personId="{F7B71ABD-EDB5-440C-822A-7081C0398D8A}" id="{154555AB-9EAC-4145-93B0-FF49534635BE}">
    <text>160.000 from year 5, meaning 1st of May 2026</text>
  </threadedComment>
  <threadedComment ref="D32" dT="2023-02-13T14:54:50.51" personId="{F7B71ABD-EDB5-440C-822A-7081C0398D8A}" id="{43BC4C06-AF26-4CC4-BD1D-4CCCF74299AC}">
    <text>First review service costs 1st May of 2024, then annually</text>
  </threadedComment>
</ThreadedComments>
</file>

<file path=xl/threadedComments/threadedComment17.xml><?xml version="1.0" encoding="utf-8"?>
<ThreadedComments xmlns="http://schemas.microsoft.com/office/spreadsheetml/2018/threadedcomments" xmlns:x="http://schemas.openxmlformats.org/spreadsheetml/2006/main">
  <threadedComment ref="E46" dT="2022-12-15T14:34:08.62" personId="{EAEAABE3-85A2-4D72-A8B0-00C011542A81}" id="{8D0383DA-CD43-482C-90AD-DC6A7F71C870}">
    <text>AGA moved from 18B</text>
  </threadedComment>
</ThreadedComments>
</file>

<file path=xl/threadedComments/threadedComment18.xml><?xml version="1.0" encoding="utf-8"?>
<ThreadedComments xmlns="http://schemas.microsoft.com/office/spreadsheetml/2018/threadedcomments" xmlns:x="http://schemas.openxmlformats.org/spreadsheetml/2006/main">
  <threadedComment ref="D20" dT="2025-09-23T06:38:50.67" personId="{CF55CD5D-B9DB-40D5-BAC0-28FF665D7C79}" id="{4CB1CB44-724A-47B9-AF4E-61429F2FA836}">
    <text xml:space="preserve">the management of the building is entrusted to BNPP Real Estate Property Management </text>
  </threadedComment>
  <threadedComment ref="D28" dT="2025-09-23T08:09:39.97" personId="{CF55CD5D-B9DB-40D5-BAC0-28FF665D7C79}" id="{1398D6E1-17B3-48E1-9208-EA32F801FB9E}">
    <text>The annual rental cost is € 675.000 (vat excl), effective from January 1, 2026. The amount is agreed as a lump sum and not based on m².</text>
  </threadedComment>
  <threadedComment ref="D34" dT="2025-09-23T08:31:09.47" personId="{CF55CD5D-B9DB-40D5-BAC0-28FF665D7C79}" id="{F1908CDE-263E-4548-B3F6-C1A328C3A176}">
    <text xml:space="preserve">Duration of the first lease term: 7 years. After the first lease term, the contract will be renewed for an additional 6 years period unless notice of termination is given </text>
  </threadedComment>
  <threadedComment ref="D35" dT="2025-09-23T08:30:07.39" personId="{CF55CD5D-B9DB-40D5-BAC0-28FF665D7C79}" id="{DD659C1B-291C-433D-836C-4CF36C8BA1A0}">
    <text>Notice period: 12 months</text>
  </threadedComment>
  <threadedComment ref="E35" dT="2025-09-23T12:20:46.57" personId="{CF55CD5D-B9DB-40D5-BAC0-28FF665D7C79}" id="{CA9D8EAE-2A93-4708-80CA-A0C14372030B}">
    <text>The contract duration is 6 years + 6 years. No other automatic renewals after 12 years.</text>
  </threadedComment>
  <threadedComment ref="D38" dT="2025-09-23T08:39:17.61" personId="{CF55CD5D-B9DB-40D5-BAC0-28FF665D7C79}" id="{67B8876F-0645-4F74-9017-0F2411C9A926}">
    <text>See comment in D33</text>
  </threadedComment>
  <threadedComment ref="E38" dT="2025-09-23T12:17:59.36" personId="{CF55CD5D-B9DB-40D5-BAC0-28FF665D7C79}" id="{DBDD8F92-7450-4B57-BD39-DE479191CB00}">
    <text xml:space="preserve">The automatic renewal has already occurred at the end of the first six years of the lease </text>
  </threadedComment>
  <threadedComment ref="E39" dT="2025-09-23T12:21:53.08" personId="{CF55CD5D-B9DB-40D5-BAC0-28FF665D7C79}" id="{958E388B-AFF6-4208-ACE5-8C2F6ACF73F6}">
    <text>See comment in E37</text>
  </threadedComment>
  <threadedComment ref="D40" dT="2025-09-23T08:42:52.22" personId="{CF55CD5D-B9DB-40D5-BAC0-28FF665D7C79}" id="{5A4804AA-5D98-4980-8F2E-5004365C1C1A}">
    <text>Sum of the first lease term (7 years) + the second lease term (6 years)</text>
  </threadedComment>
  <threadedComment ref="E57" dT="2025-09-23T09:25:30.13" personId="{CF55CD5D-B9DB-40D5-BAC0-28FF665D7C79}" id="{23C0709A-AA4B-48AF-B85D-00497CD2D2A4}">
    <text>Operation people to which shifts apply: presence excluded only on Sunday, holidays and nights.
Operation people to which shifts do not apply: presence from Monday to Saturday (no nights)</text>
  </threadedComment>
</ThreadedComments>
</file>

<file path=xl/threadedComments/threadedComment19.xml><?xml version="1.0" encoding="utf-8"?>
<ThreadedComments xmlns="http://schemas.microsoft.com/office/spreadsheetml/2018/threadedcomments" xmlns:x="http://schemas.openxmlformats.org/spreadsheetml/2006/main">
  <threadedComment ref="D27" dT="2026-02-03T01:11:48.08" personId="{9A77A329-9D08-4708-BF68-5EE8D9EC356D}" id="{B810628B-B7E3-48F8-91C8-8E253F77A70E}">
    <text>Annual cost</text>
  </threadedComment>
  <threadedComment ref="E27" dT="2026-02-03T01:11:48.08" personId="{9A77A329-9D08-4708-BF68-5EE8D9EC356D}" id="{49F31AAB-9069-4F7B-AAFF-E103F7D12B6F}">
    <text>Annual cost</text>
  </threadedComment>
  <threadedComment ref="D28" dT="2023-03-28T13:54:04.67" personId="{F7B71ABD-EDB5-440C-822A-7081C0398D8A}" id="{5A1385E3-B274-4B30-8388-4FC588F5AD5E}">
    <text>Total rent cost are 45.280.800</text>
  </threadedComment>
  <threadedComment ref="E28" dT="2023-03-28T13:55:40.46" personId="{F7B71ABD-EDB5-440C-822A-7081C0398D8A}" id="{4BCD2C60-0D13-4443-9158-83DCC7AED9A2}">
    <text>total rent is 12.171.720</text>
  </threadedComment>
</ThreadedComments>
</file>

<file path=xl/threadedComments/threadedComment20.xml><?xml version="1.0" encoding="utf-8"?>
<ThreadedComments xmlns="http://schemas.microsoft.com/office/spreadsheetml/2018/threadedcomments" xmlns:x="http://schemas.openxmlformats.org/spreadsheetml/2006/main">
  <threadedComment ref="D46" dT="2023-03-29T08:33:28.30" personId="{F7B71ABD-EDB5-440C-822A-7081C0398D8A}" id="{8D290A53-5DA0-4AC3-8BF7-4841D3AE0227}">
    <text>Data provided for both locations was 371 employees. Split according to size of the areas taken:
	1100	326	1426
	77,14%	22,86%	1
371	286,1851332	84,81486676	371</text>
  </threadedComment>
</ThreadedComments>
</file>

<file path=xl/threadedComments/threadedComment21.xml><?xml version="1.0" encoding="utf-8"?>
<ThreadedComments xmlns="http://schemas.microsoft.com/office/spreadsheetml/2018/threadedcomments" xmlns:x="http://schemas.openxmlformats.org/spreadsheetml/2006/main">
  <threadedComment ref="D24" dT="2025-11-26T11:11:36.70" personId="{B50736BB-777E-4480-A5B1-06B3260D311F}" id="{31FCCA5A-A74F-4412-83DC-734D1DED4A72}">
    <text>3300 sqft</text>
  </threadedComment>
  <threadedComment ref="E24" dT="2025-11-26T11:11:59.42" personId="{B50736BB-777E-4480-A5B1-06B3260D311F}" id="{8AE38BB1-4BCF-4894-BD8D-EFEFCFA8EDB4}">
    <text>6841 sqft</text>
  </threadedComment>
  <threadedComment ref="D28" dT="2023-07-03T07:11:37.97" personId="{F7B71ABD-EDB5-440C-822A-7081C0398D8A}" id="{299C0AD2-9D79-4982-9423-1B9007E11FE3}">
    <text>4,2 MYR per sqft and month</text>
  </threadedComment>
  <threadedComment ref="D30" dT="2023-03-29T10:16:01.37" personId="{F7B71ABD-EDB5-440C-822A-7081C0398D8A}" id="{3D142F2C-5B05-4178-BB13-F49468DA6064}">
    <text>Exact Calculations and splitt between side please see country folder</text>
  </threadedComment>
  <threadedComment ref="E30" dT="2023-03-29T10:16:22.12" personId="{F7B71ABD-EDB5-440C-822A-7081C0398D8A}" id="{2BE26E86-3CBF-439B-B901-4E5C912358BD}">
    <text>Exact Calculations and splitt between side please see country folder</text>
  </threadedComment>
  <threadedComment ref="D46" dT="2023-03-29T10:11:33.95" personId="{F7B71ABD-EDB5-440C-822A-7081C0398D8A}" id="{80CCE5F2-646A-4DD5-BAD7-FA86BC32F05D}">
    <text>123  employees for both locations - split calculated as share of the total area</text>
  </threadedComment>
  <threadedComment ref="E46" dT="2023-03-29T10:13:36.17" personId="{F7B71ABD-EDB5-440C-822A-7081C0398D8A}" id="{3E983313-636A-4BF7-8855-1A7A6D9BEE5E}">
    <text>123  employees for both locations - split calculated as share of the total area</text>
  </threadedComment>
  <threadedComment ref="D51" dT="2023-03-29T10:14:53.20" personId="{F7B71ABD-EDB5-440C-822A-7081C0398D8A}" id="{19D4C0F3-939A-445B-B39E-4B5CCF5B53E2}">
    <text>152  workstations for both locations - split calculated as share of the total area</text>
  </threadedComment>
  <threadedComment ref="E51" dT="2023-03-29T10:15:10.10" personId="{F7B71ABD-EDB5-440C-822A-7081C0398D8A}" id="{50809FB8-2AF7-4895-B1B8-415051D26DE0}">
    <text>152  workstations for both locations - split calculated as share of the total area</text>
  </threadedComment>
</ThreadedComments>
</file>

<file path=xl/threadedComments/threadedComment22.xml><?xml version="1.0" encoding="utf-8"?>
<ThreadedComments xmlns="http://schemas.microsoft.com/office/spreadsheetml/2018/threadedcomments" xmlns:x="http://schemas.openxmlformats.org/spreadsheetml/2006/main">
  <threadedComment ref="D28" dT="2023-02-02T01:10:12.65" personId="{C1D2D0A2-0B6C-493A-AEB1-2454A8BE3DCB}" id="{9380C76B-EAC5-43E3-B20C-E97B6CB6ABD7}">
    <text>This includes external naming rights</text>
  </threadedComment>
  <threadedComment ref="D46" dT="2023-02-02T01:07:28.41" personId="{C1D2D0A2-0B6C-493A-AEB1-2454A8BE3DCB}" id="{96A67291-90CC-4496-87A4-0710C2992AB9}">
    <text>Please note that this will increase by 11 by Dec 23 - our temp staff will decrease as demand decreases
We also rent 3 desks to Hunter Premium (part of Allianz Group)</text>
  </threadedComment>
</ThreadedComments>
</file>

<file path=xl/threadedComments/threadedComment23.xml><?xml version="1.0" encoding="utf-8"?>
<ThreadedComments xmlns="http://schemas.microsoft.com/office/spreadsheetml/2018/threadedcomments" xmlns:x="http://schemas.openxmlformats.org/spreadsheetml/2006/main">
  <threadedComment ref="D24" dT="2023-04-19T10:30:28.71" personId="{F7B71ABD-EDB5-440C-822A-7081C0398D8A}" id="{EA354ABA-3266-40C1-B418-BE62996814EC}">
    <text>Charity Organisation uses 400 m² free of charge</text>
  </threadedComment>
  <threadedComment ref="D28" dT="2023-04-19T10:03:01.83" personId="{F7B71ABD-EDB5-440C-822A-7081C0398D8A}" id="{87BD469A-54EB-413B-8DBD-22E02163524A}">
    <text>entry BU: 2.880.934</text>
  </threadedComment>
  <threadedComment ref="E28" dT="2023-04-19T10:05:31.85" personId="{F7B71ABD-EDB5-440C-822A-7081C0398D8A}" id="{BA79E4EB-AE78-43E6-9E94-9727D9A9B0C0}">
    <text>entry BU: 421076,47 = 915,86 PLN x 459,76 sqm</text>
  </threadedComment>
  <threadedComment ref="D30" dT="2023-03-30T14:20:23.96" personId="{F7B71ABD-EDB5-440C-822A-7081C0398D8A}" id="{2854DA31-4599-4CE4-BD6E-4DF85C6068B1}">
    <text>also contains the cost for the parking space for the Mondial assistance fleet</text>
  </threadedComment>
  <threadedComment ref="E30" dT="2023-03-30T14:22:21.64" personId="{F7B71ABD-EDB5-440C-822A-7081C0398D8A}" id="{CCD4921C-70C4-405F-A503-6E3F18007269}">
    <text>contains the rent for 8 apartments (trainees and trainers stay there during the training for the platform)</text>
  </threadedComment>
  <threadedComment ref="D44" dT="2024-03-22T14:14:18.28" personId="{F7B71ABD-EDB5-440C-822A-7081C0398D8A}" id="{BC8A2203-87DA-4E6E-9943-3F0D55493462}">
    <text>BU: yes (the company has adopted an ESG strategy in every area of the business )</text>
  </threadedComment>
</ThreadedComments>
</file>

<file path=xl/threadedComments/threadedComment24.xml><?xml version="1.0" encoding="utf-8"?>
<ThreadedComments xmlns="http://schemas.microsoft.com/office/spreadsheetml/2018/threadedcomments" xmlns:x="http://schemas.openxmlformats.org/spreadsheetml/2006/main">
  <threadedComment ref="D29" dT="2023-04-19T10:39:56.60" personId="{F7B71ABD-EDB5-440C-822A-7081C0398D8A}" id="{9ADF2D26-3B03-40FC-8692-C495886C5E9F}">
    <text>0,94% x year since 2012</text>
  </threadedComment>
  <threadedComment ref="D30" dT="2023-04-19T10:38:47.87" personId="{F7B71ABD-EDB5-440C-822A-7081C0398D8A}" id="{A4281D8C-7CEA-4FEA-87E9-9FD4BD320700}">
    <text>105,27€ x m² per year (2022)</text>
  </threadedComment>
  <threadedComment ref="D35" dT="2025-10-06T10:44:08.82" personId="{A96BDD34-AFE4-4F94-AA9C-A8B225B40710}" id="{5C479B0B-8739-4DA0-BF15-FAA564929D5D}">
    <text>Termination letter sent on 03/10/2026</text>
  </threadedComment>
  <threadedComment ref="D40" dT="2023-04-19T10:44:45.16" personId="{F7B71ABD-EDB5-440C-822A-7081C0398D8A}" id="{A45134F0-BC5E-4D34-8C6F-728455E76D79}">
    <text>The contract automatically renewed itself in 2022 for another 10 years</text>
  </threadedComment>
  <threadedComment ref="D51" dT="2025-10-06T11:07:26.34" personId="{A96BDD34-AFE4-4F94-AA9C-A8B225B40710}" id="{B69292D4-0E13-427A-AB1C-E373147D14CE}">
    <text>Includes 10 rented to Simple Insurance</text>
  </threadedComment>
</ThreadedComments>
</file>

<file path=xl/threadedComments/threadedComment25.xml><?xml version="1.0" encoding="utf-8"?>
<ThreadedComments xmlns="http://schemas.microsoft.com/office/spreadsheetml/2018/threadedcomments" xmlns:x="http://schemas.openxmlformats.org/spreadsheetml/2006/main">
  <threadedComment ref="D50" dT="2023-03-23T11:02:33.59" personId="{F7B71ABD-EDB5-440C-822A-7081C0398D8A}" id="{76B58D00-1054-4BEF-877E-DFF347D333D8}">
    <text>44 (42 open space + 2 cabins)</text>
  </threadedComment>
</ThreadedComments>
</file>

<file path=xl/threadedComments/threadedComment26.xml><?xml version="1.0" encoding="utf-8"?>
<ThreadedComments xmlns="http://schemas.microsoft.com/office/spreadsheetml/2018/threadedcomments" xmlns:x="http://schemas.openxmlformats.org/spreadsheetml/2006/main">
  <threadedComment ref="D42" dT="2023-04-19T11:10:26.83" personId="{F7B71ABD-EDB5-440C-822A-7081C0398D8A}" id="{A91A48DA-0338-4E6D-B7F4-8EA0ABE0A74E}">
    <text>If Allianz decide that a certain percentage of the space can subleased, is existing the posibility to sublease, with the aproval of the Landlord</text>
  </threadedComment>
  <threadedComment ref="D44" dT="2024-03-22T14:15:55.56" personId="{F7B71ABD-EDB5-440C-822A-7081C0398D8A}" id="{059FB716-1390-4E71-AB5F-BBE651DDAEEF}">
    <text>BU: YES, WELL Health&amp;Safety Rating, BREEAM</text>
  </threadedComment>
  <threadedComment ref="D46" dT="2023-04-19T11:04:57.73" personId="{F7B71ABD-EDB5-440C-822A-7081C0398D8A}" id="{025FFE80-3962-4EAB-9988-C2FE5D05AB2E}">
    <text>Active employeesL: 370
Remote employees: 170
Office: 200</text>
  </threadedComment>
</ThreadedComments>
</file>

<file path=xl/threadedComments/threadedComment27.xml><?xml version="1.0" encoding="utf-8"?>
<ThreadedComments xmlns="http://schemas.microsoft.com/office/spreadsheetml/2018/threadedcomments" xmlns:x="http://schemas.openxmlformats.org/spreadsheetml/2006/main">
  <threadedComment ref="D24" dT="2025-11-26T11:16:53.30" personId="{B50736BB-777E-4480-A5B1-06B3260D311F}" id="{144E0DD0-4629-4A90-8C6D-DDD2DBA77460}">
    <text>4426 sqft</text>
  </threadedComment>
</ThreadedComments>
</file>

<file path=xl/threadedComments/threadedComment28.xml><?xml version="1.0" encoding="utf-8"?>
<ThreadedComments xmlns="http://schemas.microsoft.com/office/spreadsheetml/2018/threadedcomments" xmlns:x="http://schemas.openxmlformats.org/spreadsheetml/2006/main">
  <threadedComment ref="E24" dT="2023-04-18T11:21:36.63" personId="{F7B71ABD-EDB5-440C-822A-7081C0398D8A}" id="{4F7C1745-E859-4F8F-97A0-C8AED2865578}">
    <text>not included parking int +ext+garden</text>
  </threadedComment>
  <threadedComment ref="E28" dT="2023-04-18T11:27:13.80" personId="{F7B71ABD-EDB5-440C-822A-7081C0398D8A}" id="{0FA0337E-274E-4461-AB8D-5AAFA04F4132}">
    <text>8,15 contract; 9,87 current</text>
  </threadedComment>
  <threadedComment ref="F28" dT="2023-04-18T11:28:08.30" personId="{F7B71ABD-EDB5-440C-822A-7081C0398D8A}" id="{554B3DF0-ED6E-4A4E-AF40-1959C9E51D0E}">
    <text>14,5 contract; 15,07 current</text>
  </threadedComment>
  <threadedComment ref="H28" dT="2023-04-18T11:28:44.66" personId="{F7B71ABD-EDB5-440C-822A-7081C0398D8A}" id="{F7B604A0-FA39-4D22-89D3-4E1CB7A817AC}">
    <text>11,5 contract; 12,34 current</text>
  </threadedComment>
  <threadedComment ref="J28" dT="2023-04-18T11:29:15.64" personId="{F7B71ABD-EDB5-440C-822A-7081C0398D8A}" id="{7CEAFE9A-EFFD-45A4-A5DD-43E657D93D5E}">
    <text>11 contract; 11,39 current</text>
  </threadedComment>
  <threadedComment ref="E30" dT="2023-04-18T11:41:19.58" personId="{F7B71ABD-EDB5-440C-822A-7081C0398D8A}" id="{614A686C-3B81-4E3E-B210-0F349FDEDA93}">
    <text>2,83( facilities, maintenance,reception, gardering, security)</text>
  </threadedComment>
  <threadedComment ref="F30" dT="2023-04-18T11:47:06.97" personId="{F7B71ABD-EDB5-440C-822A-7081C0398D8A}" id="{B5D55420-B11D-4FD0-B388-64FBB2C316B5}">
    <text>Including parking</text>
  </threadedComment>
  <threadedComment ref="H30" dT="2023-04-18T11:48:23.43" personId="{F7B71ABD-EDB5-440C-822A-7081C0398D8A}" id="{9CBE0101-AF01-40A0-9428-F0B8FD9B4340}">
    <text>Including parking</text>
  </threadedComment>
</ThreadedComments>
</file>

<file path=xl/threadedComments/threadedComment29.xml><?xml version="1.0" encoding="utf-8"?>
<ThreadedComments xmlns="http://schemas.microsoft.com/office/spreadsheetml/2018/threadedcomments" xmlns:x="http://schemas.openxmlformats.org/spreadsheetml/2006/main">
  <threadedComment ref="D28" dT="2025-05-23T08:55:13.19" personId="{30D4796C-AC3F-4799-B0C0-42E6ADB147D1}" id="{C921B7B8-5EB7-4233-B8E3-EA2FEE66EB78}">
    <text>Incl rent, charges &amp; parkings</text>
  </threadedComment>
  <threadedComment ref="D40" dT="2023-03-20T14:54:52.25" personId="{F7B71ABD-EDB5-440C-822A-7081C0398D8A}" id="{81441687-DE1F-4FF8-9AC9-B389BA219417}">
    <text>Contract can be extended by 5 years, when main contract of Allianz Suisse gets extended as well</text>
  </threadedComment>
  <threadedComment ref="D44" dT="2024-03-22T14:19:55.90" personId="{F7B71ABD-EDB5-440C-822A-7081C0398D8A}" id="{B2DF2048-A2E3-46FB-A836-B21A8D5962D4}">
    <text xml:space="preserve">Schweizer Baustandard - Minergie </text>
    <extLst>
      <x:ext xmlns:xltc2="http://schemas.microsoft.com/office/spreadsheetml/2020/threadedcomments2" uri="{F7C98A9C-CBB3-438F-8F68-D28B6AF4A901}">
        <xltc2:checksum>3270889027</xltc2:checksum>
        <xltc2:hyperlink startIndex="0" length="32" url="https://www.minergie.ch/de/"/>
      </x:ext>
    </extLst>
  </threadedComment>
</ThreadedComments>
</file>

<file path=xl/threadedComments/threadedComment30.xml><?xml version="1.0" encoding="utf-8"?>
<ThreadedComments xmlns="http://schemas.microsoft.com/office/spreadsheetml/2018/threadedcomments" xmlns:x="http://schemas.openxmlformats.org/spreadsheetml/2006/main">
  <threadedComment ref="D46" dT="2026-01-27T09:28:28.11" personId="{8EDF6B13-57A1-4FC3-A3F8-A9576B5162B5}" id="{058697B8-91D3-4107-A7B2-98A0D7F8E2C1}">
    <text>including 1 driver, 2 security and 1 cleaner</text>
  </threadedComment>
</ThreadedComments>
</file>

<file path=xl/threadedComments/threadedComment31.xml><?xml version="1.0" encoding="utf-8"?>
<ThreadedComments xmlns="http://schemas.microsoft.com/office/spreadsheetml/2018/threadedcomments" xmlns:x="http://schemas.openxmlformats.org/spreadsheetml/2006/main">
  <threadedComment ref="D28" dT="2023-04-20T12:34:07.47" personId="{F7B71ABD-EDB5-440C-822A-7081C0398D8A}" id="{20BC9943-7FB2-4400-A88E-A0A7FE58B843}">
    <text>BU: 1.156.013</text>
  </threadedComment>
  <threadedComment ref="D46" dT="2023-04-20T12:40:21.55" personId="{F7B71ABD-EDB5-440C-822A-7081C0398D8A}" id="{2E6941BE-FD12-4326-A32A-69D0EC8447C7}">
    <text>395* (Approximate)</text>
  </threadedComment>
</ThreadedComments>
</file>

<file path=xl/threadedComments/threadedComment32.xml><?xml version="1.0" encoding="utf-8"?>
<ThreadedComments xmlns="http://schemas.microsoft.com/office/spreadsheetml/2018/threadedcomments" xmlns:x="http://schemas.openxmlformats.org/spreadsheetml/2006/main">
  <threadedComment ref="D24" dT="2023-04-20T13:01:51.44" personId="{F7B71ABD-EDB5-440C-822A-7081C0398D8A}" id="{0F7F0207-255C-4921-802D-7C81A12D118A}">
    <text>120,254 RSF plus 1,929 sq foot of storage space</text>
  </threadedComment>
  <threadedComment ref="D30" dT="2023-04-20T13:06:24.27" personId="{F7B71ABD-EDB5-440C-822A-7081C0398D8A}" id="{67EF17FF-49B3-4445-9353-9EBC875F3F13}">
    <text>During the period from 8/1/2023 - 7/31/2024, the annual base operating cost will be established.  In future year through the end of the lease, we will pay our proportionate share of any overages.  Our Proportionate share is based our RSF.  We do have annual budget reviews with the Landlord so that nothing is a surprise.</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2.xml"/><Relationship Id="rId2" Type="http://schemas.openxmlformats.org/officeDocument/2006/relationships/hyperlink" Target="mailto:sbishop@allianz-assistance.com.au" TargetMode="External"/><Relationship Id="rId1" Type="http://schemas.openxmlformats.org/officeDocument/2006/relationships/hyperlink" Target="mailto:sbishop@allianz-assistance.com.au"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5.bin"/><Relationship Id="rId4" Type="http://schemas.microsoft.com/office/2017/10/relationships/threadedComment" Target="../threadedComments/threadedComment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microsoft.com/office/2017/10/relationships/threadedComment" Target="../threadedComments/threadedComment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7.bin"/><Relationship Id="rId4" Type="http://schemas.microsoft.com/office/2017/10/relationships/threadedComment" Target="../threadedComments/threadedComment8.x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8.bin"/><Relationship Id="rId4" Type="http://schemas.microsoft.com/office/2017/10/relationships/threadedComment" Target="../threadedComments/threadedComment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9.bin"/><Relationship Id="rId4" Type="http://schemas.microsoft.com/office/2017/10/relationships/threadedComment" Target="../threadedComments/threadedComment1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0.bin"/><Relationship Id="rId4" Type="http://schemas.microsoft.com/office/2017/10/relationships/threadedComment" Target="../threadedComments/threadedComment1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1.bin"/><Relationship Id="rId4" Type="http://schemas.microsoft.com/office/2017/10/relationships/threadedComment" Target="../threadedComments/threadedComment15.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2.bin"/><Relationship Id="rId4" Type="http://schemas.microsoft.com/office/2017/10/relationships/threadedComment" Target="../threadedComments/threadedComment16.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printerSettings" Target="../printerSettings/printerSettings13.bin"/><Relationship Id="rId1" Type="http://schemas.openxmlformats.org/officeDocument/2006/relationships/hyperlink" Target="mailto:seamus.reilly@allianz.com" TargetMode="External"/><Relationship Id="rId5" Type="http://schemas.microsoft.com/office/2017/10/relationships/threadedComment" Target="../threadedComments/threadedComment17.xml"/><Relationship Id="rId4" Type="http://schemas.openxmlformats.org/officeDocument/2006/relationships/comments" Target="../comments19.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4.bin"/><Relationship Id="rId4" Type="http://schemas.microsoft.com/office/2017/10/relationships/threadedComment" Target="../threadedComments/threadedComment18.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15.bin"/><Relationship Id="rId4" Type="http://schemas.microsoft.com/office/2017/10/relationships/threadedComment" Target="../threadedComments/threadedComment19.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xml"/><Relationship Id="rId1" Type="http://schemas.openxmlformats.org/officeDocument/2006/relationships/printerSettings" Target="../printerSettings/printerSettings16.bin"/><Relationship Id="rId5" Type="http://schemas.microsoft.com/office/2017/10/relationships/threadedComment" Target="../threadedComments/threadedComment20.xml"/><Relationship Id="rId4" Type="http://schemas.openxmlformats.org/officeDocument/2006/relationships/comments" Target="../comments22.x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17.bin"/><Relationship Id="rId4" Type="http://schemas.microsoft.com/office/2017/10/relationships/threadedComment" Target="../threadedComments/threadedComment21.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0.bin"/><Relationship Id="rId4" Type="http://schemas.microsoft.com/office/2017/10/relationships/threadedComment" Target="../threadedComments/threadedComment22.x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22.bin"/><Relationship Id="rId4" Type="http://schemas.microsoft.com/office/2017/10/relationships/threadedComment" Target="../threadedComments/threadedComment23.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23.bin"/><Relationship Id="rId4" Type="http://schemas.microsoft.com/office/2017/10/relationships/threadedComment" Target="../threadedComments/threadedComment24.xml"/></Relationships>
</file>

<file path=xl/worksheets/_rels/sheet36.xml.rels><?xml version="1.0" encoding="UTF-8" standalone="yes"?>
<Relationships xmlns="http://schemas.openxmlformats.org/package/2006/relationships"><Relationship Id="rId3" Type="http://schemas.microsoft.com/office/2017/10/relationships/threadedComment" Target="../threadedComments/threadedComment25.xml"/><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7.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24.bin"/><Relationship Id="rId4" Type="http://schemas.microsoft.com/office/2017/10/relationships/threadedComment" Target="../threadedComments/threadedComment26.x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9.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25.bin"/><Relationship Id="rId4" Type="http://schemas.microsoft.com/office/2017/10/relationships/threadedComment" Target="../threadedComments/threadedComment27.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26.bin"/><Relationship Id="rId4" Type="http://schemas.microsoft.com/office/2017/10/relationships/threadedComment" Target="../threadedComments/threadedComment28.xml"/></Relationships>
</file>

<file path=xl/worksheets/_rels/sheet41.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27.bin"/><Relationship Id="rId4" Type="http://schemas.microsoft.com/office/2017/10/relationships/threadedComment" Target="../threadedComments/threadedComment29.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28.bin"/></Relationships>
</file>

<file path=xl/worksheets/_rels/sheet43.xml.rels><?xml version="1.0" encoding="UTF-8" standalone="yes"?>
<Relationships xmlns="http://schemas.openxmlformats.org/package/2006/relationships"><Relationship Id="rId3" Type="http://schemas.microsoft.com/office/2017/10/relationships/threadedComment" Target="../threadedComments/threadedComment30.xml"/><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4.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6.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30.bin"/><Relationship Id="rId4" Type="http://schemas.microsoft.com/office/2017/10/relationships/threadedComment" Target="../threadedComments/threadedComment31.xml"/></Relationships>
</file>

<file path=xl/worksheets/_rels/sheet47.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31.bin"/><Relationship Id="rId4" Type="http://schemas.microsoft.com/office/2017/10/relationships/threadedComment" Target="../threadedComments/threadedComment32.xml"/></Relationships>
</file>

<file path=xl/worksheets/_rels/sheet48.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32.bin"/></Relationships>
</file>

<file path=xl/worksheets/_rels/sheet5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3.bin"/></Relationships>
</file>

<file path=xl/worksheets/_rels/sheet53.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E7C22-BB15-46FD-8478-13083D0F3937}">
  <dimension ref="A1:B460"/>
  <sheetViews>
    <sheetView topLeftCell="A16" zoomScale="70" zoomScaleNormal="70" workbookViewId="0">
      <selection activeCell="A7" sqref="A7"/>
    </sheetView>
  </sheetViews>
  <sheetFormatPr baseColWidth="10" defaultColWidth="11.5" defaultRowHeight="13"/>
  <cols>
    <col min="1" max="1" width="152.5" style="587" bestFit="1" customWidth="1"/>
    <col min="2" max="2" width="18" bestFit="1" customWidth="1"/>
    <col min="3" max="3" width="17.33203125" bestFit="1" customWidth="1"/>
    <col min="4" max="4" width="31.5" bestFit="1" customWidth="1"/>
    <col min="5" max="5" width="8.6640625" bestFit="1" customWidth="1"/>
    <col min="6" max="6" width="3.83203125" bestFit="1" customWidth="1"/>
    <col min="7" max="7" width="3.1640625" bestFit="1" customWidth="1"/>
    <col min="8" max="8" width="3.6640625" bestFit="1" customWidth="1"/>
    <col min="9" max="9" width="8.83203125" bestFit="1" customWidth="1"/>
    <col min="10" max="10" width="12.5" bestFit="1" customWidth="1"/>
    <col min="11" max="11" width="34.83203125" bestFit="1" customWidth="1"/>
    <col min="12" max="12" width="8.1640625" bestFit="1" customWidth="1"/>
    <col min="13" max="83" width="9.83203125" bestFit="1" customWidth="1"/>
    <col min="84" max="84" width="12.1640625" bestFit="1" customWidth="1"/>
  </cols>
  <sheetData>
    <row r="1" spans="1:2">
      <c r="A1"/>
    </row>
    <row r="3" spans="1:2" ht="14">
      <c r="A3" s="585" t="s">
        <v>0</v>
      </c>
      <c r="B3" t="s">
        <v>1</v>
      </c>
    </row>
    <row r="4" spans="1:2" ht="14">
      <c r="A4" s="586" t="s">
        <v>2</v>
      </c>
      <c r="B4" s="470"/>
    </row>
    <row r="5" spans="1:2" ht="14">
      <c r="A5" s="586" t="s">
        <v>3</v>
      </c>
      <c r="B5" s="470"/>
    </row>
    <row r="6" spans="1:2" ht="14">
      <c r="A6" s="586" t="s">
        <v>4</v>
      </c>
      <c r="B6" s="470"/>
    </row>
    <row r="7" spans="1:2">
      <c r="A7" s="584" t="s">
        <v>5</v>
      </c>
      <c r="B7" s="470"/>
    </row>
    <row r="8" spans="1:2" ht="14">
      <c r="A8" s="586" t="s">
        <v>6</v>
      </c>
      <c r="B8" s="470">
        <v>48913</v>
      </c>
    </row>
    <row r="9" spans="1:2">
      <c r="A9" s="584" t="s">
        <v>7</v>
      </c>
      <c r="B9" s="470"/>
    </row>
    <row r="10" spans="1:2" ht="14">
      <c r="A10" s="586" t="s">
        <v>8</v>
      </c>
      <c r="B10" s="470">
        <v>0</v>
      </c>
    </row>
    <row r="11" spans="1:2" ht="14">
      <c r="A11" s="586" t="s">
        <v>9</v>
      </c>
      <c r="B11" s="470"/>
    </row>
    <row r="12" spans="1:2" ht="14">
      <c r="A12" s="586" t="s">
        <v>10</v>
      </c>
      <c r="B12" s="470"/>
    </row>
    <row r="13" spans="1:2">
      <c r="A13" s="584" t="s">
        <v>11</v>
      </c>
      <c r="B13" s="470"/>
    </row>
    <row r="14" spans="1:2" ht="14">
      <c r="A14" s="586" t="s">
        <v>12</v>
      </c>
      <c r="B14" s="470">
        <v>47635</v>
      </c>
    </row>
    <row r="15" spans="1:2" ht="14">
      <c r="A15" s="586" t="s">
        <v>13</v>
      </c>
      <c r="B15" s="470"/>
    </row>
    <row r="16" spans="1:2">
      <c r="A16" s="584" t="s">
        <v>14</v>
      </c>
      <c r="B16" s="470"/>
    </row>
    <row r="17" spans="1:2" ht="14">
      <c r="A17" s="586" t="s">
        <v>15</v>
      </c>
      <c r="B17" s="470">
        <v>48029</v>
      </c>
    </row>
    <row r="18" spans="1:2" ht="14">
      <c r="A18" s="586" t="s">
        <v>16</v>
      </c>
      <c r="B18" s="470"/>
    </row>
    <row r="19" spans="1:2">
      <c r="A19" s="584" t="s">
        <v>17</v>
      </c>
      <c r="B19" s="470"/>
    </row>
    <row r="20" spans="1:2" ht="14">
      <c r="A20" s="586" t="s">
        <v>18</v>
      </c>
      <c r="B20" s="470">
        <v>46477</v>
      </c>
    </row>
    <row r="21" spans="1:2" ht="14">
      <c r="A21" s="586" t="s">
        <v>19</v>
      </c>
      <c r="B21" s="470"/>
    </row>
    <row r="22" spans="1:2">
      <c r="A22" s="584" t="s">
        <v>20</v>
      </c>
      <c r="B22" s="470"/>
    </row>
    <row r="23" spans="1:2" ht="14">
      <c r="A23" s="586" t="s">
        <v>21</v>
      </c>
      <c r="B23" s="470">
        <v>47483</v>
      </c>
    </row>
    <row r="24" spans="1:2" ht="14">
      <c r="A24" s="586" t="s">
        <v>22</v>
      </c>
      <c r="B24" s="470"/>
    </row>
    <row r="25" spans="1:2" ht="14">
      <c r="A25" s="586" t="s">
        <v>23</v>
      </c>
      <c r="B25" s="470"/>
    </row>
    <row r="26" spans="1:2">
      <c r="A26" s="584" t="s">
        <v>24</v>
      </c>
      <c r="B26" s="470"/>
    </row>
    <row r="27" spans="1:2" ht="14">
      <c r="A27" s="586" t="s">
        <v>25</v>
      </c>
      <c r="B27" s="470">
        <v>0</v>
      </c>
    </row>
    <row r="28" spans="1:2">
      <c r="A28" s="584" t="s">
        <v>26</v>
      </c>
      <c r="B28" s="470"/>
    </row>
    <row r="29" spans="1:2" ht="14">
      <c r="A29" s="586" t="s">
        <v>27</v>
      </c>
      <c r="B29" s="470">
        <v>46599</v>
      </c>
    </row>
    <row r="30" spans="1:2" ht="14">
      <c r="A30" s="586" t="s">
        <v>28</v>
      </c>
      <c r="B30" s="470"/>
    </row>
    <row r="31" spans="1:2" ht="14">
      <c r="A31" s="586" t="s">
        <v>29</v>
      </c>
      <c r="B31" s="470"/>
    </row>
    <row r="32" spans="1:2">
      <c r="A32" s="584" t="s">
        <v>30</v>
      </c>
      <c r="B32" s="470"/>
    </row>
    <row r="33" spans="1:2" ht="14">
      <c r="A33" s="586" t="s">
        <v>31</v>
      </c>
      <c r="B33" s="470">
        <v>46356</v>
      </c>
    </row>
    <row r="34" spans="1:2">
      <c r="A34" s="584" t="s">
        <v>32</v>
      </c>
      <c r="B34" s="470"/>
    </row>
    <row r="35" spans="1:2" ht="14">
      <c r="A35" s="586" t="s">
        <v>31</v>
      </c>
      <c r="B35" s="470">
        <v>49064</v>
      </c>
    </row>
    <row r="36" spans="1:2">
      <c r="A36" s="584" t="s">
        <v>33</v>
      </c>
      <c r="B36" s="470"/>
    </row>
    <row r="37" spans="1:2" ht="14">
      <c r="A37" s="586" t="s">
        <v>34</v>
      </c>
      <c r="B37" s="470">
        <v>46295</v>
      </c>
    </row>
    <row r="38" spans="1:2">
      <c r="A38" s="584" t="s">
        <v>35</v>
      </c>
      <c r="B38" s="470"/>
    </row>
    <row r="39" spans="1:2" ht="14">
      <c r="A39" s="586" t="s">
        <v>36</v>
      </c>
      <c r="B39" s="470">
        <v>47026</v>
      </c>
    </row>
    <row r="40" spans="1:2">
      <c r="A40" s="584" t="s">
        <v>37</v>
      </c>
      <c r="B40" s="470"/>
    </row>
    <row r="41" spans="1:2" ht="14">
      <c r="A41" s="586" t="s">
        <v>38</v>
      </c>
      <c r="B41" s="470">
        <v>47177</v>
      </c>
    </row>
    <row r="42" spans="1:2" ht="14">
      <c r="A42" s="586" t="s">
        <v>39</v>
      </c>
      <c r="B42" s="470"/>
    </row>
    <row r="43" spans="1:2" ht="14">
      <c r="A43" s="586" t="s">
        <v>4</v>
      </c>
      <c r="B43" s="470"/>
    </row>
    <row r="44" spans="1:2">
      <c r="A44" s="584" t="s">
        <v>40</v>
      </c>
      <c r="B44" s="470"/>
    </row>
    <row r="45" spans="1:2" ht="14">
      <c r="A45" s="586" t="s">
        <v>41</v>
      </c>
      <c r="B45" s="470">
        <v>46157</v>
      </c>
    </row>
    <row r="46" spans="1:2">
      <c r="A46" s="584" t="s">
        <v>42</v>
      </c>
      <c r="B46" s="470"/>
    </row>
    <row r="47" spans="1:2" ht="14">
      <c r="A47" s="586" t="s">
        <v>43</v>
      </c>
      <c r="B47" s="470">
        <v>0</v>
      </c>
    </row>
    <row r="48" spans="1:2">
      <c r="A48" s="584" t="s">
        <v>44</v>
      </c>
      <c r="B48" s="470"/>
    </row>
    <row r="49" spans="1:2" ht="14">
      <c r="A49" s="586" t="s">
        <v>45</v>
      </c>
      <c r="B49" s="470">
        <v>0</v>
      </c>
    </row>
    <row r="50" spans="1:2">
      <c r="A50" s="584" t="s">
        <v>46</v>
      </c>
      <c r="B50" s="470"/>
    </row>
    <row r="51" spans="1:2" ht="14">
      <c r="A51" s="586" t="s">
        <v>8</v>
      </c>
      <c r="B51" s="470">
        <v>0</v>
      </c>
    </row>
    <row r="52" spans="1:2">
      <c r="A52" s="584" t="s">
        <v>47</v>
      </c>
      <c r="B52" s="470"/>
    </row>
    <row r="53" spans="1:2" ht="14">
      <c r="A53" s="586" t="s">
        <v>48</v>
      </c>
      <c r="B53" s="470">
        <v>0</v>
      </c>
    </row>
    <row r="54" spans="1:2">
      <c r="A54" s="584" t="s">
        <v>49</v>
      </c>
      <c r="B54" s="470"/>
    </row>
    <row r="55" spans="1:2" ht="14">
      <c r="A55" s="586" t="s">
        <v>50</v>
      </c>
      <c r="B55" s="470">
        <v>47149</v>
      </c>
    </row>
    <row r="56" spans="1:2">
      <c r="A56" s="584" t="s">
        <v>51</v>
      </c>
      <c r="B56" s="470"/>
    </row>
    <row r="57" spans="1:2" ht="14">
      <c r="A57" s="586" t="s">
        <v>52</v>
      </c>
      <c r="B57" s="470">
        <v>47452</v>
      </c>
    </row>
    <row r="58" spans="1:2" ht="14">
      <c r="A58" s="586" t="s">
        <v>53</v>
      </c>
      <c r="B58" s="470"/>
    </row>
    <row r="59" spans="1:2" ht="14">
      <c r="A59" s="586" t="s">
        <v>4</v>
      </c>
      <c r="B59" s="470"/>
    </row>
    <row r="60" spans="1:2">
      <c r="A60" s="584" t="s">
        <v>54</v>
      </c>
      <c r="B60" s="470"/>
    </row>
    <row r="61" spans="1:2" ht="14">
      <c r="A61" s="586" t="s">
        <v>55</v>
      </c>
      <c r="B61" s="470">
        <v>0</v>
      </c>
    </row>
    <row r="62" spans="1:2" ht="14">
      <c r="A62" s="586" t="s">
        <v>56</v>
      </c>
      <c r="B62" s="470"/>
    </row>
    <row r="63" spans="1:2" ht="14">
      <c r="A63" s="586" t="s">
        <v>4</v>
      </c>
      <c r="B63" s="470"/>
    </row>
    <row r="64" spans="1:2">
      <c r="A64" s="584" t="s">
        <v>57</v>
      </c>
      <c r="B64" s="470"/>
    </row>
    <row r="65" spans="1:2" ht="14">
      <c r="A65" s="586" t="s">
        <v>58</v>
      </c>
      <c r="B65" s="470">
        <v>0</v>
      </c>
    </row>
    <row r="66" spans="1:2" ht="14">
      <c r="A66" s="586" t="s">
        <v>59</v>
      </c>
      <c r="B66" s="470"/>
    </row>
    <row r="67" spans="1:2" ht="14">
      <c r="A67" s="586" t="s">
        <v>4</v>
      </c>
      <c r="B67" s="470"/>
    </row>
    <row r="68" spans="1:2">
      <c r="A68" s="584" t="s">
        <v>60</v>
      </c>
      <c r="B68" s="470"/>
    </row>
    <row r="69" spans="1:2" ht="14">
      <c r="A69" s="586" t="s">
        <v>61</v>
      </c>
      <c r="B69" s="470">
        <v>46477</v>
      </c>
    </row>
    <row r="70" spans="1:2" ht="14">
      <c r="A70" s="586" t="s">
        <v>62</v>
      </c>
      <c r="B70" s="470"/>
    </row>
    <row r="71" spans="1:2" ht="14">
      <c r="A71" s="586" t="s">
        <v>4</v>
      </c>
      <c r="B71" s="470"/>
    </row>
    <row r="72" spans="1:2">
      <c r="A72" s="584" t="s">
        <v>63</v>
      </c>
      <c r="B72" s="470"/>
    </row>
    <row r="73" spans="1:2" ht="14">
      <c r="A73" s="586" t="s">
        <v>64</v>
      </c>
      <c r="B73" s="470">
        <v>46326</v>
      </c>
    </row>
    <row r="74" spans="1:2" ht="14">
      <c r="A74" s="586" t="s">
        <v>65</v>
      </c>
      <c r="B74" s="470"/>
    </row>
    <row r="75" spans="1:2" ht="14">
      <c r="A75" s="586" t="s">
        <v>4</v>
      </c>
      <c r="B75" s="470"/>
    </row>
    <row r="76" spans="1:2">
      <c r="A76" s="584" t="s">
        <v>66</v>
      </c>
      <c r="B76" s="470"/>
    </row>
    <row r="77" spans="1:2" ht="14">
      <c r="A77" s="586" t="s">
        <v>67</v>
      </c>
      <c r="B77" s="470">
        <v>0</v>
      </c>
    </row>
    <row r="78" spans="1:2">
      <c r="A78" s="584" t="s">
        <v>68</v>
      </c>
      <c r="B78" s="470"/>
    </row>
    <row r="79" spans="1:2" ht="14">
      <c r="A79" s="586" t="s">
        <v>69</v>
      </c>
      <c r="B79" s="470">
        <v>0</v>
      </c>
    </row>
    <row r="80" spans="1:2">
      <c r="A80" s="584" t="s">
        <v>70</v>
      </c>
      <c r="B80" s="470"/>
    </row>
    <row r="81" spans="1:2" ht="14">
      <c r="A81" s="586" t="s">
        <v>71</v>
      </c>
      <c r="B81" s="470">
        <v>0</v>
      </c>
    </row>
    <row r="82" spans="1:2">
      <c r="A82" s="584" t="s">
        <v>72</v>
      </c>
      <c r="B82" s="470"/>
    </row>
    <row r="83" spans="1:2" ht="14">
      <c r="A83" s="586" t="s">
        <v>73</v>
      </c>
      <c r="B83" s="470">
        <v>0</v>
      </c>
    </row>
    <row r="84" spans="1:2">
      <c r="A84" s="584" t="s">
        <v>74</v>
      </c>
      <c r="B84" s="470"/>
    </row>
    <row r="85" spans="1:2" ht="14">
      <c r="A85" s="586" t="s">
        <v>64</v>
      </c>
      <c r="B85" s="470">
        <v>0</v>
      </c>
    </row>
    <row r="86" spans="1:2">
      <c r="A86" s="584" t="s">
        <v>75</v>
      </c>
      <c r="B86" s="470"/>
    </row>
    <row r="87" spans="1:2" ht="14">
      <c r="A87" s="586" t="s">
        <v>76</v>
      </c>
      <c r="B87" s="470">
        <v>0</v>
      </c>
    </row>
    <row r="88" spans="1:2">
      <c r="A88" s="584" t="s">
        <v>77</v>
      </c>
      <c r="B88" s="470"/>
    </row>
    <row r="89" spans="1:2" ht="14">
      <c r="A89" s="586" t="s">
        <v>78</v>
      </c>
      <c r="B89" s="470">
        <v>0</v>
      </c>
    </row>
    <row r="90" spans="1:2">
      <c r="A90" s="584" t="s">
        <v>79</v>
      </c>
      <c r="B90" s="470"/>
    </row>
    <row r="91" spans="1:2" ht="14">
      <c r="A91" s="586" t="s">
        <v>80</v>
      </c>
      <c r="B91" s="470">
        <v>0</v>
      </c>
    </row>
    <row r="92" spans="1:2">
      <c r="A92" s="584" t="s">
        <v>81</v>
      </c>
      <c r="B92" s="470"/>
    </row>
    <row r="93" spans="1:2" ht="14">
      <c r="A93" s="586" t="s">
        <v>82</v>
      </c>
      <c r="B93" s="470">
        <v>0</v>
      </c>
    </row>
    <row r="94" spans="1:2">
      <c r="A94" s="584" t="s">
        <v>83</v>
      </c>
      <c r="B94" s="470"/>
    </row>
    <row r="95" spans="1:2" ht="14">
      <c r="A95" s="586" t="s">
        <v>48</v>
      </c>
      <c r="B95" s="470">
        <v>0</v>
      </c>
    </row>
    <row r="96" spans="1:2">
      <c r="A96" s="584" t="s">
        <v>84</v>
      </c>
      <c r="B96" s="470"/>
    </row>
    <row r="97" spans="1:2" ht="14">
      <c r="A97" s="586" t="s">
        <v>85</v>
      </c>
      <c r="B97" s="470">
        <v>46112</v>
      </c>
    </row>
    <row r="98" spans="1:2">
      <c r="A98" s="584" t="s">
        <v>86</v>
      </c>
      <c r="B98" s="470"/>
    </row>
    <row r="99" spans="1:2" ht="14">
      <c r="A99" s="586" t="s">
        <v>87</v>
      </c>
      <c r="B99" s="470">
        <v>0</v>
      </c>
    </row>
    <row r="100" spans="1:2" ht="14">
      <c r="A100" s="586" t="s">
        <v>88</v>
      </c>
      <c r="B100" s="470"/>
    </row>
    <row r="101" spans="1:2" ht="14">
      <c r="A101" s="586" t="s">
        <v>89</v>
      </c>
      <c r="B101" s="470"/>
    </row>
    <row r="102" spans="1:2">
      <c r="A102" s="584" t="s">
        <v>90</v>
      </c>
      <c r="B102" s="470"/>
    </row>
    <row r="103" spans="1:2" ht="14">
      <c r="A103" s="586" t="s">
        <v>91</v>
      </c>
      <c r="B103" s="470">
        <v>46752</v>
      </c>
    </row>
    <row r="104" spans="1:2">
      <c r="A104" s="584" t="s">
        <v>92</v>
      </c>
      <c r="B104" s="470"/>
    </row>
    <row r="105" spans="1:2" ht="14">
      <c r="A105" s="586" t="s">
        <v>93</v>
      </c>
      <c r="B105" s="470">
        <v>46752</v>
      </c>
    </row>
    <row r="106" spans="1:2">
      <c r="A106" s="584" t="s">
        <v>94</v>
      </c>
      <c r="B106" s="470"/>
    </row>
    <row r="107" spans="1:2" ht="14">
      <c r="A107" s="586" t="s">
        <v>91</v>
      </c>
      <c r="B107" s="470">
        <v>0</v>
      </c>
    </row>
    <row r="108" spans="1:2">
      <c r="A108" s="584" t="s">
        <v>95</v>
      </c>
      <c r="B108" s="470"/>
    </row>
    <row r="109" spans="1:2" ht="14">
      <c r="A109" s="586" t="s">
        <v>91</v>
      </c>
      <c r="B109" s="470">
        <v>0</v>
      </c>
    </row>
    <row r="110" spans="1:2" ht="14">
      <c r="A110" s="586" t="s">
        <v>96</v>
      </c>
      <c r="B110" s="470"/>
    </row>
    <row r="111" spans="1:2" ht="14">
      <c r="A111" s="586" t="s">
        <v>97</v>
      </c>
      <c r="B111" s="470"/>
    </row>
    <row r="112" spans="1:2">
      <c r="A112" s="584" t="s">
        <v>98</v>
      </c>
      <c r="B112" s="470"/>
    </row>
    <row r="113" spans="1:2" ht="14">
      <c r="A113" s="586" t="s">
        <v>99</v>
      </c>
      <c r="B113" s="470">
        <v>49003</v>
      </c>
    </row>
    <row r="114" spans="1:2">
      <c r="A114" s="584" t="s">
        <v>100</v>
      </c>
      <c r="B114" s="470"/>
    </row>
    <row r="115" spans="1:2" ht="14">
      <c r="A115" s="586" t="s">
        <v>101</v>
      </c>
      <c r="B115" s="470">
        <v>50585</v>
      </c>
    </row>
    <row r="116" spans="1:2">
      <c r="A116" s="584" t="s">
        <v>102</v>
      </c>
      <c r="B116" s="470"/>
    </row>
    <row r="117" spans="1:2" ht="14">
      <c r="A117" s="586" t="s">
        <v>103</v>
      </c>
      <c r="B117" s="470">
        <v>47848</v>
      </c>
    </row>
    <row r="118" spans="1:2" ht="14">
      <c r="A118" s="586" t="s">
        <v>104</v>
      </c>
      <c r="B118" s="470"/>
    </row>
    <row r="119" spans="1:2" ht="14">
      <c r="A119" s="586" t="s">
        <v>29</v>
      </c>
      <c r="B119" s="470"/>
    </row>
    <row r="120" spans="1:2">
      <c r="A120" s="584" t="s">
        <v>105</v>
      </c>
      <c r="B120" s="470"/>
    </row>
    <row r="121" spans="1:2" ht="28">
      <c r="A121" s="586" t="s">
        <v>106</v>
      </c>
      <c r="B121" s="470">
        <v>192582</v>
      </c>
    </row>
    <row r="122" spans="1:2" ht="14">
      <c r="A122" s="586" t="s">
        <v>107</v>
      </c>
      <c r="B122" s="470"/>
    </row>
    <row r="123" spans="1:2" ht="14">
      <c r="A123" s="586" t="s">
        <v>108</v>
      </c>
      <c r="B123" s="470"/>
    </row>
    <row r="124" spans="1:2">
      <c r="A124" s="584" t="s">
        <v>109</v>
      </c>
      <c r="B124" s="470"/>
    </row>
    <row r="125" spans="1:2" ht="14">
      <c r="A125" s="586" t="s">
        <v>110</v>
      </c>
      <c r="B125" s="470">
        <v>46401</v>
      </c>
    </row>
    <row r="126" spans="1:2" ht="14">
      <c r="A126" s="586" t="s">
        <v>111</v>
      </c>
      <c r="B126" s="470"/>
    </row>
    <row r="127" spans="1:2" ht="14">
      <c r="A127" s="586" t="s">
        <v>112</v>
      </c>
      <c r="B127" s="470"/>
    </row>
    <row r="128" spans="1:2">
      <c r="A128" s="584" t="s">
        <v>113</v>
      </c>
      <c r="B128" s="470"/>
    </row>
    <row r="129" spans="1:2" ht="14">
      <c r="A129" s="586" t="s">
        <v>114</v>
      </c>
      <c r="B129" s="470">
        <v>47483</v>
      </c>
    </row>
    <row r="130" spans="1:2" ht="14">
      <c r="A130" s="586" t="s">
        <v>115</v>
      </c>
      <c r="B130" s="470"/>
    </row>
    <row r="131" spans="1:2" ht="14">
      <c r="A131" s="586" t="s">
        <v>116</v>
      </c>
      <c r="B131" s="470"/>
    </row>
    <row r="132" spans="1:2">
      <c r="A132" s="584" t="s">
        <v>117</v>
      </c>
      <c r="B132" s="470"/>
    </row>
    <row r="133" spans="1:2" ht="14">
      <c r="A133" s="586" t="s">
        <v>118</v>
      </c>
      <c r="B133" s="470">
        <v>46539</v>
      </c>
    </row>
    <row r="134" spans="1:2">
      <c r="A134" s="584" t="s">
        <v>119</v>
      </c>
      <c r="B134" s="470"/>
    </row>
    <row r="135" spans="1:2" ht="14">
      <c r="A135" s="586" t="s">
        <v>120</v>
      </c>
      <c r="B135" s="470">
        <v>46539</v>
      </c>
    </row>
    <row r="136" spans="1:2" ht="14">
      <c r="A136" s="586" t="s">
        <v>121</v>
      </c>
      <c r="B136" s="470"/>
    </row>
    <row r="137" spans="1:2" ht="14">
      <c r="A137" s="586" t="s">
        <v>122</v>
      </c>
      <c r="B137" s="470"/>
    </row>
    <row r="138" spans="1:2">
      <c r="A138" s="584" t="s">
        <v>123</v>
      </c>
      <c r="B138" s="470"/>
    </row>
    <row r="139" spans="1:2" ht="14">
      <c r="A139" s="586" t="s">
        <v>124</v>
      </c>
      <c r="B139" s="470">
        <v>0</v>
      </c>
    </row>
    <row r="140" spans="1:2" ht="14">
      <c r="A140" s="586" t="s">
        <v>125</v>
      </c>
      <c r="B140" s="470"/>
    </row>
    <row r="141" spans="1:2">
      <c r="A141" s="584" t="s">
        <v>126</v>
      </c>
      <c r="B141" s="470"/>
    </row>
    <row r="142" spans="1:2" ht="14">
      <c r="A142" s="586" t="s">
        <v>127</v>
      </c>
      <c r="B142" s="470">
        <v>48165</v>
      </c>
    </row>
    <row r="143" spans="1:2">
      <c r="A143" s="584" t="s">
        <v>128</v>
      </c>
      <c r="B143" s="470"/>
    </row>
    <row r="144" spans="1:2" ht="14">
      <c r="A144" s="586" t="s">
        <v>129</v>
      </c>
      <c r="B144" s="470">
        <v>46709</v>
      </c>
    </row>
    <row r="145" spans="1:2" ht="14">
      <c r="A145" s="586" t="s">
        <v>130</v>
      </c>
      <c r="B145" s="470"/>
    </row>
    <row r="146" spans="1:2" ht="14">
      <c r="A146" s="586" t="s">
        <v>29</v>
      </c>
      <c r="B146" s="470"/>
    </row>
    <row r="147" spans="1:2">
      <c r="A147" s="584" t="s">
        <v>131</v>
      </c>
      <c r="B147" s="470"/>
    </row>
    <row r="148" spans="1:2" ht="14">
      <c r="A148" s="586" t="s">
        <v>31</v>
      </c>
      <c r="B148" s="470">
        <v>49064</v>
      </c>
    </row>
    <row r="149" spans="1:2" ht="14">
      <c r="A149" s="586" t="s">
        <v>4</v>
      </c>
      <c r="B149" s="470"/>
    </row>
    <row r="150" spans="1:2">
      <c r="A150" s="584" t="s">
        <v>132</v>
      </c>
      <c r="B150" s="470"/>
    </row>
    <row r="151" spans="1:2" ht="14">
      <c r="A151" s="586" t="s">
        <v>6</v>
      </c>
      <c r="B151" s="470">
        <v>46142</v>
      </c>
    </row>
    <row r="152" spans="1:2" ht="14">
      <c r="A152" s="586" t="s">
        <v>133</v>
      </c>
      <c r="B152" s="470"/>
    </row>
    <row r="153" spans="1:2" ht="14">
      <c r="A153" s="586" t="s">
        <v>108</v>
      </c>
      <c r="B153" s="470"/>
    </row>
    <row r="154" spans="1:2">
      <c r="A154" s="584" t="s">
        <v>134</v>
      </c>
      <c r="B154" s="470"/>
    </row>
    <row r="155" spans="1:2" ht="14">
      <c r="A155" s="586" t="s">
        <v>135</v>
      </c>
      <c r="B155" s="470">
        <v>92620</v>
      </c>
    </row>
    <row r="156" spans="1:2">
      <c r="A156" s="584" t="s">
        <v>136</v>
      </c>
      <c r="B156" s="470"/>
    </row>
    <row r="157" spans="1:2" ht="14">
      <c r="A157" s="586" t="s">
        <v>137</v>
      </c>
      <c r="B157" s="470">
        <v>46341</v>
      </c>
    </row>
    <row r="158" spans="1:2">
      <c r="A158" s="584" t="s">
        <v>138</v>
      </c>
      <c r="B158" s="470"/>
    </row>
    <row r="159" spans="1:2" ht="14">
      <c r="A159" s="586" t="s">
        <v>139</v>
      </c>
      <c r="B159" s="470">
        <v>92232</v>
      </c>
    </row>
    <row r="160" spans="1:2">
      <c r="A160" s="584" t="s">
        <v>140</v>
      </c>
      <c r="B160" s="470"/>
    </row>
    <row r="161" spans="1:2" ht="14">
      <c r="A161" s="586" t="s">
        <v>141</v>
      </c>
      <c r="B161" s="470">
        <v>46752</v>
      </c>
    </row>
    <row r="162" spans="1:2" ht="14">
      <c r="A162" s="586" t="s">
        <v>142</v>
      </c>
      <c r="B162" s="470"/>
    </row>
    <row r="163" spans="1:2" ht="14">
      <c r="A163" s="586" t="s">
        <v>142</v>
      </c>
      <c r="B163" s="470"/>
    </row>
    <row r="164" spans="1:2">
      <c r="A164" s="584" t="s">
        <v>143</v>
      </c>
      <c r="B164" s="470"/>
    </row>
    <row r="165" spans="1:2" ht="14">
      <c r="A165" s="586" t="s">
        <v>144</v>
      </c>
      <c r="B165" s="470">
        <v>46873</v>
      </c>
    </row>
    <row r="166" spans="1:2" ht="14">
      <c r="A166" s="586" t="s">
        <v>145</v>
      </c>
      <c r="B166" s="470"/>
    </row>
    <row r="167" spans="1:2" ht="14">
      <c r="A167" s="586" t="s">
        <v>145</v>
      </c>
      <c r="B167" s="470"/>
    </row>
    <row r="168" spans="1:2">
      <c r="A168" s="584" t="s">
        <v>146</v>
      </c>
      <c r="B168" s="470"/>
    </row>
    <row r="169" spans="1:2">
      <c r="A169" s="586">
        <v>0</v>
      </c>
      <c r="B169" s="470">
        <v>49613</v>
      </c>
    </row>
    <row r="170" spans="1:2" ht="14">
      <c r="A170" s="586" t="s">
        <v>147</v>
      </c>
      <c r="B170" s="470"/>
    </row>
    <row r="171" spans="1:2" ht="14">
      <c r="A171" s="586" t="s">
        <v>148</v>
      </c>
      <c r="B171" s="470"/>
    </row>
    <row r="172" spans="1:2">
      <c r="A172" s="584" t="s">
        <v>149</v>
      </c>
      <c r="B172" s="470"/>
    </row>
    <row r="173" spans="1:2" ht="14">
      <c r="A173" s="586" t="s">
        <v>150</v>
      </c>
      <c r="B173" s="470">
        <v>46721</v>
      </c>
    </row>
    <row r="174" spans="1:2">
      <c r="A174" s="584" t="s">
        <v>151</v>
      </c>
      <c r="B174" s="470"/>
    </row>
    <row r="175" spans="1:2" ht="14">
      <c r="A175" s="586" t="s">
        <v>152</v>
      </c>
      <c r="B175" s="470">
        <v>47483</v>
      </c>
    </row>
    <row r="176" spans="1:2" ht="14">
      <c r="A176" s="586" t="s">
        <v>153</v>
      </c>
      <c r="B176" s="470"/>
    </row>
    <row r="177" spans="1:2">
      <c r="A177" s="586">
        <v>0</v>
      </c>
      <c r="B177" s="470"/>
    </row>
    <row r="178" spans="1:2">
      <c r="A178" s="586">
        <v>0</v>
      </c>
      <c r="B178" s="470"/>
    </row>
    <row r="179" spans="1:2">
      <c r="A179" s="584">
        <v>0</v>
      </c>
      <c r="B179" s="470"/>
    </row>
    <row r="180" spans="1:2">
      <c r="A180" s="586">
        <v>0</v>
      </c>
      <c r="B180" s="470">
        <v>0</v>
      </c>
    </row>
    <row r="181" spans="1:2" ht="14">
      <c r="A181" s="586" t="s">
        <v>154</v>
      </c>
      <c r="B181" s="470"/>
    </row>
    <row r="182" spans="1:2" ht="14">
      <c r="A182" s="586" t="s">
        <v>155</v>
      </c>
      <c r="B182" s="470"/>
    </row>
    <row r="183" spans="1:2">
      <c r="A183" s="584" t="s">
        <v>156</v>
      </c>
      <c r="B183" s="470"/>
    </row>
    <row r="184" spans="1:2" ht="14">
      <c r="A184" s="586" t="s">
        <v>157</v>
      </c>
      <c r="B184" s="470">
        <v>46568</v>
      </c>
    </row>
    <row r="185" spans="1:2">
      <c r="A185" s="584" t="s">
        <v>158</v>
      </c>
      <c r="B185" s="470"/>
    </row>
    <row r="186" spans="1:2" ht="14">
      <c r="A186" s="586" t="s">
        <v>157</v>
      </c>
      <c r="B186" s="470">
        <v>47361</v>
      </c>
    </row>
    <row r="187" spans="1:2" ht="14">
      <c r="A187" s="586" t="s">
        <v>159</v>
      </c>
      <c r="B187" s="470"/>
    </row>
    <row r="188" spans="1:2" ht="14">
      <c r="A188" s="586" t="s">
        <v>160</v>
      </c>
      <c r="B188" s="470"/>
    </row>
    <row r="189" spans="1:2">
      <c r="A189" s="584" t="s">
        <v>161</v>
      </c>
      <c r="B189" s="470"/>
    </row>
    <row r="190" spans="1:2" ht="14">
      <c r="A190" s="586" t="s">
        <v>162</v>
      </c>
      <c r="B190" s="470">
        <v>46934</v>
      </c>
    </row>
    <row r="191" spans="1:2">
      <c r="A191" s="584" t="s">
        <v>163</v>
      </c>
      <c r="B191" s="470"/>
    </row>
    <row r="192" spans="1:2" ht="14">
      <c r="A192" s="586" t="s">
        <v>164</v>
      </c>
      <c r="B192" s="470">
        <v>46396</v>
      </c>
    </row>
    <row r="193" spans="1:2">
      <c r="A193" s="584" t="s">
        <v>165</v>
      </c>
      <c r="B193" s="470"/>
    </row>
    <row r="194" spans="1:2" ht="14">
      <c r="A194" s="586" t="s">
        <v>166</v>
      </c>
      <c r="B194" s="470">
        <v>46644</v>
      </c>
    </row>
    <row r="195" spans="1:2" ht="14">
      <c r="A195" s="586" t="s">
        <v>167</v>
      </c>
      <c r="B195" s="470"/>
    </row>
    <row r="196" spans="1:2" ht="14">
      <c r="A196" s="586" t="s">
        <v>168</v>
      </c>
      <c r="B196" s="470"/>
    </row>
    <row r="197" spans="1:2">
      <c r="A197" s="584" t="s">
        <v>169</v>
      </c>
      <c r="B197" s="470"/>
    </row>
    <row r="198" spans="1:2" ht="14">
      <c r="A198" s="586" t="s">
        <v>170</v>
      </c>
      <c r="B198" s="470">
        <v>46491</v>
      </c>
    </row>
    <row r="199" spans="1:2" ht="14">
      <c r="A199" s="586" t="s">
        <v>171</v>
      </c>
      <c r="B199" s="470"/>
    </row>
    <row r="200" spans="1:2" ht="14">
      <c r="A200" s="586" t="s">
        <v>172</v>
      </c>
      <c r="B200" s="470"/>
    </row>
    <row r="201" spans="1:2">
      <c r="A201" s="584" t="s">
        <v>173</v>
      </c>
      <c r="B201" s="470"/>
    </row>
    <row r="202" spans="1:2" ht="14">
      <c r="A202" s="586" t="s">
        <v>174</v>
      </c>
      <c r="B202" s="470">
        <v>46326</v>
      </c>
    </row>
    <row r="203" spans="1:2">
      <c r="A203" s="584" t="s">
        <v>175</v>
      </c>
      <c r="B203" s="470"/>
    </row>
    <row r="204" spans="1:2" ht="14">
      <c r="A204" s="586" t="s">
        <v>176</v>
      </c>
      <c r="B204" s="470">
        <v>46918</v>
      </c>
    </row>
    <row r="205" spans="1:2">
      <c r="A205" s="584" t="s">
        <v>177</v>
      </c>
      <c r="B205" s="470"/>
    </row>
    <row r="206" spans="1:2" ht="14">
      <c r="A206" s="586" t="s">
        <v>178</v>
      </c>
      <c r="B206" s="470">
        <v>47514</v>
      </c>
    </row>
    <row r="207" spans="1:2">
      <c r="A207" s="584" t="s">
        <v>179</v>
      </c>
      <c r="B207" s="470"/>
    </row>
    <row r="208" spans="1:2" ht="14">
      <c r="A208" s="586" t="s">
        <v>174</v>
      </c>
      <c r="B208" s="470">
        <v>46796</v>
      </c>
    </row>
    <row r="209" spans="1:2" ht="14">
      <c r="A209" s="586" t="s">
        <v>180</v>
      </c>
      <c r="B209" s="470"/>
    </row>
    <row r="210" spans="1:2" ht="14">
      <c r="A210" s="586" t="s">
        <v>181</v>
      </c>
      <c r="B210" s="470"/>
    </row>
    <row r="211" spans="1:2">
      <c r="A211" s="584" t="s">
        <v>182</v>
      </c>
      <c r="B211" s="470"/>
    </row>
    <row r="212" spans="1:2" ht="14">
      <c r="A212" s="586" t="s">
        <v>183</v>
      </c>
      <c r="B212" s="470">
        <v>47968</v>
      </c>
    </row>
    <row r="213" spans="1:2" ht="14">
      <c r="A213" s="586" t="s">
        <v>184</v>
      </c>
      <c r="B213" s="470"/>
    </row>
    <row r="214" spans="1:2" ht="14">
      <c r="A214" s="586" t="s">
        <v>185</v>
      </c>
      <c r="B214" s="470"/>
    </row>
    <row r="215" spans="1:2">
      <c r="A215" s="584" t="s">
        <v>186</v>
      </c>
      <c r="B215" s="470"/>
    </row>
    <row r="216" spans="1:2" ht="14">
      <c r="A216" s="586" t="s">
        <v>187</v>
      </c>
      <c r="B216" s="470">
        <v>46752</v>
      </c>
    </row>
    <row r="217" spans="1:2">
      <c r="A217" s="584" t="s">
        <v>188</v>
      </c>
      <c r="B217" s="470"/>
    </row>
    <row r="218" spans="1:2" ht="14">
      <c r="A218" s="586" t="s">
        <v>187</v>
      </c>
      <c r="B218" s="470">
        <v>46752</v>
      </c>
    </row>
    <row r="219" spans="1:2" ht="14">
      <c r="A219" s="586" t="s">
        <v>189</v>
      </c>
      <c r="B219" s="470"/>
    </row>
    <row r="220" spans="1:2" ht="14">
      <c r="A220" s="586" t="s">
        <v>190</v>
      </c>
      <c r="B220" s="470"/>
    </row>
    <row r="221" spans="1:2">
      <c r="A221" s="584" t="s">
        <v>191</v>
      </c>
      <c r="B221" s="470"/>
    </row>
    <row r="222" spans="1:2" ht="14">
      <c r="A222" s="586" t="s">
        <v>190</v>
      </c>
      <c r="B222" s="470">
        <v>46770</v>
      </c>
    </row>
    <row r="223" spans="1:2" ht="14">
      <c r="A223" s="586" t="s">
        <v>192</v>
      </c>
      <c r="B223" s="470"/>
    </row>
    <row r="224" spans="1:2" ht="14">
      <c r="A224" s="586" t="s">
        <v>193</v>
      </c>
      <c r="B224" s="470"/>
    </row>
    <row r="225" spans="1:2">
      <c r="A225" s="584" t="s">
        <v>194</v>
      </c>
      <c r="B225" s="470"/>
    </row>
    <row r="226" spans="1:2" ht="14">
      <c r="A226" s="586" t="s">
        <v>195</v>
      </c>
      <c r="B226" s="470">
        <v>48060</v>
      </c>
    </row>
    <row r="227" spans="1:2">
      <c r="A227" s="584" t="s">
        <v>196</v>
      </c>
      <c r="B227" s="470"/>
    </row>
    <row r="228" spans="1:2" ht="14">
      <c r="A228" s="586" t="s">
        <v>195</v>
      </c>
      <c r="B228" s="470">
        <v>46248</v>
      </c>
    </row>
    <row r="229" spans="1:2" ht="14">
      <c r="A229" s="586" t="s">
        <v>197</v>
      </c>
      <c r="B229" s="470"/>
    </row>
    <row r="230" spans="1:2" ht="14">
      <c r="A230" s="586" t="s">
        <v>197</v>
      </c>
      <c r="B230" s="470"/>
    </row>
    <row r="231" spans="1:2">
      <c r="A231" s="584" t="s">
        <v>198</v>
      </c>
      <c r="B231" s="470"/>
    </row>
    <row r="232" spans="1:2" ht="14">
      <c r="A232" s="586" t="s">
        <v>199</v>
      </c>
      <c r="B232" s="470">
        <v>46081</v>
      </c>
    </row>
    <row r="233" spans="1:2">
      <c r="A233" s="584" t="s">
        <v>200</v>
      </c>
      <c r="B233" s="470"/>
    </row>
    <row r="234" spans="1:2" ht="14">
      <c r="A234" s="586" t="s">
        <v>201</v>
      </c>
      <c r="B234" s="470">
        <v>46660</v>
      </c>
    </row>
    <row r="235" spans="1:2" ht="14">
      <c r="A235" s="586" t="s">
        <v>202</v>
      </c>
      <c r="B235" s="470"/>
    </row>
    <row r="236" spans="1:2" ht="14">
      <c r="A236" s="586" t="s">
        <v>202</v>
      </c>
      <c r="B236" s="470"/>
    </row>
    <row r="237" spans="1:2">
      <c r="A237" s="584" t="s">
        <v>203</v>
      </c>
      <c r="B237" s="470"/>
    </row>
    <row r="238" spans="1:2" ht="14">
      <c r="A238" s="586" t="s">
        <v>204</v>
      </c>
      <c r="B238" s="470">
        <v>47695</v>
      </c>
    </row>
    <row r="239" spans="1:2" ht="14">
      <c r="A239" s="586" t="s">
        <v>205</v>
      </c>
      <c r="B239" s="470"/>
    </row>
    <row r="240" spans="1:2" ht="14">
      <c r="A240" s="586" t="s">
        <v>206</v>
      </c>
      <c r="B240" s="470"/>
    </row>
    <row r="241" spans="1:2" ht="14">
      <c r="A241" s="586" t="s">
        <v>207</v>
      </c>
      <c r="B241" s="470"/>
    </row>
    <row r="242" spans="1:2">
      <c r="A242" s="584" t="s">
        <v>208</v>
      </c>
      <c r="B242" s="470"/>
    </row>
    <row r="243" spans="1:2" ht="14">
      <c r="A243" s="586" t="s">
        <v>209</v>
      </c>
      <c r="B243" s="470">
        <v>46234</v>
      </c>
    </row>
    <row r="244" spans="1:2">
      <c r="A244" s="584" t="s">
        <v>210</v>
      </c>
      <c r="B244" s="470"/>
    </row>
    <row r="245" spans="1:2" ht="14">
      <c r="A245" s="586" t="s">
        <v>211</v>
      </c>
      <c r="B245" s="470">
        <v>46387</v>
      </c>
    </row>
    <row r="246" spans="1:2" ht="14">
      <c r="A246" s="586" t="s">
        <v>212</v>
      </c>
      <c r="B246" s="470"/>
    </row>
    <row r="247" spans="1:2" ht="14">
      <c r="A247" s="586" t="s">
        <v>213</v>
      </c>
      <c r="B247" s="470"/>
    </row>
    <row r="248" spans="1:2">
      <c r="A248" s="584" t="s">
        <v>214</v>
      </c>
      <c r="B248" s="470"/>
    </row>
    <row r="249" spans="1:2" ht="14">
      <c r="A249" s="586" t="s">
        <v>215</v>
      </c>
      <c r="B249" s="470">
        <v>147124</v>
      </c>
    </row>
    <row r="250" spans="1:2" ht="14">
      <c r="A250" s="586" t="s">
        <v>216</v>
      </c>
      <c r="B250" s="470"/>
    </row>
    <row r="251" spans="1:2" ht="14">
      <c r="A251" s="586" t="s">
        <v>217</v>
      </c>
      <c r="B251" s="470"/>
    </row>
    <row r="252" spans="1:2">
      <c r="A252" s="584" t="s">
        <v>218</v>
      </c>
      <c r="B252" s="470"/>
    </row>
    <row r="253" spans="1:2" ht="14">
      <c r="A253" s="586" t="s">
        <v>219</v>
      </c>
      <c r="B253" s="470">
        <v>46477</v>
      </c>
    </row>
    <row r="254" spans="1:2" ht="14">
      <c r="A254" s="586" t="s">
        <v>220</v>
      </c>
      <c r="B254" s="470"/>
    </row>
    <row r="255" spans="1:2" ht="14">
      <c r="A255" s="586" t="s">
        <v>221</v>
      </c>
      <c r="B255" s="470"/>
    </row>
    <row r="256" spans="1:2">
      <c r="A256" s="584" t="s">
        <v>222</v>
      </c>
      <c r="B256" s="470"/>
    </row>
    <row r="257" spans="1:2" ht="14">
      <c r="A257" s="586" t="s">
        <v>223</v>
      </c>
      <c r="B257" s="470">
        <v>47603</v>
      </c>
    </row>
    <row r="258" spans="1:2">
      <c r="A258" s="584" t="s">
        <v>224</v>
      </c>
      <c r="B258" s="470"/>
    </row>
    <row r="259" spans="1:2" ht="14">
      <c r="A259" s="586" t="s">
        <v>225</v>
      </c>
      <c r="B259" s="470">
        <v>46461</v>
      </c>
    </row>
    <row r="260" spans="1:2">
      <c r="A260" s="584" t="s">
        <v>226</v>
      </c>
      <c r="B260" s="470"/>
    </row>
    <row r="261" spans="1:2" ht="14">
      <c r="A261" s="586" t="s">
        <v>227</v>
      </c>
      <c r="B261" s="470">
        <v>46387</v>
      </c>
    </row>
    <row r="262" spans="1:2" ht="14">
      <c r="A262" s="586" t="s">
        <v>228</v>
      </c>
      <c r="B262" s="470"/>
    </row>
    <row r="263" spans="1:2" ht="14">
      <c r="A263" s="586" t="s">
        <v>229</v>
      </c>
      <c r="B263" s="470"/>
    </row>
    <row r="264" spans="1:2">
      <c r="A264" s="584" t="s">
        <v>230</v>
      </c>
      <c r="B264" s="470"/>
    </row>
    <row r="265" spans="1:2" ht="14">
      <c r="A265" s="586" t="s">
        <v>231</v>
      </c>
      <c r="B265" s="470">
        <v>0</v>
      </c>
    </row>
    <row r="266" spans="1:2">
      <c r="A266" s="584" t="s">
        <v>232</v>
      </c>
      <c r="B266" s="470"/>
    </row>
    <row r="267" spans="1:2" ht="14">
      <c r="A267" s="586" t="s">
        <v>233</v>
      </c>
      <c r="B267" s="470">
        <v>49095</v>
      </c>
    </row>
    <row r="268" spans="1:2" ht="14">
      <c r="A268" s="586" t="s">
        <v>234</v>
      </c>
      <c r="B268" s="470"/>
    </row>
    <row r="269" spans="1:2">
      <c r="A269" s="586">
        <v>0</v>
      </c>
      <c r="B269" s="470"/>
    </row>
    <row r="270" spans="1:2" ht="14">
      <c r="A270" s="586" t="s">
        <v>235</v>
      </c>
      <c r="B270" s="470"/>
    </row>
    <row r="271" spans="1:2">
      <c r="A271" s="584" t="s">
        <v>236</v>
      </c>
      <c r="B271" s="470"/>
    </row>
    <row r="272" spans="1:2" ht="14">
      <c r="A272" s="586" t="s">
        <v>237</v>
      </c>
      <c r="B272" s="470">
        <v>0</v>
      </c>
    </row>
    <row r="273" spans="1:2">
      <c r="A273" s="584" t="s">
        <v>238</v>
      </c>
      <c r="B273" s="470"/>
    </row>
    <row r="274" spans="1:2" ht="14">
      <c r="A274" s="586" t="s">
        <v>237</v>
      </c>
      <c r="B274" s="470">
        <v>0</v>
      </c>
    </row>
    <row r="275" spans="1:2">
      <c r="A275" s="584" t="s">
        <v>239</v>
      </c>
      <c r="B275" s="470"/>
    </row>
    <row r="276" spans="1:2" ht="14">
      <c r="A276" s="586" t="s">
        <v>237</v>
      </c>
      <c r="B276" s="470">
        <v>0</v>
      </c>
    </row>
    <row r="277" spans="1:2">
      <c r="A277" s="584" t="s">
        <v>240</v>
      </c>
      <c r="B277" s="470"/>
    </row>
    <row r="278" spans="1:2" ht="14">
      <c r="A278" s="586" t="s">
        <v>237</v>
      </c>
      <c r="B278" s="470">
        <v>0</v>
      </c>
    </row>
    <row r="279" spans="1:2" ht="14">
      <c r="A279" s="586" t="s">
        <v>241</v>
      </c>
      <c r="B279" s="470"/>
    </row>
    <row r="280" spans="1:2" ht="14">
      <c r="A280" s="586" t="s">
        <v>242</v>
      </c>
      <c r="B280" s="470"/>
    </row>
    <row r="281" spans="1:2">
      <c r="A281" s="584" t="s">
        <v>243</v>
      </c>
      <c r="B281" s="470"/>
    </row>
    <row r="282" spans="1:2" ht="14">
      <c r="A282" s="586" t="s">
        <v>244</v>
      </c>
      <c r="B282" s="470">
        <v>47208</v>
      </c>
    </row>
    <row r="283" spans="1:2" ht="14">
      <c r="A283" s="586" t="s">
        <v>235</v>
      </c>
      <c r="B283" s="470"/>
    </row>
    <row r="284" spans="1:2">
      <c r="A284" s="584" t="s">
        <v>245</v>
      </c>
      <c r="B284" s="470"/>
    </row>
    <row r="285" spans="1:2" ht="14">
      <c r="A285" s="586" t="s">
        <v>237</v>
      </c>
      <c r="B285" s="470">
        <v>0</v>
      </c>
    </row>
    <row r="286" spans="1:2" ht="14">
      <c r="A286" s="586" t="s">
        <v>246</v>
      </c>
      <c r="B286" s="470"/>
    </row>
    <row r="287" spans="1:2">
      <c r="A287" s="584" t="s">
        <v>247</v>
      </c>
      <c r="B287" s="470"/>
    </row>
    <row r="288" spans="1:2" ht="14">
      <c r="A288" s="586" t="s">
        <v>248</v>
      </c>
      <c r="B288" s="470">
        <v>0</v>
      </c>
    </row>
    <row r="289" spans="1:2" ht="14">
      <c r="A289" s="586" t="s">
        <v>249</v>
      </c>
      <c r="B289" s="470"/>
    </row>
    <row r="290" spans="1:2">
      <c r="A290" s="584" t="s">
        <v>250</v>
      </c>
      <c r="B290" s="470"/>
    </row>
    <row r="291" spans="1:2" ht="14">
      <c r="A291" s="586" t="s">
        <v>251</v>
      </c>
      <c r="B291" s="470">
        <v>46173</v>
      </c>
    </row>
    <row r="292" spans="1:2" ht="14">
      <c r="A292" s="586" t="s">
        <v>252</v>
      </c>
      <c r="B292" s="470"/>
    </row>
    <row r="293" spans="1:2" ht="14">
      <c r="A293" s="586" t="s">
        <v>253</v>
      </c>
      <c r="B293" s="470"/>
    </row>
    <row r="294" spans="1:2">
      <c r="A294" s="584" t="s">
        <v>254</v>
      </c>
      <c r="B294" s="470"/>
    </row>
    <row r="295" spans="1:2" ht="14">
      <c r="A295" s="586" t="s">
        <v>255</v>
      </c>
      <c r="B295" s="470">
        <v>47768</v>
      </c>
    </row>
    <row r="296" spans="1:2" ht="14">
      <c r="A296" s="586" t="s">
        <v>256</v>
      </c>
      <c r="B296" s="470"/>
    </row>
    <row r="297" spans="1:2" ht="14">
      <c r="A297" s="586" t="s">
        <v>257</v>
      </c>
      <c r="B297" s="470"/>
    </row>
    <row r="298" spans="1:2">
      <c r="A298" s="584" t="s">
        <v>258</v>
      </c>
      <c r="B298" s="470"/>
    </row>
    <row r="299" spans="1:2" ht="14">
      <c r="A299" s="586" t="s">
        <v>259</v>
      </c>
      <c r="B299" s="470">
        <v>94721</v>
      </c>
    </row>
    <row r="300" spans="1:2">
      <c r="A300" s="584" t="s">
        <v>260</v>
      </c>
      <c r="B300" s="470"/>
    </row>
    <row r="301" spans="1:2" ht="14">
      <c r="A301" s="586" t="s">
        <v>261</v>
      </c>
      <c r="B301" s="470">
        <v>46325</v>
      </c>
    </row>
    <row r="302" spans="1:2" ht="14">
      <c r="A302" s="586" t="s">
        <v>262</v>
      </c>
      <c r="B302" s="470"/>
    </row>
    <row r="303" spans="1:2">
      <c r="A303" s="584" t="s">
        <v>263</v>
      </c>
      <c r="B303" s="470"/>
    </row>
    <row r="304" spans="1:2" ht="14">
      <c r="A304" s="586" t="s">
        <v>264</v>
      </c>
      <c r="B304" s="470">
        <v>46538</v>
      </c>
    </row>
    <row r="305" spans="1:2" ht="14">
      <c r="A305" s="586" t="s">
        <v>265</v>
      </c>
      <c r="B305" s="470"/>
    </row>
    <row r="306" spans="1:2">
      <c r="A306" s="584" t="s">
        <v>266</v>
      </c>
      <c r="B306" s="470"/>
    </row>
    <row r="307" spans="1:2" ht="14">
      <c r="A307" s="586" t="s">
        <v>267</v>
      </c>
      <c r="B307" s="470">
        <v>46180</v>
      </c>
    </row>
    <row r="308" spans="1:2">
      <c r="A308" s="584" t="s">
        <v>268</v>
      </c>
      <c r="B308" s="470"/>
    </row>
    <row r="309" spans="1:2" ht="14">
      <c r="A309" s="586" t="s">
        <v>269</v>
      </c>
      <c r="B309" s="470">
        <v>46022</v>
      </c>
    </row>
    <row r="310" spans="1:2" ht="14">
      <c r="A310" s="586" t="s">
        <v>270</v>
      </c>
      <c r="B310" s="470"/>
    </row>
    <row r="311" spans="1:2">
      <c r="A311" s="584" t="s">
        <v>271</v>
      </c>
      <c r="B311" s="470"/>
    </row>
    <row r="312" spans="1:2" ht="14">
      <c r="A312" s="586" t="s">
        <v>272</v>
      </c>
      <c r="B312" s="470">
        <v>48213</v>
      </c>
    </row>
    <row r="313" spans="1:2">
      <c r="A313" s="584" t="s">
        <v>273</v>
      </c>
      <c r="B313" s="470"/>
    </row>
    <row r="314" spans="1:2" ht="14">
      <c r="A314" s="586" t="s">
        <v>272</v>
      </c>
      <c r="B314" s="470">
        <v>145020</v>
      </c>
    </row>
    <row r="315" spans="1:2" ht="14">
      <c r="A315" s="586" t="s">
        <v>274</v>
      </c>
      <c r="B315" s="470"/>
    </row>
    <row r="316" spans="1:2">
      <c r="A316" s="584" t="s">
        <v>275</v>
      </c>
      <c r="B316" s="470"/>
    </row>
    <row r="317" spans="1:2" ht="14">
      <c r="A317" s="586" t="s">
        <v>276</v>
      </c>
      <c r="B317" s="470">
        <v>46173</v>
      </c>
    </row>
    <row r="318" spans="1:2" ht="14">
      <c r="A318" s="586" t="s">
        <v>277</v>
      </c>
      <c r="B318" s="470"/>
    </row>
    <row r="319" spans="1:2">
      <c r="A319" s="584" t="s">
        <v>278</v>
      </c>
      <c r="B319" s="470"/>
    </row>
    <row r="320" spans="1:2" ht="14">
      <c r="A320" s="586" t="s">
        <v>279</v>
      </c>
      <c r="B320" s="470">
        <v>93746</v>
      </c>
    </row>
    <row r="321" spans="1:2" ht="14">
      <c r="A321" s="586" t="s">
        <v>280</v>
      </c>
      <c r="B321" s="470"/>
    </row>
    <row r="322" spans="1:2">
      <c r="A322" s="584" t="s">
        <v>281</v>
      </c>
      <c r="B322" s="470"/>
    </row>
    <row r="323" spans="1:2" ht="14">
      <c r="A323" s="586" t="s">
        <v>282</v>
      </c>
      <c r="B323" s="470">
        <v>0</v>
      </c>
    </row>
    <row r="324" spans="1:2" ht="14">
      <c r="A324" s="586" t="s">
        <v>283</v>
      </c>
      <c r="B324" s="470"/>
    </row>
    <row r="325" spans="1:2">
      <c r="A325" s="584" t="s">
        <v>284</v>
      </c>
      <c r="B325" s="470"/>
    </row>
    <row r="326" spans="1:2" ht="14">
      <c r="A326" s="586" t="s">
        <v>285</v>
      </c>
      <c r="B326" s="470">
        <v>46811</v>
      </c>
    </row>
    <row r="327" spans="1:2">
      <c r="A327" s="584" t="s">
        <v>286</v>
      </c>
      <c r="B327" s="470"/>
    </row>
    <row r="328" spans="1:2" ht="14">
      <c r="A328" s="586" t="s">
        <v>287</v>
      </c>
      <c r="B328" s="470">
        <v>47695</v>
      </c>
    </row>
    <row r="329" spans="1:2">
      <c r="A329" s="584" t="s">
        <v>288</v>
      </c>
      <c r="B329" s="470"/>
    </row>
    <row r="330" spans="1:2" ht="14">
      <c r="A330" s="586" t="s">
        <v>289</v>
      </c>
      <c r="B330" s="470">
        <v>46295</v>
      </c>
    </row>
    <row r="331" spans="1:2">
      <c r="A331" s="584" t="s">
        <v>290</v>
      </c>
      <c r="B331" s="470"/>
    </row>
    <row r="332" spans="1:2" ht="14">
      <c r="A332" s="586" t="s">
        <v>287</v>
      </c>
      <c r="B332" s="470">
        <v>46649</v>
      </c>
    </row>
    <row r="333" spans="1:2" ht="14">
      <c r="A333" s="586" t="s">
        <v>291</v>
      </c>
      <c r="B333" s="470">
        <v>4388165</v>
      </c>
    </row>
    <row r="334" spans="1:2">
      <c r="A334"/>
    </row>
    <row r="335" spans="1:2">
      <c r="A335"/>
    </row>
    <row r="336" spans="1:2">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E4E0A-C520-4916-8867-9AED2D767E55}">
  <sheetPr codeName="Feuil1"/>
  <dimension ref="A1:AD135"/>
  <sheetViews>
    <sheetView tabSelected="1" zoomScale="85" zoomScaleNormal="85" workbookViewId="0">
      <selection activeCell="N2" sqref="N2"/>
    </sheetView>
  </sheetViews>
  <sheetFormatPr baseColWidth="10" defaultColWidth="11.5" defaultRowHeight="13"/>
  <cols>
    <col min="1" max="1" width="15.1640625" style="515" customWidth="1"/>
    <col min="2" max="2" width="14.6640625" style="516" customWidth="1"/>
    <col min="3" max="3" width="18.33203125" style="515" customWidth="1"/>
    <col min="4" max="4" width="24.1640625" style="515" customWidth="1"/>
    <col min="5" max="5" width="11.5" style="515"/>
    <col min="6" max="6" width="30" style="516" customWidth="1"/>
    <col min="7" max="7" width="21.33203125" style="515" customWidth="1"/>
    <col min="8" max="8" width="14" style="515" customWidth="1"/>
    <col min="9" max="9" width="15.5" style="515" customWidth="1"/>
    <col min="10" max="10" width="29.83203125" style="516" customWidth="1"/>
    <col min="11" max="12" width="11.5" style="515"/>
    <col min="13" max="13" width="22.5" style="515" customWidth="1"/>
    <col min="14" max="14" width="32" style="515" customWidth="1"/>
    <col min="15" max="15" width="12.6640625" style="515" bestFit="1" customWidth="1"/>
    <col min="16" max="16" width="40.83203125" style="515" customWidth="1"/>
    <col min="17" max="17" width="15" style="515" customWidth="1"/>
    <col min="18" max="18" width="14.5" style="515" customWidth="1"/>
    <col min="19" max="19" width="14.83203125" style="515" customWidth="1"/>
    <col min="20" max="21" width="11.5" style="515"/>
    <col min="22" max="22" width="24.83203125" style="515" customWidth="1"/>
    <col min="23" max="24" width="11.5" style="515"/>
    <col min="25" max="25" width="11.5" style="516"/>
    <col min="26" max="27" width="19.5" style="515" customWidth="1"/>
    <col min="28" max="28" width="21.1640625" style="515" customWidth="1"/>
    <col min="29" max="29" width="11.5" style="515"/>
    <col min="30" max="30" width="36.1640625" style="515" customWidth="1"/>
    <col min="31" max="16384" width="11.5" style="388"/>
  </cols>
  <sheetData>
    <row r="1" spans="1:30" ht="14" thickBot="1"/>
    <row r="2" spans="1:30" ht="70" thickTop="1" thickBot="1">
      <c r="A2" s="512" t="s">
        <v>292</v>
      </c>
      <c r="B2" s="513" t="s">
        <v>293</v>
      </c>
      <c r="C2" s="513" t="s">
        <v>294</v>
      </c>
      <c r="D2" s="512" t="s">
        <v>295</v>
      </c>
      <c r="E2" s="512" t="s">
        <v>296</v>
      </c>
      <c r="F2" s="512" t="s">
        <v>297</v>
      </c>
      <c r="G2" s="512" t="s">
        <v>298</v>
      </c>
      <c r="H2" s="512" t="s">
        <v>299</v>
      </c>
      <c r="I2" s="512" t="s">
        <v>300</v>
      </c>
      <c r="J2" s="512" t="s">
        <v>301</v>
      </c>
      <c r="K2" s="512" t="s">
        <v>302</v>
      </c>
      <c r="L2" s="512" t="s">
        <v>303</v>
      </c>
      <c r="M2" s="512" t="s">
        <v>304</v>
      </c>
      <c r="N2" s="512" t="s">
        <v>305</v>
      </c>
      <c r="O2" s="512" t="s">
        <v>306</v>
      </c>
      <c r="P2" s="512" t="s">
        <v>307</v>
      </c>
      <c r="Q2" s="512" t="s">
        <v>308</v>
      </c>
      <c r="R2" s="512" t="s">
        <v>309</v>
      </c>
      <c r="S2" s="512" t="s">
        <v>310</v>
      </c>
      <c r="T2" s="512" t="s">
        <v>311</v>
      </c>
      <c r="U2" s="512" t="s">
        <v>312</v>
      </c>
      <c r="V2" s="512" t="s">
        <v>313</v>
      </c>
      <c r="W2" s="512" t="s">
        <v>314</v>
      </c>
      <c r="X2" s="512" t="s">
        <v>315</v>
      </c>
      <c r="Y2" s="512" t="s">
        <v>316</v>
      </c>
      <c r="Z2" s="512" t="s">
        <v>317</v>
      </c>
      <c r="AA2" s="512" t="s">
        <v>318</v>
      </c>
      <c r="AB2" s="512" t="s">
        <v>319</v>
      </c>
      <c r="AC2" s="512" t="s">
        <v>320</v>
      </c>
      <c r="AD2" s="512" t="s">
        <v>321</v>
      </c>
    </row>
    <row r="3" spans="1:30" ht="14" thickTop="1">
      <c r="A3" s="515" t="s">
        <v>153</v>
      </c>
      <c r="B3" s="516">
        <f>Thailand!$F$4</f>
        <v>0</v>
      </c>
      <c r="C3" s="515">
        <f>Thailand!$F$17</f>
        <v>0</v>
      </c>
      <c r="D3" s="515">
        <f>Thailand!$F$15</f>
        <v>0</v>
      </c>
      <c r="E3" s="515">
        <f>Thailand!$F$16</f>
        <v>0</v>
      </c>
      <c r="F3" s="516">
        <f>Thailand!$F$14</f>
        <v>0</v>
      </c>
      <c r="G3" s="523">
        <f>Thailand!$F$18</f>
        <v>0</v>
      </c>
      <c r="H3" s="515">
        <f>Thailand!$F$11</f>
        <v>0</v>
      </c>
      <c r="I3" s="515">
        <f>Thailand!$F$19</f>
        <v>0</v>
      </c>
      <c r="J3" s="516">
        <f>Thailand!$F$13</f>
        <v>0</v>
      </c>
      <c r="K3" s="518">
        <f>Thailand!$F$24</f>
        <v>0</v>
      </c>
      <c r="L3" s="523">
        <f>Thailand!$F$26</f>
        <v>0</v>
      </c>
      <c r="M3" s="519">
        <f>Thailand!$F$28</f>
        <v>0</v>
      </c>
      <c r="N3" s="524">
        <f>Thailand!$F$29</f>
        <v>0</v>
      </c>
      <c r="O3" s="523">
        <f>Thailand!$F$27</f>
        <v>0</v>
      </c>
      <c r="P3" s="517">
        <f>Thailand!$F$30</f>
        <v>0</v>
      </c>
      <c r="Q3" s="515">
        <f>Thailand!$F$46</f>
        <v>0</v>
      </c>
      <c r="R3" s="515">
        <f>Thailand!$F$50</f>
        <v>0</v>
      </c>
      <c r="S3" s="517" t="e">
        <f t="shared" ref="S3:S34" si="0">R3/Q3</f>
        <v>#DIV/0!</v>
      </c>
      <c r="T3" s="518" t="e">
        <f t="shared" ref="T3:T34" si="1">K3/R3</f>
        <v>#DIV/0!</v>
      </c>
      <c r="U3" s="519" t="e">
        <f t="shared" ref="U3:U34" si="2">K3/Q3</f>
        <v>#DIV/0!</v>
      </c>
      <c r="V3" s="520">
        <f>Thailand!$F$33</f>
        <v>0</v>
      </c>
      <c r="W3" s="520">
        <f>Thailand!$F$40</f>
        <v>0</v>
      </c>
      <c r="X3" s="520">
        <f>Thailand!$F$34</f>
        <v>0</v>
      </c>
      <c r="Y3" s="516">
        <f>Thailand!$F$42</f>
        <v>0</v>
      </c>
      <c r="Z3" s="515">
        <f>Thailand!$F$43</f>
        <v>0</v>
      </c>
      <c r="AA3" s="516">
        <f>Thailand!$F$44</f>
        <v>0</v>
      </c>
      <c r="AB3" s="516">
        <f>Thailand!$F$9</f>
        <v>0</v>
      </c>
      <c r="AC3" s="520">
        <f>Thailand!$D$2</f>
        <v>46058</v>
      </c>
    </row>
    <row r="4" spans="1:30" ht="56">
      <c r="A4" s="515" t="s">
        <v>153</v>
      </c>
      <c r="B4" s="516" t="str">
        <f>Australia!$D$4</f>
        <v>BU Australia</v>
      </c>
      <c r="C4" s="515" t="str">
        <f>Australia!$D$17</f>
        <v>Australia</v>
      </c>
      <c r="D4" s="515" t="str">
        <f>Australia!$D$15</f>
        <v>Brisbane</v>
      </c>
      <c r="E4" s="515">
        <f>Australia!$D$16</f>
        <v>4000</v>
      </c>
      <c r="F4" s="516" t="str">
        <f>Australia!$D$14</f>
        <v xml:space="preserve">310 Ann St </v>
      </c>
      <c r="G4" s="515" t="str">
        <f>Australia!$D$18</f>
        <v>Rental</v>
      </c>
      <c r="H4" s="515" t="str">
        <f>Australia!$D$11</f>
        <v>AU01</v>
      </c>
      <c r="I4" s="515" t="str">
        <f>Australia!$D$19</f>
        <v>No</v>
      </c>
      <c r="J4" s="516" t="str">
        <f>Australia!$D$13</f>
        <v>Levels 12-18</v>
      </c>
      <c r="K4" s="518">
        <f>Australia!$D$24</f>
        <v>7993</v>
      </c>
      <c r="L4" s="515" t="str">
        <f>Australia!$D$26</f>
        <v>AUD</v>
      </c>
      <c r="M4" s="519">
        <f>Australia!$D$28</f>
        <v>805.4</v>
      </c>
      <c r="N4" s="516" t="str">
        <f>Australia!$D$29</f>
        <v xml:space="preserve">3.75% per annum on anniversary date </v>
      </c>
      <c r="O4" s="521"/>
      <c r="P4" s="521">
        <f>Australia!$D$30</f>
        <v>731245</v>
      </c>
      <c r="Q4" s="515">
        <f>Australia!$D$46</f>
        <v>619</v>
      </c>
      <c r="R4" s="515">
        <f>Australia!$D$50</f>
        <v>386</v>
      </c>
      <c r="S4" s="517">
        <f t="shared" si="0"/>
        <v>0.62358642972536349</v>
      </c>
      <c r="T4" s="518">
        <f t="shared" si="1"/>
        <v>20.707253886010363</v>
      </c>
      <c r="U4" s="519">
        <f t="shared" si="2"/>
        <v>12.91276252019386</v>
      </c>
      <c r="V4" s="520">
        <f>Australia!$D$33</f>
        <v>43497</v>
      </c>
      <c r="W4" s="520">
        <f>Australia!$D$40</f>
        <v>47361</v>
      </c>
      <c r="X4" s="520">
        <f>Australia!$D$34</f>
        <v>47361</v>
      </c>
      <c r="Y4" s="516" t="str">
        <f>Australia!$D$42</f>
        <v>Yes</v>
      </c>
      <c r="Z4" s="515" t="str">
        <f>Australia!$D$43</f>
        <v>No</v>
      </c>
      <c r="AA4" s="516" t="str">
        <f>Australia!$D$44</f>
        <v>Yes- NABERS 5.5 star energy rating &amp; working on NABERS rating for waste</v>
      </c>
      <c r="AB4" s="516" t="str">
        <f>Australia!$D$9</f>
        <v>sbishop@allianz-assistance.com.au</v>
      </c>
      <c r="AC4" s="515">
        <f>Australia!$D$2</f>
        <v>0</v>
      </c>
    </row>
    <row r="5" spans="1:30" ht="56">
      <c r="A5" s="515" t="s">
        <v>153</v>
      </c>
      <c r="B5" s="516" t="str">
        <f>Australia!$D$4</f>
        <v>BU Australia</v>
      </c>
      <c r="C5" s="515" t="str">
        <f>Australia!$E$17</f>
        <v>Australia</v>
      </c>
      <c r="D5" s="515" t="str">
        <f>Australia!$E$15</f>
        <v>Brisbane</v>
      </c>
      <c r="E5" s="515">
        <f>Australia!$E$16</f>
        <v>4000</v>
      </c>
      <c r="F5" s="516" t="str">
        <f>Australia!$E$14</f>
        <v>310 Ann St</v>
      </c>
      <c r="G5" s="515" t="str">
        <f>Australia!$E$18</f>
        <v>Rental</v>
      </c>
      <c r="H5" s="515" t="str">
        <f>Australia!$E$11</f>
        <v>AU01</v>
      </c>
      <c r="I5" s="515" t="str">
        <f>Australia!$E$19</f>
        <v>No</v>
      </c>
      <c r="J5" s="516" t="str">
        <f>Australia!$E$13</f>
        <v>Levels 12-14</v>
      </c>
      <c r="K5" s="515">
        <f>Australia!$E$24</f>
        <v>3441</v>
      </c>
      <c r="L5" s="515" t="str">
        <f>Australia!$E$26</f>
        <v>AUD</v>
      </c>
      <c r="M5" s="516" t="str">
        <f>Australia!$E$28</f>
        <v>$565/ sqm Less incentive of $88.25 / sqm
Net rent $476.75</v>
      </c>
      <c r="N5" s="516" t="str">
        <f>Australia!$E$29</f>
        <v xml:space="preserve">3.75% per annum on anniversary date </v>
      </c>
      <c r="O5" s="515">
        <f>Australia!$E$27</f>
        <v>0</v>
      </c>
      <c r="P5" s="516" t="str">
        <f>Australia!$E$30</f>
        <v>Base building charges recovered from sub tenant of $98,000 per yr plus a proportion of some of the direct vendor costs that relate to the maintenance of the tenancy</v>
      </c>
      <c r="S5" s="517" t="e">
        <f t="shared" si="0"/>
        <v>#DIV/0!</v>
      </c>
      <c r="T5" s="518" t="e">
        <f t="shared" si="1"/>
        <v>#DIV/0!</v>
      </c>
      <c r="U5" s="519" t="e">
        <f t="shared" si="2"/>
        <v>#DIV/0!</v>
      </c>
      <c r="V5" s="520">
        <f>Australia!E33</f>
        <v>44743</v>
      </c>
      <c r="W5" s="520">
        <f>Australia!E40</f>
        <v>46568</v>
      </c>
      <c r="X5" s="520">
        <f>Australia!E34</f>
        <v>46568</v>
      </c>
      <c r="Y5" s="516" t="str">
        <f>Australia!$E$42</f>
        <v>subleaser</v>
      </c>
      <c r="AC5" s="515">
        <f>Australia!$D$2</f>
        <v>0</v>
      </c>
    </row>
    <row r="6" spans="1:30" ht="14">
      <c r="A6" s="515" t="s">
        <v>2</v>
      </c>
      <c r="B6" s="516" t="str">
        <f>Austria!$D$4</f>
        <v>BU Austria</v>
      </c>
      <c r="C6" s="515" t="str">
        <f>Austria!$D$17</f>
        <v>Austria</v>
      </c>
      <c r="D6" s="515" t="str">
        <f>Austria!$D$15</f>
        <v>Vienna</v>
      </c>
      <c r="E6" s="515">
        <f>Austria!$D$16</f>
        <v>1140</v>
      </c>
      <c r="F6" s="516" t="str">
        <f>Austria!$D$14</f>
        <v>Linzer Strasse 225</v>
      </c>
      <c r="G6" s="515" t="str">
        <f>Austria!$D$18</f>
        <v>Rental</v>
      </c>
      <c r="H6" s="515" t="str">
        <f>Austria!$D$11</f>
        <v>AT01</v>
      </c>
      <c r="I6" s="515" t="str">
        <f>Austria!$D$19</f>
        <v>Yes</v>
      </c>
      <c r="J6" s="516" t="str">
        <f>Austria!$D$13</f>
        <v>3rd floor</v>
      </c>
      <c r="K6" s="518">
        <f>Austria!$D$24</f>
        <v>890</v>
      </c>
      <c r="L6" s="515" t="str">
        <f>Austria!$D$26</f>
        <v>EUR</v>
      </c>
      <c r="M6" s="519" t="str">
        <f>Austria!$D$28</f>
        <v>16,80/m²</v>
      </c>
      <c r="N6" s="516" t="str">
        <f>Austria!$D$29</f>
        <v>CPI</v>
      </c>
      <c r="O6" s="515">
        <f>Austria!$D$27</f>
        <v>0</v>
      </c>
      <c r="P6" s="522">
        <f>Austria!$D$30</f>
        <v>173.39999999999998</v>
      </c>
      <c r="Q6" s="515">
        <f>Austria!$D$46</f>
        <v>220</v>
      </c>
      <c r="R6" s="515">
        <f>Austria!$D$50</f>
        <v>87</v>
      </c>
      <c r="S6" s="517">
        <f t="shared" si="0"/>
        <v>0.39545454545454545</v>
      </c>
      <c r="T6" s="518">
        <f t="shared" si="1"/>
        <v>10.229885057471265</v>
      </c>
      <c r="U6" s="519">
        <f t="shared" si="2"/>
        <v>4.0454545454545459</v>
      </c>
      <c r="V6" s="520">
        <f>Austria!$D$33</f>
        <v>45261</v>
      </c>
      <c r="W6" s="520">
        <f>Austria!$D$40</f>
        <v>47635</v>
      </c>
      <c r="X6" s="520">
        <f>Austria!$D$34</f>
        <v>45444</v>
      </c>
      <c r="Y6" s="516" t="str">
        <f>Austria!$D$42</f>
        <v>No</v>
      </c>
      <c r="Z6" s="515" t="str">
        <f>Austria!$D$43</f>
        <v>Yes</v>
      </c>
      <c r="AA6" s="516" t="str">
        <f>Austria!$D$44</f>
        <v>No</v>
      </c>
      <c r="AB6" s="516">
        <f>Austria!$D$9</f>
        <v>0</v>
      </c>
      <c r="AC6" s="520">
        <f>Austria!$D$2</f>
        <v>45919</v>
      </c>
    </row>
    <row r="7" spans="1:30" ht="28">
      <c r="A7" s="515" t="s">
        <v>234</v>
      </c>
      <c r="B7" s="516" t="str">
        <f>Belgium!$D$4</f>
        <v>International Health</v>
      </c>
      <c r="C7" s="515" t="str">
        <f>Belgium!$D$17</f>
        <v>Belgium</v>
      </c>
      <c r="D7" s="515" t="str">
        <f>Belgium!$D$15</f>
        <v>Brussels</v>
      </c>
      <c r="E7" s="515">
        <f>Belgium!$D$16</f>
        <v>1000</v>
      </c>
      <c r="F7" s="516" t="str">
        <f>Belgium!$D$14</f>
        <v>Allianz Tower Koning Boulevard du Roi Albert II, 32 (Albert II Laan)</v>
      </c>
      <c r="G7" s="523" t="str">
        <f>Belgium!$D$18</f>
        <v>Rental</v>
      </c>
      <c r="H7" s="515" t="str">
        <f>Belgium!$D$11</f>
        <v>BE01</v>
      </c>
      <c r="I7" s="515" t="str">
        <f>Belgium!$D$19</f>
        <v>Yes</v>
      </c>
      <c r="J7" s="516" t="str">
        <f>Belgium!$D$13</f>
        <v>4th floor &amp; 50% of the 5th floor</v>
      </c>
      <c r="K7" s="518">
        <f>Belgium!$D$24</f>
        <v>1658</v>
      </c>
      <c r="L7" s="515" t="str">
        <f>Belgium!$D$26</f>
        <v>EUR</v>
      </c>
      <c r="M7" s="519">
        <f>Belgium!$D$28</f>
        <v>373</v>
      </c>
      <c r="N7" s="516" t="str">
        <f>Belgium!$D$29</f>
        <v>app. 3%</v>
      </c>
      <c r="O7" s="515">
        <f>Belgium!$D$27</f>
        <v>618434</v>
      </c>
      <c r="P7" s="522">
        <f>Belgium!$D$30</f>
        <v>259</v>
      </c>
      <c r="Q7" s="515">
        <f>Belgium!$D$46</f>
        <v>222</v>
      </c>
      <c r="R7" s="515">
        <f>Belgium!$D$50</f>
        <v>142</v>
      </c>
      <c r="S7" s="517">
        <f t="shared" si="0"/>
        <v>0.63963963963963966</v>
      </c>
      <c r="T7" s="518">
        <f t="shared" si="1"/>
        <v>11.67605633802817</v>
      </c>
      <c r="U7" s="519">
        <f t="shared" si="2"/>
        <v>7.4684684684684681</v>
      </c>
      <c r="V7" s="520">
        <f>Belgium!$D$33</f>
        <v>43922</v>
      </c>
      <c r="W7" s="520">
        <f>Belgium!$D$40</f>
        <v>47208</v>
      </c>
      <c r="X7" s="520">
        <f>Belgium!$D$34</f>
        <v>47208</v>
      </c>
      <c r="Y7" s="516" t="str">
        <f>Belgium!$D$42</f>
        <v>No</v>
      </c>
      <c r="Z7" s="515" t="str">
        <f>Belgium!$D$43</f>
        <v>Yes</v>
      </c>
      <c r="AA7" s="516" t="str">
        <f>Belgium!$D$44</f>
        <v>Unknown</v>
      </c>
      <c r="AB7" s="516">
        <f>Belgium!$D$9</f>
        <v>0</v>
      </c>
      <c r="AC7" s="520">
        <f>Belgium!$D$2</f>
        <v>46070</v>
      </c>
    </row>
    <row r="8" spans="1:30" ht="14">
      <c r="A8" s="515" t="s">
        <v>205</v>
      </c>
      <c r="B8" s="516" t="str">
        <f>Brazil!$D$4</f>
        <v>BU Brazil</v>
      </c>
      <c r="C8" s="515" t="str">
        <f>Brazil!$D$17</f>
        <v>Brazil</v>
      </c>
      <c r="D8" s="515" t="str">
        <f>Brazil!$D$15</f>
        <v>São Bernardo do Campo</v>
      </c>
      <c r="E8" s="515" t="str">
        <f>Brazil!$D$16</f>
        <v>09751-020</v>
      </c>
      <c r="F8" s="516" t="str">
        <f>Brazil!$D$14</f>
        <v>Rua José Versolato, 101</v>
      </c>
      <c r="G8" s="523" t="str">
        <f>Brazil!$D$18</f>
        <v>Rental</v>
      </c>
      <c r="H8" s="515" t="str">
        <f>Brazil!$D$11</f>
        <v>BR01</v>
      </c>
      <c r="I8" s="515" t="str">
        <f>Brazil!$D$19</f>
        <v>No</v>
      </c>
      <c r="J8" s="516" t="str">
        <f>Brazil!$D$13</f>
        <v xml:space="preserve">5th, 6th, 8th and 9th floor  </v>
      </c>
      <c r="K8" s="518">
        <f>Brazil!$D$24</f>
        <v>3256</v>
      </c>
      <c r="L8" s="515" t="str">
        <f>Brazil!$D$26</f>
        <v>BRL</v>
      </c>
      <c r="M8" s="519">
        <f>Brazil!$D$28</f>
        <v>577</v>
      </c>
      <c r="N8" s="524">
        <f>Brazil!$D$29</f>
        <v>0.09</v>
      </c>
      <c r="O8" s="515">
        <f>Brazil!$D$27</f>
        <v>0</v>
      </c>
      <c r="P8" s="522">
        <f>Brazil!$D$30</f>
        <v>114</v>
      </c>
      <c r="Q8" s="515">
        <f>Brazil!$D$46</f>
        <v>1300</v>
      </c>
      <c r="R8" s="515">
        <f>Brazil!$D$50</f>
        <v>752</v>
      </c>
      <c r="S8" s="517">
        <f t="shared" si="0"/>
        <v>0.57846153846153847</v>
      </c>
      <c r="T8" s="518">
        <f t="shared" si="1"/>
        <v>4.3297872340425529</v>
      </c>
      <c r="U8" s="519">
        <f t="shared" si="2"/>
        <v>2.5046153846153847</v>
      </c>
      <c r="V8" s="520">
        <f>Brazil!$D$33</f>
        <v>42614</v>
      </c>
      <c r="W8" s="520">
        <f>Brazil!$D$40</f>
        <v>46234</v>
      </c>
      <c r="X8" s="520">
        <f>Brazil!$D$34</f>
        <v>42582</v>
      </c>
      <c r="Y8" s="516" t="str">
        <f>Brazil!$D$42</f>
        <v>N/A</v>
      </c>
      <c r="Z8" s="515" t="str">
        <f>Brazil!$D$43</f>
        <v>No</v>
      </c>
      <c r="AA8" s="516" t="str">
        <f>Brazil!$D$44</f>
        <v>No</v>
      </c>
      <c r="AB8" s="516">
        <f>Brazil!$D$9</f>
        <v>0</v>
      </c>
      <c r="AC8" s="520">
        <f>Brazil!$D$2</f>
        <v>45961</v>
      </c>
    </row>
    <row r="9" spans="1:30" ht="28">
      <c r="A9" s="515" t="s">
        <v>205</v>
      </c>
      <c r="B9" s="516" t="str">
        <f>Brazil!$D$4</f>
        <v>BU Brazil</v>
      </c>
      <c r="C9" s="515" t="str">
        <f>Brazil!$E$17</f>
        <v>Brazil</v>
      </c>
      <c r="D9" s="515" t="str">
        <f>Brazil!$E$15</f>
        <v xml:space="preserve">São Bernardo do Campo </v>
      </c>
      <c r="E9" s="515" t="str">
        <f>Brazil!$E$16</f>
        <v>09751-020</v>
      </c>
      <c r="F9" s="516" t="str">
        <f>Brazil!$E$14</f>
        <v>Rua José Versolato, 101 (2nd contract)</v>
      </c>
      <c r="G9" s="523" t="str">
        <f>Brazil!$E$18</f>
        <v>Rental</v>
      </c>
      <c r="H9" s="515" t="str">
        <f>Brazil!$E$11</f>
        <v>BR01</v>
      </c>
      <c r="I9" s="515" t="str">
        <f>Brazil!$E$19</f>
        <v>No</v>
      </c>
      <c r="J9" s="516" t="str">
        <f>Brazil!$E$13</f>
        <v>50% of the 6th floor</v>
      </c>
      <c r="K9" s="518">
        <f>Brazil!$E$24</f>
        <v>711</v>
      </c>
      <c r="L9" s="515" t="str">
        <f>Brazil!$E$26</f>
        <v>BRL</v>
      </c>
      <c r="M9" s="519">
        <f>Brazil!$E$28</f>
        <v>600</v>
      </c>
      <c r="N9" s="524">
        <f>Brazil!$E$29</f>
        <v>0.09</v>
      </c>
      <c r="O9" s="515">
        <f>Brazil!$E$27</f>
        <v>0</v>
      </c>
      <c r="P9" s="522">
        <f>Brazil!$E$30</f>
        <v>21</v>
      </c>
      <c r="Q9" s="515">
        <f>Brazil!$E$46</f>
        <v>200</v>
      </c>
      <c r="R9" s="515">
        <f>Brazil!$E$50</f>
        <v>154</v>
      </c>
      <c r="S9" s="517">
        <f t="shared" si="0"/>
        <v>0.77</v>
      </c>
      <c r="T9" s="518">
        <f t="shared" si="1"/>
        <v>4.616883116883117</v>
      </c>
      <c r="U9" s="519">
        <f t="shared" si="2"/>
        <v>3.5550000000000002</v>
      </c>
      <c r="V9" s="520">
        <f>Brazil!$E$33</f>
        <v>44927</v>
      </c>
      <c r="W9" s="520">
        <f>Brazil!$E$40</f>
        <v>46387</v>
      </c>
      <c r="X9" s="520">
        <f>Brazil!$E$34</f>
        <v>46387</v>
      </c>
      <c r="Y9" s="516" t="str">
        <f>Brazil!$E$42</f>
        <v>N/A</v>
      </c>
      <c r="Z9" s="515" t="str">
        <f>Brazil!$E$43</f>
        <v>No</v>
      </c>
      <c r="AA9" s="516" t="str">
        <f>Brazil!$E$44</f>
        <v>No</v>
      </c>
      <c r="AB9" s="516">
        <f>Brazil!$E$9</f>
        <v>0</v>
      </c>
      <c r="AC9" s="515">
        <f>Brazil!$E$2</f>
        <v>0</v>
      </c>
    </row>
    <row r="10" spans="1:30" ht="14">
      <c r="A10" s="515" t="s">
        <v>2</v>
      </c>
      <c r="B10" s="516" t="str">
        <f>Bulgaria!$D$4</f>
        <v>BU Austria</v>
      </c>
      <c r="C10" s="515" t="str">
        <f>Bulgaria!$D$17</f>
        <v>Bulgaria</v>
      </c>
      <c r="D10" s="515" t="str">
        <f>Bulgaria!$D$15</f>
        <v>Sofia</v>
      </c>
      <c r="E10" s="515">
        <f>Bulgaria!$D$16</f>
        <v>1407</v>
      </c>
      <c r="F10" s="516" t="str">
        <f>Bulgaria!$D$14</f>
        <v>16 Srebarna Str.</v>
      </c>
      <c r="G10" s="523" t="str">
        <f>Bulgaria!$D$18</f>
        <v>Rental</v>
      </c>
      <c r="H10" s="515" t="str">
        <f>Bulgaria!$D$11</f>
        <v>BU01</v>
      </c>
      <c r="I10" s="515" t="str">
        <f>Bulgaria!$D$19</f>
        <v>No</v>
      </c>
      <c r="J10" s="516" t="str">
        <f>Bulgaria!$D$13</f>
        <v>part of a floor</v>
      </c>
      <c r="K10" s="518">
        <f>Bulgaria!$D$24</f>
        <v>45.77</v>
      </c>
      <c r="L10" s="523" t="str">
        <f>Bulgaria!$D$26</f>
        <v>EUR</v>
      </c>
      <c r="M10" s="519">
        <f>Bulgaria!$D$28</f>
        <v>156</v>
      </c>
      <c r="N10" s="525" t="str">
        <f>Bulgaria!$D$29</f>
        <v>CPI</v>
      </c>
      <c r="O10" s="523">
        <f>Bulgaria!$D$27</f>
        <v>0</v>
      </c>
      <c r="P10" s="522">
        <f>Bulgaria!$D$30</f>
        <v>53.6</v>
      </c>
      <c r="Q10" s="515">
        <f>Bulgaria!$D$46</f>
        <v>6</v>
      </c>
      <c r="R10" s="515">
        <f>Bulgaria!$D$50</f>
        <v>6</v>
      </c>
      <c r="S10" s="517">
        <f t="shared" si="0"/>
        <v>1</v>
      </c>
      <c r="T10" s="518">
        <f t="shared" si="1"/>
        <v>7.6283333333333339</v>
      </c>
      <c r="U10" s="519">
        <f t="shared" si="2"/>
        <v>7.6283333333333339</v>
      </c>
      <c r="V10" s="520">
        <f>Bulgaria!$D$33</f>
        <v>44378</v>
      </c>
      <c r="W10" s="520">
        <f>Bulgaria!$D$40</f>
        <v>48029</v>
      </c>
      <c r="X10" s="520">
        <f>Bulgaria!$D$34</f>
        <v>48029</v>
      </c>
      <c r="Y10" s="516" t="str">
        <f>Bulgaria!$D$42</f>
        <v>No</v>
      </c>
      <c r="Z10" s="515" t="str">
        <f>Bulgaria!$D$43</f>
        <v>No</v>
      </c>
      <c r="AA10" s="516" t="str">
        <f>Bulgaria!$D$44</f>
        <v>No</v>
      </c>
      <c r="AB10" s="516">
        <f>Bulgaria!$D$9</f>
        <v>0</v>
      </c>
      <c r="AC10" s="520">
        <f>Bulgaria!$D$2</f>
        <v>45919</v>
      </c>
    </row>
    <row r="11" spans="1:30" ht="70">
      <c r="A11" s="515" t="s">
        <v>205</v>
      </c>
      <c r="B11" s="516" t="str">
        <f>Canada!$D$4</f>
        <v>BU Canada</v>
      </c>
      <c r="C11" s="515" t="str">
        <f>Canada!$D$17</f>
        <v>Canada</v>
      </c>
      <c r="D11" s="515" t="str">
        <f>Canada!$D$15</f>
        <v>Cambridge</v>
      </c>
      <c r="E11" s="515" t="str">
        <f>Canada!$D$16</f>
        <v>N3C 4N6</v>
      </c>
      <c r="F11" s="516" t="str">
        <f>Canada!$D$14</f>
        <v>700 Jamieson Pkwy. Cambridge</v>
      </c>
      <c r="G11" s="523" t="str">
        <f>Canada!$E$18</f>
        <v>Sublease</v>
      </c>
      <c r="H11" s="515" t="str">
        <f>Canada!$E$11</f>
        <v>CA01</v>
      </c>
      <c r="I11" s="515">
        <f>Canada!$E$19</f>
        <v>0</v>
      </c>
      <c r="J11" s="516">
        <f>Canada!$E$13</f>
        <v>0</v>
      </c>
      <c r="K11" s="518">
        <f>Canada!$E$24</f>
        <v>3376.4666320000001</v>
      </c>
      <c r="L11" s="515" t="str">
        <f>Canada!$E$26</f>
        <v>CAD</v>
      </c>
      <c r="M11" s="519">
        <f>Canada!$E$28</f>
        <v>17</v>
      </c>
      <c r="N11" s="524" t="str">
        <f>Canada!$E$29</f>
        <v>Year 1-5 - $17.00
Year 6-10 - $18.00
Year 11-14 - $19.00</v>
      </c>
      <c r="O11" s="515">
        <f>Canada!$E$27</f>
        <v>0</v>
      </c>
      <c r="P11" s="522">
        <f>Canada!$E$30</f>
        <v>0</v>
      </c>
      <c r="Q11" s="515">
        <f>Canada!$E$46</f>
        <v>0</v>
      </c>
      <c r="R11" s="515">
        <f>Canada!$E$50</f>
        <v>0</v>
      </c>
      <c r="S11" s="517" t="e">
        <f t="shared" si="0"/>
        <v>#DIV/0!</v>
      </c>
      <c r="T11" s="518" t="e">
        <f t="shared" si="1"/>
        <v>#DIV/0!</v>
      </c>
      <c r="U11" s="519" t="e">
        <f t="shared" si="2"/>
        <v>#DIV/0!</v>
      </c>
      <c r="V11" s="520">
        <f>Canada!$E$33</f>
        <v>44075</v>
      </c>
      <c r="W11" s="520">
        <f>Canada!$E$40</f>
        <v>49033</v>
      </c>
      <c r="X11" s="520" t="str">
        <f>Canada!$E$34</f>
        <v>N/A</v>
      </c>
      <c r="Y11" s="516" t="str">
        <f>Canada!$E$42</f>
        <v>Sublet: Superior Propane Aug 01/20-Mar 30/34</v>
      </c>
      <c r="Z11" s="515">
        <f>Canada!$E$43</f>
        <v>0</v>
      </c>
      <c r="AA11" s="516">
        <f>Canada!$E$44</f>
        <v>0</v>
      </c>
      <c r="AB11" s="516">
        <f>Canada!$E$9</f>
        <v>0</v>
      </c>
      <c r="AC11" s="515">
        <f>Canada!$E$2</f>
        <v>0</v>
      </c>
    </row>
    <row r="12" spans="1:30" ht="84">
      <c r="A12" s="515" t="s">
        <v>205</v>
      </c>
      <c r="B12" s="516" t="str">
        <f>Canada!$D$4</f>
        <v>BU Canada</v>
      </c>
      <c r="C12" s="515" t="str">
        <f>Canada!$D$17</f>
        <v>Canada</v>
      </c>
      <c r="D12" s="515" t="str">
        <f>Canada!$D$15</f>
        <v>Cambridge</v>
      </c>
      <c r="E12" s="515" t="str">
        <f>Canada!$D$16</f>
        <v>N3C 4N6</v>
      </c>
      <c r="F12" s="516" t="str">
        <f>Canada!$D$14</f>
        <v>700 Jamieson Pkwy. Cambridge</v>
      </c>
      <c r="G12" s="523" t="str">
        <f>Canada!$F$18</f>
        <v>Sublease</v>
      </c>
      <c r="H12" s="515" t="str">
        <f>Canada!$F$11</f>
        <v>CA01</v>
      </c>
      <c r="I12" s="515">
        <f>Canada!$F$19</f>
        <v>0</v>
      </c>
      <c r="J12" s="516">
        <f>Canada!$F$13</f>
        <v>0</v>
      </c>
      <c r="K12" s="518">
        <f>Canada!$F$24</f>
        <v>2319.3233949999999</v>
      </c>
      <c r="L12" s="515" t="str">
        <f>Canada!$F$26</f>
        <v>CAD</v>
      </c>
      <c r="M12" s="519">
        <f>Canada!$F$28</f>
        <v>18.5</v>
      </c>
      <c r="N12" s="524" t="str">
        <f>Canada!$F$29</f>
        <v>Year 1-4 - $18.50
Year 5-8- $19.50
Year 9-11 - $20.50</v>
      </c>
      <c r="O12" s="515">
        <f>Canada!$F$27</f>
        <v>0</v>
      </c>
      <c r="P12" s="522">
        <f>Canada!$F$30</f>
        <v>0</v>
      </c>
      <c r="Q12" s="515">
        <f>Canada!$F$46</f>
        <v>0</v>
      </c>
      <c r="R12" s="515">
        <f>Canada!$F$50</f>
        <v>0</v>
      </c>
      <c r="S12" s="517" t="e">
        <f t="shared" si="0"/>
        <v>#DIV/0!</v>
      </c>
      <c r="T12" s="518" t="e">
        <f t="shared" si="1"/>
        <v>#DIV/0!</v>
      </c>
      <c r="U12" s="519" t="e">
        <f t="shared" si="2"/>
        <v>#DIV/0!</v>
      </c>
      <c r="V12" s="520">
        <f>Canada!$F$33</f>
        <v>45078</v>
      </c>
      <c r="W12" s="520">
        <f>Canada!$F$40</f>
        <v>49033</v>
      </c>
      <c r="X12" s="520" t="str">
        <f>Canada!$F$34</f>
        <v>N/A</v>
      </c>
      <c r="Y12" s="516" t="str">
        <f>Canada!$F$42</f>
        <v>2nd Sublet: Reeds Heritage Homes(no details at this time)</v>
      </c>
      <c r="Z12" s="515">
        <f>Canada!$F$43</f>
        <v>0</v>
      </c>
      <c r="AA12" s="516">
        <f>Canada!$F$44</f>
        <v>0</v>
      </c>
      <c r="AB12" s="516">
        <f>Canada!$F$9</f>
        <v>0</v>
      </c>
      <c r="AC12" s="515">
        <f>Canada!$F$2</f>
        <v>0</v>
      </c>
    </row>
    <row r="13" spans="1:30" ht="42">
      <c r="A13" s="515" t="s">
        <v>205</v>
      </c>
      <c r="B13" s="516" t="str">
        <f>Canada!$D$4</f>
        <v>BU Canada</v>
      </c>
      <c r="C13" s="515" t="str">
        <f>Canada!$D$17</f>
        <v>Canada</v>
      </c>
      <c r="D13" s="515" t="str">
        <f>Canada!$D$15</f>
        <v>Cambridge</v>
      </c>
      <c r="E13" s="515" t="str">
        <f>Canada!$D$16</f>
        <v>N3C 4N6</v>
      </c>
      <c r="F13" s="516" t="str">
        <f>Canada!$D$14</f>
        <v>700 Jamieson Pkwy. Cambridge</v>
      </c>
      <c r="G13" s="523" t="str">
        <f>Canada!$D$18</f>
        <v>Rental</v>
      </c>
      <c r="H13" s="515" t="str">
        <f>Canada!$D$11</f>
        <v>CA01</v>
      </c>
      <c r="I13" s="515" t="str">
        <f>Canada!$D$19</f>
        <v>No</v>
      </c>
      <c r="J13" s="516" t="str">
        <f>Canada!$D$13</f>
        <v>Single story unattached office dwelling</v>
      </c>
      <c r="K13" s="518">
        <f>Canada!$D$24</f>
        <v>10334.715526</v>
      </c>
      <c r="L13" s="515" t="str">
        <f>Canada!$D$26</f>
        <v>CAD</v>
      </c>
      <c r="M13" s="519">
        <f>Canada!$D$28</f>
        <v>17.5</v>
      </c>
      <c r="N13" s="524" t="str">
        <f>Canada!$D$29</f>
        <v>Year 1-5 - $17.50
Year 6-10 - $19.35
Year 11-15- $21.35</v>
      </c>
      <c r="O13" s="515">
        <f>Canada!$D$27</f>
        <v>0</v>
      </c>
      <c r="P13" s="522">
        <f>Canada!$D$30</f>
        <v>20.559077747758415</v>
      </c>
      <c r="Q13" s="515">
        <f>Canada!$D$46</f>
        <v>668</v>
      </c>
      <c r="R13" s="515">
        <f>Canada!$D$50</f>
        <v>420</v>
      </c>
      <c r="S13" s="517">
        <f t="shared" si="0"/>
        <v>0.62874251497005984</v>
      </c>
      <c r="T13" s="518">
        <f t="shared" si="1"/>
        <v>24.60646553809524</v>
      </c>
      <c r="U13" s="519">
        <f t="shared" si="2"/>
        <v>15.471131026946107</v>
      </c>
      <c r="V13" s="520">
        <f>Canada!$D$33</f>
        <v>43459</v>
      </c>
      <c r="W13" s="520">
        <f>Canada!$D$40</f>
        <v>49058</v>
      </c>
      <c r="X13" s="520">
        <f>Canada!$D$34</f>
        <v>49302</v>
      </c>
      <c r="Y13" s="516" t="str">
        <f>Canada!$D$42</f>
        <v>Yes</v>
      </c>
      <c r="Z13" s="515" t="str">
        <f>Canada!$D$43</f>
        <v>Yes</v>
      </c>
      <c r="AA13" s="516" t="str">
        <f>Canada!$D$44</f>
        <v>LEED Silver</v>
      </c>
      <c r="AB13" s="516">
        <f>Canada!$D$9</f>
        <v>0</v>
      </c>
      <c r="AC13" s="520">
        <f>Canada!$D$2</f>
        <v>45961</v>
      </c>
    </row>
    <row r="14" spans="1:30" ht="28">
      <c r="A14" s="515" t="s">
        <v>153</v>
      </c>
      <c r="B14" s="516" t="str">
        <f>China!$D$4</f>
        <v>BU China</v>
      </c>
      <c r="C14" s="515" t="str">
        <f>China!$D$17</f>
        <v>China</v>
      </c>
      <c r="D14" s="515" t="str">
        <f>China!$D$15</f>
        <v xml:space="preserve">Beijing </v>
      </c>
      <c r="E14" s="515">
        <f>China!$D$16</f>
        <v>100123</v>
      </c>
      <c r="F14" s="516" t="str">
        <f>China!$D$14</f>
        <v xml:space="preserve">Huitong Office Park, No.1 Yaojiayuan South Road,  Chaoyang </v>
      </c>
      <c r="G14" s="523" t="str">
        <f>China!$D$18</f>
        <v>Rental</v>
      </c>
      <c r="H14" s="515" t="str">
        <f>China!$D$11</f>
        <v>CN01</v>
      </c>
      <c r="I14" s="515" t="str">
        <f>China!$D$19</f>
        <v>No</v>
      </c>
      <c r="J14" s="516" t="str">
        <f>China!$D$13</f>
        <v>A Zone, Building 7#
Floor 3-5</v>
      </c>
      <c r="K14" s="518">
        <f>China!$D$24</f>
        <v>2845</v>
      </c>
      <c r="L14" s="515" t="str">
        <f>China!$D$26</f>
        <v>CNY</v>
      </c>
      <c r="M14" s="519">
        <f>China!$D$28</f>
        <v>1766.6</v>
      </c>
      <c r="N14" s="524">
        <f>China!$D$29</f>
        <v>0</v>
      </c>
      <c r="O14" s="515">
        <f>China!$D$27</f>
        <v>0</v>
      </c>
      <c r="P14" s="522">
        <f>China!$D$30</f>
        <v>837.86</v>
      </c>
      <c r="Q14" s="515">
        <f>China!$D$46</f>
        <v>319</v>
      </c>
      <c r="R14" s="515">
        <f>China!$D$50</f>
        <v>303</v>
      </c>
      <c r="S14" s="517">
        <f t="shared" si="0"/>
        <v>0.94984326018808773</v>
      </c>
      <c r="T14" s="518">
        <f t="shared" si="1"/>
        <v>9.3894389438943886</v>
      </c>
      <c r="U14" s="519">
        <f t="shared" si="2"/>
        <v>8.9184952978056433</v>
      </c>
      <c r="V14" s="520">
        <f>China!$D$33</f>
        <v>45301</v>
      </c>
      <c r="W14" s="520">
        <f>China!$D$40</f>
        <v>46396</v>
      </c>
      <c r="X14" s="520">
        <f>China!$D$34</f>
        <v>46031</v>
      </c>
      <c r="Y14" s="516" t="str">
        <f>China!$D$42</f>
        <v>-</v>
      </c>
      <c r="Z14" s="515" t="str">
        <f>China!$D$43</f>
        <v>N</v>
      </c>
      <c r="AA14" s="516" t="str">
        <f>China!$D$44</f>
        <v>No</v>
      </c>
      <c r="AB14" s="516">
        <f>China!$D$9</f>
        <v>0</v>
      </c>
      <c r="AC14" s="520">
        <f>China!$D$2</f>
        <v>0</v>
      </c>
    </row>
    <row r="15" spans="1:30" ht="28">
      <c r="A15" s="515" t="s">
        <v>153</v>
      </c>
      <c r="B15" s="516" t="str">
        <f>China!$D$4</f>
        <v>BU China</v>
      </c>
      <c r="C15" s="515" t="str">
        <f>China!$D$17</f>
        <v>China</v>
      </c>
      <c r="D15" s="515" t="str">
        <f>China!$E$15</f>
        <v>Chengdu</v>
      </c>
      <c r="E15" s="515">
        <f>China!$E$16</f>
        <v>610041</v>
      </c>
      <c r="F15" s="516" t="str">
        <f>China!$E$14</f>
        <v xml:space="preserve"> E zone, Tianfu Software Park,  Gaoxin District, Chengdu</v>
      </c>
      <c r="G15" s="523" t="str">
        <f>China!$E$18</f>
        <v>Rental</v>
      </c>
      <c r="H15" s="515" t="str">
        <f>China!$E$11</f>
        <v>CN02</v>
      </c>
      <c r="I15" s="515" t="str">
        <f>China!$E$19</f>
        <v>No</v>
      </c>
      <c r="J15" s="516" t="str">
        <f>China!$E$13</f>
        <v>9F, Tower  E2</v>
      </c>
      <c r="K15" s="518">
        <f>China!$E$24</f>
        <v>2197</v>
      </c>
      <c r="L15" s="515" t="str">
        <f>China!$E$26</f>
        <v>CNY</v>
      </c>
      <c r="M15" s="519">
        <f>China!$E$28</f>
        <v>840</v>
      </c>
      <c r="N15" s="524">
        <f>China!$E$29</f>
        <v>0</v>
      </c>
      <c r="O15" s="515">
        <f>China!$E$27</f>
        <v>0</v>
      </c>
      <c r="P15" s="522">
        <f>China!$E$30</f>
        <v>624.35320892130005</v>
      </c>
      <c r="Q15" s="515">
        <f>China!$E$46</f>
        <v>256</v>
      </c>
      <c r="R15" s="515">
        <f>China!$E$50</f>
        <v>398</v>
      </c>
      <c r="S15" s="517">
        <f t="shared" si="0"/>
        <v>1.5546875</v>
      </c>
      <c r="T15" s="518">
        <f t="shared" si="1"/>
        <v>5.5201005025125625</v>
      </c>
      <c r="U15" s="519">
        <f t="shared" si="2"/>
        <v>8.58203125</v>
      </c>
      <c r="V15" s="520">
        <f>China!$E$33</f>
        <v>45246</v>
      </c>
      <c r="W15" s="520">
        <f>China!$E$40</f>
        <v>46934</v>
      </c>
      <c r="X15" s="520">
        <f>China!$E$34</f>
        <v>46022</v>
      </c>
      <c r="Y15" s="516" t="str">
        <f>China!$E$42</f>
        <v>-</v>
      </c>
      <c r="Z15" s="515" t="str">
        <f>China!$E$43</f>
        <v xml:space="preserve">N </v>
      </c>
      <c r="AA15" s="516" t="str">
        <f>China!$E$44</f>
        <v>No</v>
      </c>
      <c r="AB15" s="516">
        <f>China!$E$9</f>
        <v>0</v>
      </c>
      <c r="AC15" s="520">
        <f>China!$E$2</f>
        <v>0</v>
      </c>
    </row>
    <row r="16" spans="1:30" ht="28">
      <c r="A16" s="515" t="s">
        <v>153</v>
      </c>
      <c r="B16" s="516" t="str">
        <f>China!$D$4</f>
        <v>BU China</v>
      </c>
      <c r="C16" s="515" t="str">
        <f>China!$F$17</f>
        <v>China</v>
      </c>
      <c r="D16" s="515" t="str">
        <f>China!$F$15</f>
        <v xml:space="preserve">Shanghai </v>
      </c>
      <c r="E16" s="515">
        <f>China!$F$16</f>
        <v>200120</v>
      </c>
      <c r="F16" s="516" t="str">
        <f>China!$F$14</f>
        <v>Shanghai Tower, No.501 Yincheng Zhong Road, Pudong District</v>
      </c>
      <c r="G16" s="523" t="str">
        <f>China!$F$18</f>
        <v>Rental</v>
      </c>
      <c r="H16" s="515" t="str">
        <f>China!$F$11</f>
        <v>CN03</v>
      </c>
      <c r="I16" s="515" t="str">
        <f>China!$F$19</f>
        <v>No</v>
      </c>
      <c r="J16" s="516" t="str">
        <f>China!$F$13</f>
        <v>Unit 1401</v>
      </c>
      <c r="K16" s="518">
        <f>China!$F$24</f>
        <v>550.16</v>
      </c>
      <c r="L16" s="523" t="str">
        <f>China!$F$26</f>
        <v>CNY</v>
      </c>
      <c r="M16" s="519">
        <f>China!$F$28</f>
        <v>3650.04</v>
      </c>
      <c r="N16" s="524">
        <f>China!$F$29</f>
        <v>0</v>
      </c>
      <c r="O16" s="523">
        <f>China!$F$27</f>
        <v>0</v>
      </c>
      <c r="P16" s="522">
        <f>China!$F$30</f>
        <v>1231.5327272727</v>
      </c>
      <c r="Q16" s="515">
        <f>China!$F$46</f>
        <v>37</v>
      </c>
      <c r="R16" s="515">
        <f>China!$F$50</f>
        <v>52</v>
      </c>
      <c r="S16" s="517">
        <f t="shared" si="0"/>
        <v>1.4054054054054055</v>
      </c>
      <c r="T16" s="518">
        <f t="shared" si="1"/>
        <v>10.58</v>
      </c>
      <c r="U16" s="519">
        <f t="shared" si="2"/>
        <v>14.869189189189189</v>
      </c>
      <c r="V16" s="520">
        <f>China!$F$33</f>
        <v>42975</v>
      </c>
      <c r="W16" s="520">
        <f>China!$F$40</f>
        <v>46644</v>
      </c>
      <c r="X16" s="520">
        <f>China!$F$34</f>
        <v>45940</v>
      </c>
      <c r="Y16" s="516" t="str">
        <f>China!$F$42</f>
        <v>-</v>
      </c>
      <c r="Z16" s="515" t="str">
        <f>China!$F$43</f>
        <v xml:space="preserve">N </v>
      </c>
      <c r="AA16" s="516" t="str">
        <f>China!$F$44</f>
        <v>No</v>
      </c>
      <c r="AB16" s="516">
        <f>China!$F$9</f>
        <v>0</v>
      </c>
      <c r="AC16" s="515">
        <f>China!$F$2</f>
        <v>0</v>
      </c>
    </row>
    <row r="17" spans="1:29" ht="14">
      <c r="A17" s="515" t="s">
        <v>205</v>
      </c>
      <c r="B17" s="516" t="str">
        <f>Colombia!$D$4</f>
        <v xml:space="preserve">BU Colombia </v>
      </c>
      <c r="C17" s="515" t="str">
        <f>Colombia!$D$17</f>
        <v xml:space="preserve">Colombia </v>
      </c>
      <c r="D17" s="515" t="str">
        <f>Colombia!$D$15</f>
        <v xml:space="preserve">Bogota </v>
      </c>
      <c r="E17" s="515">
        <f>Colombia!$D$16</f>
        <v>110110</v>
      </c>
      <c r="F17" s="516" t="str">
        <f>Colombia!$D$14</f>
        <v>72b Street # 6-44</v>
      </c>
      <c r="G17" s="523" t="str">
        <f>Colombia!$D$18</f>
        <v>Rental</v>
      </c>
      <c r="H17" s="515" t="str">
        <f>Colombia!$D$11</f>
        <v>CO01</v>
      </c>
      <c r="I17" s="515" t="str">
        <f>Colombia!$D$19</f>
        <v xml:space="preserve">Yes </v>
      </c>
      <c r="J17" s="516" t="str">
        <f>Colombia!$D$13</f>
        <v>Location from floor 2 to floor 4</v>
      </c>
      <c r="K17" s="518">
        <f>Colombia!$D$24</f>
        <v>863.93000000000006</v>
      </c>
      <c r="L17" s="515" t="str">
        <f>Colombia!$D$26</f>
        <v xml:space="preserve">COP </v>
      </c>
      <c r="M17" s="521">
        <f>Colombia!$D$28</f>
        <v>475787.52000000002</v>
      </c>
      <c r="N17" s="524" t="str">
        <f>Colombia!$D$29</f>
        <v>IPC (CPI)</v>
      </c>
      <c r="O17" s="515">
        <f>Colombia!$D$27</f>
        <v>0</v>
      </c>
      <c r="P17" s="522">
        <f>Colombia!$D$30</f>
        <v>266162.49348905578</v>
      </c>
      <c r="Q17" s="515">
        <f>Colombia!$D$46</f>
        <v>136</v>
      </c>
      <c r="R17" s="515">
        <f>Colombia!$D$50</f>
        <v>116</v>
      </c>
      <c r="S17" s="517">
        <f t="shared" si="0"/>
        <v>0.8529411764705882</v>
      </c>
      <c r="T17" s="518">
        <f t="shared" si="1"/>
        <v>7.4476724137931036</v>
      </c>
      <c r="U17" s="519">
        <f t="shared" si="2"/>
        <v>6.3524264705882354</v>
      </c>
      <c r="V17" s="520">
        <f>Colombia!$D$33</f>
        <v>44652</v>
      </c>
      <c r="W17" s="520">
        <f>Colombia!$D$40</f>
        <v>46477</v>
      </c>
      <c r="X17" s="520">
        <f>Colombia!$D$34</f>
        <v>46112</v>
      </c>
      <c r="Y17" s="516" t="str">
        <f>Colombia!$D$42</f>
        <v xml:space="preserve">No </v>
      </c>
      <c r="Z17" s="515" t="str">
        <f>Colombia!$D$43</f>
        <v>No</v>
      </c>
      <c r="AA17" s="516" t="str">
        <f>Colombia!$D$44</f>
        <v>No</v>
      </c>
      <c r="AB17" s="516">
        <f>Colombia!$D$9</f>
        <v>0</v>
      </c>
      <c r="AC17" s="520">
        <f>Colombia!$D$2</f>
        <v>45961</v>
      </c>
    </row>
    <row r="18" spans="1:29" ht="28">
      <c r="A18" s="515" t="s">
        <v>2</v>
      </c>
      <c r="B18" s="516" t="str">
        <f>CzechRepublic!$D$4</f>
        <v>BU Czech Republic</v>
      </c>
      <c r="C18" s="515" t="str">
        <f>CzechRepublic!$D$17</f>
        <v>Czech Republic</v>
      </c>
      <c r="D18" s="515" t="str">
        <f>CzechRepublic!$D$15</f>
        <v>Prague</v>
      </c>
      <c r="E18" s="515" t="str">
        <f>CzechRepublic!$D$16</f>
        <v>170 00</v>
      </c>
      <c r="F18" s="516" t="str">
        <f>CzechRepublic!$D$14</f>
        <v>Jankovcova 1596/14B</v>
      </c>
      <c r="G18" s="515" t="str">
        <f>CzechRepublic!$D$18</f>
        <v>Rental</v>
      </c>
      <c r="H18" s="515" t="str">
        <f>CzechRepublic!$D$11</f>
        <v>CZ01</v>
      </c>
      <c r="I18" s="515" t="str">
        <f>CzechRepublic!$D$19</f>
        <v>No</v>
      </c>
      <c r="J18" s="516" t="str">
        <f>CzechRepublic!$D$13</f>
        <v xml:space="preserve">2nd floor in new constructed bulding </v>
      </c>
      <c r="K18" s="515">
        <f>CzechRepublic!$D$24</f>
        <v>1293.19</v>
      </c>
      <c r="L18" s="515" t="str">
        <f>CzechRepublic!$D$26</f>
        <v>CZK/EUR</v>
      </c>
      <c r="M18" s="515">
        <f>CzechRepublic!$D$28</f>
        <v>144</v>
      </c>
      <c r="N18" s="516" t="str">
        <f>CzechRepublic!$D$29</f>
        <v>indexation only for the price per offices - for 2025 = 2,5%</v>
      </c>
      <c r="O18" s="515">
        <f>CzechRepublic!$D$27</f>
        <v>0</v>
      </c>
      <c r="P18" s="515">
        <f>CzechRepublic!$D$30</f>
        <v>90855.8</v>
      </c>
      <c r="Q18" s="515">
        <f>CzechRepublic!$D$46</f>
        <v>171</v>
      </c>
      <c r="R18" s="515">
        <f>CzechRepublic!$D$50</f>
        <v>126</v>
      </c>
      <c r="S18" s="517">
        <f t="shared" si="0"/>
        <v>0.73684210526315785</v>
      </c>
      <c r="T18" s="518">
        <f t="shared" si="1"/>
        <v>10.263412698412699</v>
      </c>
      <c r="U18" s="519">
        <f t="shared" si="2"/>
        <v>7.5625146198830411</v>
      </c>
      <c r="V18" s="520">
        <f>CzechRepublic!$D$33</f>
        <v>40210</v>
      </c>
      <c r="W18" s="520">
        <f>CzechRepublic!$D$40</f>
        <v>46599</v>
      </c>
      <c r="X18" s="520">
        <f>CzechRepublic!$D$34</f>
        <v>45900</v>
      </c>
      <c r="Y18" s="516" t="str">
        <f>CzechRepublic!$D$42</f>
        <v>No</v>
      </c>
      <c r="Z18" s="515" t="str">
        <f>CzechRepublic!$D$43</f>
        <v>No</v>
      </c>
      <c r="AA18" s="516" t="str">
        <f>CzechRepublic!$D$44</f>
        <v>No</v>
      </c>
      <c r="AB18" s="516">
        <f>CzechRepublic!$D$9</f>
        <v>0</v>
      </c>
      <c r="AC18" s="520">
        <f>CzechRepublic!$D$2</f>
        <v>45925</v>
      </c>
    </row>
    <row r="19" spans="1:29" ht="28">
      <c r="A19" s="515" t="s">
        <v>2</v>
      </c>
      <c r="B19" s="516" t="str">
        <f>CzechRepublic!$D$4</f>
        <v>BU Czech Republic</v>
      </c>
      <c r="C19" s="515" t="str">
        <f>CzechRepublic!$D$17</f>
        <v>Czech Republic</v>
      </c>
      <c r="D19" s="515" t="str">
        <f>CzechRepublic!$E$15</f>
        <v>Bratislava</v>
      </c>
      <c r="E19" s="515" t="str">
        <f>CzechRepublic!$E$16</f>
        <v>811 05</v>
      </c>
      <c r="F19" s="516" t="str">
        <f>CzechRepublic!$E$14</f>
        <v>Čajakova 18</v>
      </c>
      <c r="G19" s="515" t="str">
        <f>CzechRepublic!$E$18</f>
        <v>Rental</v>
      </c>
      <c r="H19" s="515" t="str">
        <f>CzechRepublic!$E$11</f>
        <v>CZ02</v>
      </c>
      <c r="I19" s="515" t="str">
        <f>CzechRepublic!$E$19</f>
        <v>No</v>
      </c>
      <c r="J19" s="516" t="str">
        <f>CzechRepublic!$E$13</f>
        <v>2nd floor old bulding, downtown of the city</v>
      </c>
      <c r="K19" s="515">
        <f>CzechRepublic!$E$24</f>
        <v>74</v>
      </c>
      <c r="L19" s="515" t="str">
        <f>CzechRepublic!$E$26</f>
        <v>EUR</v>
      </c>
      <c r="M19" s="515">
        <f>CzechRepublic!$E$28</f>
        <v>168</v>
      </c>
      <c r="N19" s="516" t="str">
        <f>CzechRepublic!$E$29</f>
        <v>no indexation</v>
      </c>
      <c r="O19" s="515">
        <f>CzechRepublic!$E$27</f>
        <v>0</v>
      </c>
      <c r="P19" s="515">
        <f>CzechRepublic!$E$30</f>
        <v>50.4</v>
      </c>
      <c r="Q19" s="515">
        <f>CzechRepublic!$E$46</f>
        <v>5</v>
      </c>
      <c r="R19" s="515">
        <f>CzechRepublic!$E$50</f>
        <v>6</v>
      </c>
      <c r="S19" s="517">
        <f t="shared" si="0"/>
        <v>1.2</v>
      </c>
      <c r="T19" s="518">
        <f t="shared" si="1"/>
        <v>12.333333333333334</v>
      </c>
      <c r="U19" s="519">
        <f t="shared" si="2"/>
        <v>14.8</v>
      </c>
      <c r="V19" s="520">
        <f>CzechRepublic!$E$33</f>
        <v>37669</v>
      </c>
      <c r="W19" s="515" t="str">
        <f>CzechRepublic!$E$40</f>
        <v>Indefinite</v>
      </c>
      <c r="X19" s="515" t="str">
        <f>CzechRepublic!$E$34</f>
        <v>3 months notice at any given time</v>
      </c>
      <c r="Y19" s="516" t="str">
        <f>CzechRepublic!$E$42</f>
        <v>No</v>
      </c>
      <c r="Z19" s="515" t="str">
        <f>CzechRepublic!$E$43</f>
        <v>No</v>
      </c>
      <c r="AA19" s="516" t="str">
        <f>CzechRepublic!$E$44</f>
        <v>No</v>
      </c>
      <c r="AB19" s="516">
        <f>CzechRepublic!$E$9</f>
        <v>0</v>
      </c>
      <c r="AC19" s="520">
        <f>CzechRepublic!$E$2</f>
        <v>0</v>
      </c>
    </row>
    <row r="20" spans="1:29" ht="42">
      <c r="A20" s="515" t="s">
        <v>234</v>
      </c>
      <c r="B20" s="516" t="str">
        <f>Egypt!$D$4</f>
        <v>Nextcare</v>
      </c>
      <c r="C20" s="515" t="str">
        <f>Egypt!$D$17</f>
        <v>Egypt</v>
      </c>
      <c r="D20" s="515" t="str">
        <f>Egypt!$D$15</f>
        <v>New Cairo</v>
      </c>
      <c r="E20" s="515" t="str">
        <f>Egypt!$D$16</f>
        <v>N/A</v>
      </c>
      <c r="F20" s="516" t="str">
        <f>Egypt!$D$14</f>
        <v xml:space="preserve">Emerald Twin Plaza, Plot No. (6), 1st settlement, New Cairo, Cairo, Egypt
</v>
      </c>
      <c r="G20" s="523" t="str">
        <f>Egypt!$D$18</f>
        <v>Rental</v>
      </c>
      <c r="H20" s="515" t="str">
        <f>Egypt!$D$11</f>
        <v>EG01</v>
      </c>
      <c r="I20" s="515" t="str">
        <f>Egypt!$D$19</f>
        <v>No</v>
      </c>
      <c r="J20" s="516" t="str">
        <f>Egypt!$D$13</f>
        <v xml:space="preserve">2nd floor
</v>
      </c>
      <c r="K20" s="518">
        <f>Egypt!$D$24</f>
        <v>5380</v>
      </c>
      <c r="L20" s="515" t="str">
        <f>Egypt!$D$26</f>
        <v>EGP</v>
      </c>
      <c r="M20" s="519">
        <f>Egypt!$D$28</f>
        <v>4898.88</v>
      </c>
      <c r="N20" s="524" t="str">
        <f>Egypt!$D$29</f>
        <v>8% annual</v>
      </c>
      <c r="O20" s="519">
        <f>Egypt!$D$27</f>
        <v>26355974.400000002</v>
      </c>
      <c r="P20" s="522">
        <f>Egypt!$D$30</f>
        <v>1554.8203717472118</v>
      </c>
      <c r="Q20" s="515">
        <f>Egypt!$D$46</f>
        <v>1251</v>
      </c>
      <c r="R20" s="515">
        <f>Egypt!$D$50</f>
        <v>769</v>
      </c>
      <c r="S20" s="517">
        <f t="shared" si="0"/>
        <v>0.61470823341326941</v>
      </c>
      <c r="T20" s="518">
        <f t="shared" si="1"/>
        <v>6.9960988296488944</v>
      </c>
      <c r="U20" s="519">
        <f t="shared" si="2"/>
        <v>4.3005595523581137</v>
      </c>
      <c r="V20" s="520">
        <f>Egypt!$D$33</f>
        <v>45078</v>
      </c>
      <c r="W20" s="520">
        <f>Egypt!$D$40</f>
        <v>48365</v>
      </c>
      <c r="X20" s="520">
        <f>Egypt!$D$34</f>
        <v>48365</v>
      </c>
      <c r="Y20" s="516" t="str">
        <f>Egypt!$D$42</f>
        <v>No</v>
      </c>
      <c r="Z20" s="515" t="str">
        <f>Egypt!$D$43</f>
        <v>N/A</v>
      </c>
      <c r="AA20" s="516" t="str">
        <f>Egypt!$D$44</f>
        <v>No</v>
      </c>
      <c r="AB20" s="516" t="str">
        <f>Egypt!$D$9</f>
        <v>Ismail Abdelfatah /Amal Evram</v>
      </c>
      <c r="AC20" s="520">
        <f>Egypt!$D$2</f>
        <v>46042</v>
      </c>
    </row>
    <row r="21" spans="1:29" ht="42">
      <c r="A21" s="515" t="s">
        <v>234</v>
      </c>
      <c r="B21" s="516" t="str">
        <f>Egypt!$D$4</f>
        <v>Nextcare</v>
      </c>
      <c r="C21" s="515" t="str">
        <f>Egypt!$D$17</f>
        <v>Egypt</v>
      </c>
      <c r="D21" s="515" t="str">
        <f>Egypt!$E$15</f>
        <v>New Cairo</v>
      </c>
      <c r="E21" s="515" t="str">
        <f>Egypt!$E$16</f>
        <v>N/A</v>
      </c>
      <c r="F21" s="516" t="str">
        <f>Egypt!$E$14</f>
        <v xml:space="preserve">Emerald Twin Plaza, Plot No. (6), 1st settlement, New Cairo, Cairo, Egypt
</v>
      </c>
      <c r="G21" s="523" t="str">
        <f>Egypt!$E$18</f>
        <v>Rental</v>
      </c>
      <c r="H21" s="515" t="str">
        <f>Egypt!$E$11</f>
        <v>EG01</v>
      </c>
      <c r="I21" s="515" t="str">
        <f>Egypt!$E$19</f>
        <v>No</v>
      </c>
      <c r="J21" s="516" t="str">
        <f>Egypt!$E$13</f>
        <v>M1</v>
      </c>
      <c r="K21" s="518">
        <f>Egypt!$E$24</f>
        <v>130</v>
      </c>
      <c r="L21" s="515" t="str">
        <f>Egypt!$E$26</f>
        <v>EGP</v>
      </c>
      <c r="M21" s="519">
        <f>Egypt!$E$28</f>
        <v>9000</v>
      </c>
      <c r="N21" s="524" t="str">
        <f>Egypt!$E$29</f>
        <v>NA</v>
      </c>
      <c r="O21" s="519">
        <f>Egypt!$E$27</f>
        <v>1170000</v>
      </c>
      <c r="P21" s="522">
        <f>Egypt!$E$30</f>
        <v>0</v>
      </c>
      <c r="Q21" s="515">
        <f>Egypt!$E$46</f>
        <v>0</v>
      </c>
      <c r="R21" s="515">
        <f>Egypt!$E$50</f>
        <v>0</v>
      </c>
      <c r="S21" s="517" t="e">
        <f t="shared" si="0"/>
        <v>#DIV/0!</v>
      </c>
      <c r="T21" s="518" t="e">
        <f t="shared" si="1"/>
        <v>#DIV/0!</v>
      </c>
      <c r="U21" s="519" t="e">
        <f t="shared" si="2"/>
        <v>#DIV/0!</v>
      </c>
      <c r="V21" s="520">
        <f>Egypt!$E$33</f>
        <v>45261</v>
      </c>
      <c r="W21" s="520">
        <f>Egypt!$E$40</f>
        <v>46356</v>
      </c>
      <c r="X21" s="520">
        <f>Egypt!$E$34</f>
        <v>46356</v>
      </c>
      <c r="Y21" s="516" t="str">
        <f>Egypt!$E$42</f>
        <v xml:space="preserve">No </v>
      </c>
      <c r="Z21" s="515" t="str">
        <f>Egypt!$E$43</f>
        <v>NO</v>
      </c>
      <c r="AA21" s="516" t="str">
        <f>Egypt!$E$44</f>
        <v>NO</v>
      </c>
      <c r="AB21" s="516" t="str">
        <f>Egypt!$E$9</f>
        <v>Ismail Abdelfatah /Amal Evram</v>
      </c>
      <c r="AC21" s="515">
        <f>Egypt!$E$2</f>
        <v>0</v>
      </c>
    </row>
    <row r="22" spans="1:29" ht="28">
      <c r="A22" s="515" t="s">
        <v>234</v>
      </c>
      <c r="B22" s="516" t="str">
        <f>Egypt!$D$4</f>
        <v>Nextcare</v>
      </c>
      <c r="C22" s="515" t="str">
        <f>Egypt!$F$17</f>
        <v>Egypt</v>
      </c>
      <c r="D22" s="515" t="str">
        <f>Egypt!$F$15</f>
        <v xml:space="preserve">Mokattem city </v>
      </c>
      <c r="E22" s="515" t="str">
        <f>Egypt!$F$16</f>
        <v>N/A</v>
      </c>
      <c r="F22" s="516" t="str">
        <f>Egypt!$F$14</f>
        <v>Street 9, Plot no. 8230, Mokattam city, Cairo</v>
      </c>
      <c r="G22" s="523" t="str">
        <f>Egypt!$F$18</f>
        <v>Rental</v>
      </c>
      <c r="H22" s="515" t="str">
        <f>Egypt!$F$11</f>
        <v>EG02</v>
      </c>
      <c r="I22" s="515" t="str">
        <f>Egypt!$F$19</f>
        <v>No</v>
      </c>
      <c r="J22" s="516" t="str">
        <f>Egypt!$F$13</f>
        <v xml:space="preserve">ground floor </v>
      </c>
      <c r="K22" s="518">
        <f>Egypt!$F$24</f>
        <v>37.159999999999997</v>
      </c>
      <c r="L22" s="523" t="str">
        <f>Egypt!$F$26</f>
        <v>EGP</v>
      </c>
      <c r="M22" s="519">
        <f>Egypt!$F$28</f>
        <v>8073.1969860064592</v>
      </c>
      <c r="N22" s="524" t="str">
        <f>Egypt!$F$29</f>
        <v>10% Annual</v>
      </c>
      <c r="O22" s="523">
        <f>Egypt!$F$27</f>
        <v>300000</v>
      </c>
      <c r="P22" s="522">
        <f>Egypt!$F$30</f>
        <v>0</v>
      </c>
      <c r="Q22" s="515">
        <f>Egypt!$F$46</f>
        <v>0</v>
      </c>
      <c r="R22" s="515">
        <f>Egypt!$F$50</f>
        <v>0</v>
      </c>
      <c r="S22" s="517" t="e">
        <f t="shared" si="0"/>
        <v>#DIV/0!</v>
      </c>
      <c r="T22" s="518" t="e">
        <f t="shared" si="1"/>
        <v>#DIV/0!</v>
      </c>
      <c r="U22" s="519" t="e">
        <f t="shared" si="2"/>
        <v>#DIV/0!</v>
      </c>
      <c r="V22" s="520">
        <f>Egypt!$F$33</f>
        <v>44501</v>
      </c>
      <c r="W22" s="520">
        <f>Egypt!$F$40</f>
        <v>46325</v>
      </c>
      <c r="X22" s="520">
        <f>Egypt!$F$34</f>
        <v>46325</v>
      </c>
      <c r="Y22" s="516" t="str">
        <f>Egypt!$F$42</f>
        <v>NO</v>
      </c>
      <c r="Z22" s="515" t="str">
        <f>Egypt!$F$43</f>
        <v>NO</v>
      </c>
      <c r="AA22" s="516" t="str">
        <f>Egypt!$F$44</f>
        <v>NO</v>
      </c>
      <c r="AB22" s="516" t="str">
        <f>Egypt!$F$9</f>
        <v>Ismail Abdelfatah /Amal Evram</v>
      </c>
      <c r="AC22" s="515">
        <f>Egypt!$F$2</f>
        <v>0</v>
      </c>
    </row>
    <row r="23" spans="1:29" ht="42">
      <c r="A23" s="515" t="s">
        <v>2</v>
      </c>
      <c r="B23" s="516" t="str">
        <f>UK!$F$4</f>
        <v>BU United Kingdom</v>
      </c>
      <c r="C23" s="515" t="str">
        <f>UK!$F$17</f>
        <v>England</v>
      </c>
      <c r="D23" s="515" t="str">
        <f>UK!$F$15</f>
        <v>London</v>
      </c>
      <c r="E23" s="515" t="str">
        <f>UK!$F$16</f>
        <v>EC2</v>
      </c>
      <c r="F23" s="516" t="str">
        <f>UK!$F$14</f>
        <v>15 Bishopsgate, London, EC2</v>
      </c>
      <c r="G23" s="523" t="str">
        <f>UK!$F$18</f>
        <v>Sublease</v>
      </c>
      <c r="H23" s="515">
        <f>UK!$F$11</f>
        <v>0</v>
      </c>
      <c r="I23" s="515" t="str">
        <f>UK!$F$19</f>
        <v>Y</v>
      </c>
      <c r="J23" s="516" t="str">
        <f>UK!$F$13</f>
        <v>7 desks - hotdesking for sales and pricing</v>
      </c>
      <c r="K23" s="518" t="str">
        <f>UK!$F$24</f>
        <v>7 desks</v>
      </c>
      <c r="L23" s="523" t="str">
        <f>UK!$F$26</f>
        <v>Stg</v>
      </c>
      <c r="M23" s="519" t="str">
        <f>UK!$F$28</f>
        <v>140k approx</v>
      </c>
      <c r="N23" s="524" t="str">
        <f>UK!$F$29</f>
        <v>Advised by Az Mgt Serv annaully</v>
      </c>
      <c r="O23" s="523" t="str">
        <f>UK!$F$27</f>
        <v>20k per desk p/a. Final figures to be advised</v>
      </c>
      <c r="P23" s="522" t="str">
        <f>UK!$F$30</f>
        <v>Included in cost per desk</v>
      </c>
      <c r="Q23" s="515" t="str">
        <f>UK!$F$46</f>
        <v>27 currently</v>
      </c>
      <c r="R23" s="515">
        <f>UK!$F$50</f>
        <v>0</v>
      </c>
      <c r="S23" s="517" t="e">
        <f t="shared" si="0"/>
        <v>#VALUE!</v>
      </c>
      <c r="T23" s="518" t="e">
        <f t="shared" si="1"/>
        <v>#VALUE!</v>
      </c>
      <c r="U23" s="519" t="e">
        <f t="shared" si="2"/>
        <v>#VALUE!</v>
      </c>
      <c r="V23" s="520" t="str">
        <f>UK!$F$33</f>
        <v>Nov 25 approx</v>
      </c>
      <c r="W23" s="520" t="str">
        <f>UK!$F$40</f>
        <v>1 year approval</v>
      </c>
      <c r="X23" s="520" t="str">
        <f>UK!$F$34</f>
        <v>We have 1 year rolling approval</v>
      </c>
      <c r="Y23" s="516" t="str">
        <f>UK!$F$42</f>
        <v>Once signed it will be provided</v>
      </c>
      <c r="Z23" s="515" t="str">
        <f>UK!$F$43</f>
        <v xml:space="preserve">Yes </v>
      </c>
      <c r="AA23" s="516" t="str">
        <f>UK!$F$44</f>
        <v>Unknown</v>
      </c>
      <c r="AB23" s="516" t="str">
        <f>UK!$F$9</f>
        <v>International Health</v>
      </c>
      <c r="AC23" s="515">
        <f>UK!$F$2</f>
        <v>0</v>
      </c>
    </row>
    <row r="24" spans="1:29" ht="14">
      <c r="A24" s="515" t="s">
        <v>2</v>
      </c>
      <c r="B24" s="516" t="str">
        <f>France!$D$4</f>
        <v>BU France</v>
      </c>
      <c r="C24" s="515" t="str">
        <f>France!$G$17</f>
        <v>France</v>
      </c>
      <c r="D24" s="515" t="str">
        <f>France!$G$15</f>
        <v>Chatillon</v>
      </c>
      <c r="E24" s="515">
        <f>France!$G$16</f>
        <v>92320</v>
      </c>
      <c r="F24" s="516" t="str">
        <f>France!$G$14</f>
        <v>79-81 Rue Pierre Semard</v>
      </c>
      <c r="G24" s="523" t="str">
        <f>France!$G$18</f>
        <v>Rental</v>
      </c>
      <c r="H24" s="515" t="str">
        <f>France!$G$11</f>
        <v>FR05</v>
      </c>
      <c r="I24" s="515" t="str">
        <f>France!$G$19</f>
        <v>No</v>
      </c>
      <c r="J24" s="516" t="str">
        <f>France!$G$13</f>
        <v>Ground, 1st and 2nd Floor</v>
      </c>
      <c r="K24" s="518">
        <f>France!$G$24</f>
        <v>1269</v>
      </c>
      <c r="L24" s="523" t="str">
        <f>France!$G$26</f>
        <v>EUR</v>
      </c>
      <c r="M24" s="519">
        <f>France!$G$28</f>
        <v>308.12</v>
      </c>
      <c r="N24" s="524" t="str">
        <f>France!$G$29</f>
        <v xml:space="preserve">yearly ILAT </v>
      </c>
      <c r="O24" s="523">
        <f>France!$G$27</f>
        <v>0</v>
      </c>
      <c r="P24" s="522">
        <f>France!$G$30</f>
        <v>195000</v>
      </c>
      <c r="Q24" s="515">
        <f>France!$G$46</f>
        <v>99</v>
      </c>
      <c r="R24" s="515">
        <f>France!$G$50</f>
        <v>117</v>
      </c>
      <c r="S24" s="517">
        <f t="shared" si="0"/>
        <v>1.1818181818181819</v>
      </c>
      <c r="T24" s="518">
        <f t="shared" si="1"/>
        <v>10.846153846153847</v>
      </c>
      <c r="U24" s="519">
        <f t="shared" si="2"/>
        <v>12.818181818181818</v>
      </c>
      <c r="V24" s="520">
        <f>France!$G$33</f>
        <v>43009</v>
      </c>
      <c r="W24" s="520">
        <f>France!$G$40</f>
        <v>46295</v>
      </c>
      <c r="X24" s="520">
        <f>France!$G$34</f>
        <v>46295</v>
      </c>
      <c r="Y24" s="516" t="str">
        <f>France!$G$42</f>
        <v>No</v>
      </c>
      <c r="Z24" s="515" t="str">
        <f>France!$G$43</f>
        <v>No</v>
      </c>
      <c r="AA24" s="516" t="str">
        <f>France!$G$44</f>
        <v>No</v>
      </c>
      <c r="AB24" s="516">
        <f>France!$G$9</f>
        <v>0</v>
      </c>
      <c r="AC24" s="515">
        <f>France!$G$2</f>
        <v>0</v>
      </c>
    </row>
    <row r="25" spans="1:29" ht="28">
      <c r="A25" s="515" t="s">
        <v>2</v>
      </c>
      <c r="B25" s="516" t="str">
        <f>France!$D$4</f>
        <v>BU France</v>
      </c>
      <c r="C25" s="515" t="str">
        <f>France!$F$17</f>
        <v>France</v>
      </c>
      <c r="D25" s="515" t="str">
        <f>France!$F$15</f>
        <v>Saint Ouen</v>
      </c>
      <c r="E25" s="515">
        <f>France!$F$16</f>
        <v>93400</v>
      </c>
      <c r="F25" s="516" t="str">
        <f>France!$F$14</f>
        <v xml:space="preserve">151 Boulevard Victor Hugo
</v>
      </c>
      <c r="G25" s="523" t="str">
        <f>France!$F$18</f>
        <v>Rental</v>
      </c>
      <c r="H25" s="515" t="str">
        <f>France!$F$11</f>
        <v>FR03</v>
      </c>
      <c r="I25" s="515" t="str">
        <f>France!$F$19</f>
        <v>No</v>
      </c>
      <c r="J25" s="516" t="str">
        <f>France!$F$13</f>
        <v>3rd floor</v>
      </c>
      <c r="K25" s="518">
        <f>France!$F$24</f>
        <v>2127</v>
      </c>
      <c r="L25" s="523" t="str">
        <f>France!$F$26</f>
        <v>EUR</v>
      </c>
      <c r="M25" s="519">
        <f>France!$F$28</f>
        <v>368.45980253878702</v>
      </c>
      <c r="N25" s="524" t="str">
        <f>France!$F$29</f>
        <v>ILAT</v>
      </c>
      <c r="O25" s="523">
        <f>France!$F$27</f>
        <v>0</v>
      </c>
      <c r="P25" s="522">
        <f>France!$F$30</f>
        <v>235.07287259050307</v>
      </c>
      <c r="Q25" s="515">
        <f>France!$F$46</f>
        <v>123</v>
      </c>
      <c r="R25" s="515">
        <f>France!$F$50</f>
        <v>136</v>
      </c>
      <c r="S25" s="517">
        <f t="shared" si="0"/>
        <v>1.1056910569105691</v>
      </c>
      <c r="T25" s="518">
        <f t="shared" si="1"/>
        <v>15.639705882352942</v>
      </c>
      <c r="U25" s="519">
        <f t="shared" si="2"/>
        <v>17.292682926829269</v>
      </c>
      <c r="V25" s="520">
        <f>France!$F$33</f>
        <v>45078</v>
      </c>
      <c r="W25" s="520">
        <f>France!$F$40</f>
        <v>46356</v>
      </c>
      <c r="X25" s="520">
        <f>France!$F$34</f>
        <v>46173</v>
      </c>
      <c r="Y25" s="516" t="str">
        <f>France!$F$42</f>
        <v>Yes</v>
      </c>
      <c r="Z25" s="515" t="str">
        <f>France!$F$43</f>
        <v>Yes</v>
      </c>
      <c r="AA25" s="516" t="str">
        <f>France!$F$44</f>
        <v>HQE exploitation</v>
      </c>
      <c r="AB25" s="516">
        <f>France!$F$9</f>
        <v>0</v>
      </c>
      <c r="AC25" s="515">
        <f>France!$F$2</f>
        <v>0</v>
      </c>
    </row>
    <row r="26" spans="1:29" ht="14">
      <c r="A26" s="515" t="s">
        <v>2</v>
      </c>
      <c r="B26" s="516" t="str">
        <f>France!$D$4</f>
        <v>BU France</v>
      </c>
      <c r="C26" s="515" t="str">
        <f>France!$H$17</f>
        <v>France</v>
      </c>
      <c r="D26" s="515" t="str">
        <f>France!$H$15</f>
        <v>Armentières</v>
      </c>
      <c r="E26" s="515">
        <f>France!$H$16</f>
        <v>59280</v>
      </c>
      <c r="F26" s="516" t="str">
        <f>France!$H$14</f>
        <v>85 Quai de Beauvais</v>
      </c>
      <c r="G26" s="523" t="str">
        <f>France!$H$18</f>
        <v>Rental</v>
      </c>
      <c r="H26" s="515" t="str">
        <f>France!$H$11</f>
        <v>FR06</v>
      </c>
      <c r="I26" s="515" t="str">
        <f>France!$H$19</f>
        <v>No</v>
      </c>
      <c r="J26" s="516" t="str">
        <f>France!$H$13</f>
        <v>Whole Building</v>
      </c>
      <c r="K26" s="518">
        <f>France!$H$24</f>
        <v>235</v>
      </c>
      <c r="L26" s="523" t="str">
        <f>France!$H$26</f>
        <v>EUR</v>
      </c>
      <c r="M26" s="519">
        <f>France!$H$28</f>
        <v>129.31</v>
      </c>
      <c r="N26" s="524" t="str">
        <f>France!$H$29</f>
        <v>yearly ILC</v>
      </c>
      <c r="O26" s="523">
        <f>France!$H$27</f>
        <v>0</v>
      </c>
      <c r="P26" s="522">
        <f>France!$H$30</f>
        <v>50000</v>
      </c>
      <c r="Q26" s="515">
        <f>France!$H$46</f>
        <v>13</v>
      </c>
      <c r="R26" s="515">
        <f>France!$H$50</f>
        <v>27</v>
      </c>
      <c r="S26" s="517">
        <f t="shared" si="0"/>
        <v>2.0769230769230771</v>
      </c>
      <c r="T26" s="518">
        <f t="shared" si="1"/>
        <v>8.7037037037037042</v>
      </c>
      <c r="U26" s="519">
        <f t="shared" si="2"/>
        <v>18.076923076923077</v>
      </c>
      <c r="V26" s="520">
        <f>France!$H$33</f>
        <v>43739</v>
      </c>
      <c r="W26" s="520">
        <f>France!$H$40</f>
        <v>47026</v>
      </c>
      <c r="X26" s="520">
        <f>France!$H$34</f>
        <v>45930</v>
      </c>
      <c r="Y26" s="516" t="str">
        <f>France!$H$42</f>
        <v>No</v>
      </c>
      <c r="Z26" s="515" t="str">
        <f>France!$H$43</f>
        <v>No</v>
      </c>
      <c r="AA26" s="516" t="str">
        <f>France!$H$44</f>
        <v>No</v>
      </c>
      <c r="AB26" s="516">
        <f>France!$H$9</f>
        <v>0</v>
      </c>
      <c r="AC26" s="515">
        <f>France!$H$2</f>
        <v>0</v>
      </c>
    </row>
    <row r="27" spans="1:29" ht="14">
      <c r="A27" s="515" t="s">
        <v>2</v>
      </c>
      <c r="B27" s="516" t="str">
        <f>France!$D$4</f>
        <v>BU France</v>
      </c>
      <c r="C27" s="515" t="str">
        <f>France!$D$17</f>
        <v>France</v>
      </c>
      <c r="D27" s="515" t="str">
        <f>France!$E$15</f>
        <v>Le Mans</v>
      </c>
      <c r="E27" s="515">
        <f>France!$E$16</f>
        <v>72000</v>
      </c>
      <c r="F27" s="516" t="str">
        <f>France!$E$14</f>
        <v>Chemin aux bœuf &amp; les Hunaudières</v>
      </c>
      <c r="G27" s="523" t="str">
        <f>France!$E$18</f>
        <v>Rental</v>
      </c>
      <c r="H27" s="515" t="str">
        <f>France!$E$11</f>
        <v>FR02</v>
      </c>
      <c r="I27" s="515" t="str">
        <f>France!$E$19</f>
        <v>No</v>
      </c>
      <c r="J27" s="516" t="str">
        <f>France!$E$13</f>
        <v xml:space="preserve">Group of 2 buildings </v>
      </c>
      <c r="K27" s="518">
        <f>France!$E$24</f>
        <v>4403</v>
      </c>
      <c r="L27" s="515" t="str">
        <f>France!$E$26</f>
        <v>EUR</v>
      </c>
      <c r="M27" s="519">
        <f>France!$E$28</f>
        <v>127.46</v>
      </c>
      <c r="N27" s="524" t="str">
        <f>France!$E$29</f>
        <v>ILAT indice</v>
      </c>
      <c r="O27" s="519">
        <f>France!$E$27</f>
        <v>0</v>
      </c>
      <c r="P27" s="522">
        <f>France!$E$30</f>
        <v>78.12854871678401</v>
      </c>
      <c r="Q27" s="515">
        <f>France!$E$46</f>
        <v>602</v>
      </c>
      <c r="R27" s="515">
        <f>France!$E$50</f>
        <v>430</v>
      </c>
      <c r="S27" s="517">
        <f t="shared" si="0"/>
        <v>0.7142857142857143</v>
      </c>
      <c r="T27" s="518">
        <f t="shared" si="1"/>
        <v>10.23953488372093</v>
      </c>
      <c r="U27" s="519">
        <f t="shared" si="2"/>
        <v>7.3139534883720927</v>
      </c>
      <c r="V27" s="520">
        <f>France!$E$33</f>
        <v>43891</v>
      </c>
      <c r="W27" s="520">
        <f>France!$E$40</f>
        <v>47177</v>
      </c>
      <c r="X27" s="520">
        <f>France!$E$34</f>
        <v>46082</v>
      </c>
      <c r="Y27" s="516" t="str">
        <f>France!$E$42</f>
        <v>No</v>
      </c>
      <c r="Z27" s="515" t="str">
        <f>France!$E$43</f>
        <v>NO</v>
      </c>
      <c r="AA27" s="516" t="str">
        <f>France!$E$44</f>
        <v>No</v>
      </c>
      <c r="AB27" s="516">
        <f>France!$E$9</f>
        <v>0</v>
      </c>
      <c r="AC27" s="515">
        <f>France!$E$2</f>
        <v>0</v>
      </c>
    </row>
    <row r="28" spans="1:29" ht="56">
      <c r="A28" s="515" t="s">
        <v>2</v>
      </c>
      <c r="B28" s="516" t="str">
        <f>France!$D$4</f>
        <v>BU France</v>
      </c>
      <c r="C28" s="515" t="str">
        <f>France!$D$17</f>
        <v>France</v>
      </c>
      <c r="D28" s="515" t="str">
        <f>France!$D$15</f>
        <v>Saint Ouen</v>
      </c>
      <c r="E28" s="515">
        <f>France!$D$16</f>
        <v>93400</v>
      </c>
      <c r="F28" s="516" t="str">
        <f>France!$D$14</f>
        <v xml:space="preserve">7 rue Dora Maar </v>
      </c>
      <c r="G28" s="523" t="str">
        <f>France!$D$18</f>
        <v>Rental</v>
      </c>
      <c r="H28" s="515" t="str">
        <f>France!$D$11</f>
        <v>FR01</v>
      </c>
      <c r="I28" s="515" t="str">
        <f>France!$D$19</f>
        <v>No</v>
      </c>
      <c r="J28" s="516" t="str">
        <f>France!$D$13</f>
        <v>Group of 2 buildings composed of 
all ground floor
part of 1st floor 
2nd, 3rd, 4th, 5th,7th floors</v>
      </c>
      <c r="K28" s="518">
        <f>France!$D$24</f>
        <v>12407</v>
      </c>
      <c r="L28" s="515" t="str">
        <f>France!$D$26</f>
        <v>EUR</v>
      </c>
      <c r="M28" s="519">
        <f>France!$D$28</f>
        <v>353.15</v>
      </c>
      <c r="N28" s="524" t="str">
        <f>France!$D$29</f>
        <v>ILAT Indice</v>
      </c>
      <c r="O28" s="519">
        <f>France!$D$27</f>
        <v>0</v>
      </c>
      <c r="P28" s="522">
        <f>France!$D$30</f>
        <v>258.64431369388251</v>
      </c>
      <c r="Q28" s="515">
        <f>France!$D$46</f>
        <v>1193</v>
      </c>
      <c r="R28" s="518">
        <f>France!$D$50</f>
        <v>1020</v>
      </c>
      <c r="S28" s="517">
        <f t="shared" si="0"/>
        <v>0.85498742665549032</v>
      </c>
      <c r="T28" s="518">
        <f t="shared" si="1"/>
        <v>12.163725490196079</v>
      </c>
      <c r="U28" s="519">
        <f t="shared" si="2"/>
        <v>10.399832355406538</v>
      </c>
      <c r="V28" s="520">
        <f>France!$D$33</f>
        <v>42125</v>
      </c>
      <c r="W28" s="520">
        <f>France!$D$40</f>
        <v>49064</v>
      </c>
      <c r="X28" s="520">
        <f>France!$D$34</f>
        <v>47968</v>
      </c>
      <c r="Y28" s="516" t="str">
        <f>France!$D$42</f>
        <v>Yes</v>
      </c>
      <c r="Z28" s="515" t="str">
        <f>France!$D$43</f>
        <v>NO</v>
      </c>
      <c r="AA28" s="516" t="str">
        <f>France!$D$44</f>
        <v>No</v>
      </c>
      <c r="AB28" s="516">
        <f>France!$D$9</f>
        <v>0</v>
      </c>
      <c r="AC28" s="520">
        <f>France!$D$2</f>
        <v>45979</v>
      </c>
    </row>
    <row r="29" spans="1:29" ht="14">
      <c r="A29" s="515" t="s">
        <v>2</v>
      </c>
      <c r="B29" s="516" t="str">
        <f>LaReunion!$D$4</f>
        <v>BU Reunion</v>
      </c>
      <c r="C29" s="515" t="str">
        <f>LaReunion!$D$17</f>
        <v>France</v>
      </c>
      <c r="D29" s="515" t="str">
        <f>LaReunion!$D$15</f>
        <v>Sainte-Marie, 
La Réserve</v>
      </c>
      <c r="E29" s="515">
        <f>LaReunion!$D$16</f>
        <v>97438</v>
      </c>
      <c r="F29" s="516" t="str">
        <f>LaReunion!$D$14</f>
        <v>32 rue du Général de Gaulle</v>
      </c>
      <c r="G29" s="515" t="str">
        <f>LaReunion!$D$18</f>
        <v>Rental</v>
      </c>
      <c r="H29" s="515" t="str">
        <f>LaReunion!$D$11</f>
        <v>FR04</v>
      </c>
      <c r="I29" s="515" t="str">
        <f>LaReunion!$D$19</f>
        <v>No</v>
      </c>
      <c r="J29" s="516" t="str">
        <f>LaReunion!$D$13</f>
        <v>2nd floor</v>
      </c>
      <c r="K29" s="515">
        <f>LaReunion!$D$24</f>
        <v>1100</v>
      </c>
      <c r="L29" s="515" t="str">
        <f>LaReunion!$D$26</f>
        <v>EUR</v>
      </c>
      <c r="M29" s="515">
        <f>LaReunion!$D$28</f>
        <v>11.47</v>
      </c>
      <c r="N29" s="516">
        <f>LaReunion!$D$29</f>
        <v>3.5000000000000003E-2</v>
      </c>
      <c r="O29" s="515">
        <f>LaReunion!$D$27</f>
        <v>0</v>
      </c>
      <c r="P29" s="515" t="str">
        <f>LaReunion!$D$30</f>
        <v>125,39€ m²/year soit 12,54€ m²/month</v>
      </c>
      <c r="Q29" s="515">
        <f>LaReunion!$D$46</f>
        <v>286</v>
      </c>
      <c r="R29" s="515">
        <f>LaReunion!$D$50</f>
        <v>292</v>
      </c>
      <c r="S29" s="517">
        <f t="shared" si="0"/>
        <v>1.020979020979021</v>
      </c>
      <c r="T29" s="518">
        <f t="shared" si="1"/>
        <v>3.7671232876712328</v>
      </c>
      <c r="U29" s="519">
        <f t="shared" si="2"/>
        <v>3.8461538461538463</v>
      </c>
      <c r="V29" s="520">
        <f>LaReunion!$D$33</f>
        <v>42736</v>
      </c>
      <c r="W29" s="520">
        <f>LaReunion!$D$40</f>
        <v>47118</v>
      </c>
      <c r="X29" s="520">
        <f>LaReunion!$D$34</f>
        <v>46022</v>
      </c>
      <c r="Y29" s="516" t="str">
        <f>LaReunion!$D$42</f>
        <v>No</v>
      </c>
      <c r="Z29" s="515" t="str">
        <f>LaReunion!$D$43</f>
        <v>No</v>
      </c>
      <c r="AA29" s="516" t="str">
        <f>LaReunion!$D$44</f>
        <v>No</v>
      </c>
      <c r="AB29" s="516">
        <f>LaReunion!$D$9</f>
        <v>0</v>
      </c>
      <c r="AC29" s="520">
        <f>LaReunion!$D$2</f>
        <v>45988</v>
      </c>
    </row>
    <row r="30" spans="1:29" ht="14">
      <c r="A30" s="515" t="s">
        <v>2</v>
      </c>
      <c r="B30" s="516" t="str">
        <f>LaReunion!$F$4</f>
        <v>BU Reunion</v>
      </c>
      <c r="C30" s="515" t="str">
        <f>LaReunion!$F$17</f>
        <v>France</v>
      </c>
      <c r="D30" s="515" t="str">
        <f>LaReunion!$F$15</f>
        <v>Sainte-Marie, 
La Réserve</v>
      </c>
      <c r="E30" s="515">
        <f>LaReunion!$F$16</f>
        <v>97438</v>
      </c>
      <c r="F30" s="516" t="str">
        <f>LaReunion!$F$14</f>
        <v>32 rue du Général de Gaulle</v>
      </c>
      <c r="G30" s="515" t="str">
        <f>LaReunion!$F$18</f>
        <v>Rental</v>
      </c>
      <c r="H30" s="515" t="str">
        <f>LaReunion!$F$11</f>
        <v>FR04</v>
      </c>
      <c r="I30" s="515" t="str">
        <f>LaReunion!$F$19</f>
        <v>No</v>
      </c>
      <c r="J30" s="516" t="str">
        <f>LaReunion!$F$13</f>
        <v>1st floor</v>
      </c>
      <c r="K30" s="515">
        <f>LaReunion!$F$24</f>
        <v>550</v>
      </c>
      <c r="L30" s="515" t="str">
        <f>LaReunion!$F$26</f>
        <v>EUR</v>
      </c>
      <c r="M30" s="515">
        <f>LaReunion!$F$28</f>
        <v>12.42</v>
      </c>
      <c r="N30" s="516">
        <f>LaReunion!$F$29</f>
        <v>3.5000000000000003E-2</v>
      </c>
      <c r="O30" s="515">
        <f>LaReunion!$F$27</f>
        <v>0</v>
      </c>
      <c r="P30" s="515">
        <f>LaReunion!$F$30</f>
        <v>0</v>
      </c>
      <c r="Q30" s="515">
        <f>LaReunion!$F$46</f>
        <v>59</v>
      </c>
      <c r="R30" s="515">
        <f>LaReunion!$F$50</f>
        <v>59</v>
      </c>
      <c r="S30" s="517">
        <f t="shared" si="0"/>
        <v>1</v>
      </c>
      <c r="T30" s="518">
        <f t="shared" si="1"/>
        <v>9.3220338983050848</v>
      </c>
      <c r="U30" s="519">
        <f t="shared" si="2"/>
        <v>9.3220338983050848</v>
      </c>
      <c r="V30" s="520">
        <f>LaReunion!$F$33</f>
        <v>44986</v>
      </c>
      <c r="W30" s="520">
        <f>LaReunion!$F$40</f>
        <v>48273</v>
      </c>
      <c r="X30" s="520">
        <f>LaReunion!$F$34</f>
        <v>46081</v>
      </c>
      <c r="Y30" s="516" t="str">
        <f>LaReunion!$F$42</f>
        <v>No</v>
      </c>
      <c r="Z30" s="515" t="str">
        <f>LaReunion!$F$43</f>
        <v>No</v>
      </c>
      <c r="AA30" s="516" t="str">
        <f>LaReunion!$F$44</f>
        <v>No</v>
      </c>
      <c r="AB30" s="516">
        <f>LaReunion!$F$9</f>
        <v>0</v>
      </c>
      <c r="AC30" s="515">
        <f>LaReunion!$F$2</f>
        <v>0</v>
      </c>
    </row>
    <row r="31" spans="1:29" ht="14">
      <c r="A31" s="515" t="s">
        <v>2</v>
      </c>
      <c r="B31" s="516" t="str">
        <f>LaReunion!$E$4</f>
        <v>BU Reunion</v>
      </c>
      <c r="C31" s="515" t="str">
        <f>LaReunion!$E$17</f>
        <v>France</v>
      </c>
      <c r="D31" s="515" t="str">
        <f>LaReunion!$E$15</f>
        <v>Sainte-Marie, 
La Réserve</v>
      </c>
      <c r="E31" s="515">
        <f>LaReunion!$E$16</f>
        <v>97438</v>
      </c>
      <c r="F31" s="516" t="str">
        <f>LaReunion!$E$14</f>
        <v>32 rue du Général de Gaulle</v>
      </c>
      <c r="G31" s="515" t="str">
        <f>LaReunion!$E$18</f>
        <v>Rental</v>
      </c>
      <c r="H31" s="515" t="str">
        <f>LaReunion!$E$11</f>
        <v>FR04</v>
      </c>
      <c r="I31" s="515" t="str">
        <f>LaReunion!$E$19</f>
        <v>No</v>
      </c>
      <c r="J31" s="516" t="str">
        <f>LaReunion!$E$13</f>
        <v>2nd floor</v>
      </c>
      <c r="K31" s="515">
        <f>LaReunion!$E$24</f>
        <v>326</v>
      </c>
      <c r="L31" s="515" t="str">
        <f>LaReunion!$E$26</f>
        <v>EUR</v>
      </c>
      <c r="M31" s="515">
        <f>LaReunion!$E$28</f>
        <v>12.83</v>
      </c>
      <c r="N31" s="516">
        <f>LaReunion!$E$29</f>
        <v>3.5000000000000003E-2</v>
      </c>
      <c r="O31" s="515">
        <f>LaReunion!$E$27</f>
        <v>0</v>
      </c>
      <c r="P31" s="515">
        <f>LaReunion!$E$30</f>
        <v>0</v>
      </c>
      <c r="Q31" s="515">
        <f>LaReunion!$E$46</f>
        <v>85</v>
      </c>
      <c r="R31" s="515">
        <f>LaReunion!$E$50</f>
        <v>89</v>
      </c>
      <c r="S31" s="517">
        <f t="shared" si="0"/>
        <v>1.0470588235294118</v>
      </c>
      <c r="T31" s="518">
        <f t="shared" si="1"/>
        <v>3.6629213483146068</v>
      </c>
      <c r="U31" s="519">
        <f t="shared" si="2"/>
        <v>3.835294117647059</v>
      </c>
      <c r="V31" s="520">
        <f>LaReunion!$E$33</f>
        <v>41944</v>
      </c>
      <c r="W31" s="520">
        <f>LaReunion!$E$40</f>
        <v>48518</v>
      </c>
      <c r="X31" s="520">
        <f>LaReunion!$E$34</f>
        <v>48518</v>
      </c>
      <c r="Y31" s="516" t="str">
        <f>LaReunion!$E$42</f>
        <v>No</v>
      </c>
      <c r="Z31" s="515" t="str">
        <f>LaReunion!$E$43</f>
        <v>No</v>
      </c>
      <c r="AA31" s="516" t="str">
        <f>LaReunion!$E$44</f>
        <v>No</v>
      </c>
      <c r="AB31" s="516">
        <f>LaReunion!$E$9</f>
        <v>0</v>
      </c>
      <c r="AC31" s="520">
        <f>LaReunion!$E$2</f>
        <v>0</v>
      </c>
    </row>
    <row r="32" spans="1:29" ht="14">
      <c r="A32" s="515" t="s">
        <v>2</v>
      </c>
      <c r="B32" s="516" t="str">
        <f>LaReunion!$G$4</f>
        <v>BU Reunion</v>
      </c>
      <c r="C32" s="515" t="str">
        <f>LaReunion!$G$17</f>
        <v>France</v>
      </c>
      <c r="D32" s="515" t="str">
        <f>LaReunion!$G$15</f>
        <v>Sainte-Marie, 
La Réserve</v>
      </c>
      <c r="E32" s="515">
        <f>LaReunion!$G$16</f>
        <v>97438</v>
      </c>
      <c r="F32" s="516" t="str">
        <f>LaReunion!$G$14</f>
        <v>32 rue du Général de Gaulle</v>
      </c>
      <c r="G32" s="515" t="str">
        <f>LaReunion!$G$18</f>
        <v>Rental</v>
      </c>
      <c r="H32" s="515" t="str">
        <f>LaReunion!$G$11</f>
        <v>FR04</v>
      </c>
      <c r="I32" s="515" t="str">
        <f>LaReunion!$G$19</f>
        <v>No</v>
      </c>
      <c r="J32" s="516" t="str">
        <f>LaReunion!$G$13</f>
        <v>1st floor</v>
      </c>
      <c r="K32" s="523">
        <f>LaReunion!$G$24</f>
        <v>213</v>
      </c>
      <c r="L32" s="523" t="str">
        <f>LaReunion!$G$26</f>
        <v>EUR</v>
      </c>
      <c r="M32" s="515">
        <f>LaReunion!$G$28</f>
        <v>15.14</v>
      </c>
      <c r="N32" s="524">
        <f>LaReunion!$G$29</f>
        <v>3.5000000000000003E-2</v>
      </c>
      <c r="O32" s="515">
        <f>LaReunion!$G$27</f>
        <v>0</v>
      </c>
      <c r="P32" s="515">
        <f>LaReunion!$G$30</f>
        <v>0</v>
      </c>
      <c r="Q32" s="515">
        <f>LaReunion!$G$46</f>
        <v>42</v>
      </c>
      <c r="R32" s="515">
        <f>LaReunion!$G$50</f>
        <v>42</v>
      </c>
      <c r="S32" s="517">
        <f t="shared" si="0"/>
        <v>1</v>
      </c>
      <c r="T32" s="518">
        <f t="shared" si="1"/>
        <v>5.0714285714285712</v>
      </c>
      <c r="U32" s="519">
        <f t="shared" si="2"/>
        <v>5.0714285714285712</v>
      </c>
      <c r="V32" s="520">
        <f>LaReunion!$G$33</f>
        <v>45387</v>
      </c>
      <c r="W32" s="520">
        <f>LaReunion!$G$40</f>
        <v>48673</v>
      </c>
      <c r="X32" s="520">
        <f>LaReunion!$G$34</f>
        <v>48673</v>
      </c>
      <c r="Y32" s="516" t="str">
        <f>LaReunion!$G$42</f>
        <v>No</v>
      </c>
      <c r="Z32" s="515" t="str">
        <f>LaReunion!$G$43</f>
        <v>No</v>
      </c>
      <c r="AA32" s="516" t="str">
        <f>LaReunion!$G$44</f>
        <v>No</v>
      </c>
      <c r="AB32" s="516">
        <f>LaReunion!$G$9</f>
        <v>0</v>
      </c>
      <c r="AC32" s="515">
        <f>LaReunion!$G$2</f>
        <v>0</v>
      </c>
    </row>
    <row r="33" spans="1:29" ht="28">
      <c r="A33" s="515" t="s">
        <v>2</v>
      </c>
      <c r="B33" s="516" t="str">
        <f>France!$I$4</f>
        <v>Global Office</v>
      </c>
      <c r="C33" s="515" t="str">
        <f>France!$I$17</f>
        <v>France</v>
      </c>
      <c r="D33" s="515" t="str">
        <f>France!$I$15</f>
        <v>Saint Ouen</v>
      </c>
      <c r="E33" s="515">
        <f>France!$I$16</f>
        <v>93400</v>
      </c>
      <c r="F33" s="516" t="str">
        <f>France!$I$14</f>
        <v xml:space="preserve">7rue Dora Maar
</v>
      </c>
      <c r="G33" s="523" t="str">
        <f>France!$I$18</f>
        <v>Rental</v>
      </c>
      <c r="H33" s="515" t="str">
        <f>France!$I$11</f>
        <v>FR01</v>
      </c>
      <c r="I33" s="515" t="str">
        <f>France!$I$19</f>
        <v>No</v>
      </c>
      <c r="J33" s="516" t="str">
        <f>France!$I$13</f>
        <v>6 &amp; 8th floor</v>
      </c>
      <c r="K33" s="518">
        <f>France!$I$24</f>
        <v>5148</v>
      </c>
      <c r="L33" s="523" t="str">
        <f>France!$I$26</f>
        <v>EUR</v>
      </c>
      <c r="M33" s="519">
        <f>France!$I$28</f>
        <v>349.65034965034965</v>
      </c>
      <c r="N33" s="524">
        <f>France!$I$29</f>
        <v>0.03</v>
      </c>
      <c r="O33" s="519">
        <f>France!$I$27</f>
        <v>0</v>
      </c>
      <c r="P33" s="522">
        <f>France!$I$30</f>
        <v>213.67521367521368</v>
      </c>
      <c r="Q33" s="515">
        <f>France!$I$46</f>
        <v>350</v>
      </c>
      <c r="R33" s="518">
        <f>France!$I$50</f>
        <v>298</v>
      </c>
      <c r="S33" s="517">
        <f t="shared" si="0"/>
        <v>0.85142857142857142</v>
      </c>
      <c r="T33" s="518">
        <f t="shared" si="1"/>
        <v>17.275167785234899</v>
      </c>
      <c r="U33" s="519">
        <f t="shared" si="2"/>
        <v>14.708571428571428</v>
      </c>
      <c r="V33" s="520">
        <f>France!$I$33</f>
        <v>42491</v>
      </c>
      <c r="W33" s="520">
        <f>France!$I$40</f>
        <v>49064</v>
      </c>
      <c r="X33" s="520">
        <f>France!$I$34</f>
        <v>47968</v>
      </c>
      <c r="Y33" s="516" t="str">
        <f>France!$I$42</f>
        <v>Yes</v>
      </c>
      <c r="Z33" s="515" t="str">
        <f>France!$I$43</f>
        <v>Yes</v>
      </c>
      <c r="AA33" s="516" t="str">
        <f>France!$I$44</f>
        <v>No</v>
      </c>
      <c r="AB33" s="516">
        <f>France!$I$9</f>
        <v>0</v>
      </c>
      <c r="AC33" s="520">
        <f>France!$I$2</f>
        <v>0</v>
      </c>
    </row>
    <row r="34" spans="1:29" ht="28">
      <c r="A34" s="515" t="s">
        <v>2</v>
      </c>
      <c r="B34" s="516" t="str">
        <f>Germany!$AC$4</f>
        <v>Allianz Global Benefits</v>
      </c>
      <c r="C34" s="515" t="str">
        <f>Germany!$AC$17</f>
        <v>Germany</v>
      </c>
      <c r="D34" s="515" t="str">
        <f>Germany!$AC$15</f>
        <v>Munich</v>
      </c>
      <c r="E34" s="515">
        <f>Germany!$AC$16</f>
        <v>80335</v>
      </c>
      <c r="F34" s="516" t="str">
        <f>Germany!$AC$14</f>
        <v>Seidlstrasse 24-24a</v>
      </c>
      <c r="G34" s="523" t="str">
        <f>Germany!$AC$18</f>
        <v>Rental</v>
      </c>
      <c r="H34" s="515" t="str">
        <f>Germany!$AC$11</f>
        <v>AGB01</v>
      </c>
      <c r="I34" s="515" t="str">
        <f>Germany!$AC$19</f>
        <v>Yes</v>
      </c>
      <c r="J34" s="516" t="str">
        <f>Germany!$AC$13</f>
        <v>part of ground floor</v>
      </c>
      <c r="K34" s="518">
        <f>Germany!$AC$24</f>
        <v>191.14</v>
      </c>
      <c r="L34" s="523" t="str">
        <f>Germany!$AC$26</f>
        <v>EUR</v>
      </c>
      <c r="M34" s="519">
        <f>Germany!$AC$28</f>
        <v>984</v>
      </c>
      <c r="N34" s="524" t="str">
        <f>Germany!$AC$29</f>
        <v>N/A</v>
      </c>
      <c r="O34" s="523">
        <f>Germany!$AC$27</f>
        <v>188081.75999999998</v>
      </c>
      <c r="P34" s="522">
        <f>Germany!$AC$30</f>
        <v>252</v>
      </c>
      <c r="Q34" s="515">
        <f>Germany!$AC$46</f>
        <v>30</v>
      </c>
      <c r="R34" s="515">
        <f>Germany!$AC$50</f>
        <v>22</v>
      </c>
      <c r="S34" s="517">
        <f t="shared" si="0"/>
        <v>0.73333333333333328</v>
      </c>
      <c r="T34" s="518">
        <f t="shared" si="1"/>
        <v>8.6881818181818176</v>
      </c>
      <c r="U34" s="519">
        <f t="shared" si="2"/>
        <v>6.3713333333333333</v>
      </c>
      <c r="V34" s="520">
        <f>Germany!$AC$33</f>
        <v>45261</v>
      </c>
      <c r="W34" s="520">
        <f>Germany!$AC$40</f>
        <v>48913</v>
      </c>
      <c r="X34" s="520">
        <f>Germany!$AC$34</f>
        <v>47087</v>
      </c>
      <c r="Y34" s="516" t="str">
        <f>Germany!$AC$42</f>
        <v>No</v>
      </c>
      <c r="Z34" s="515" t="str">
        <f>Germany!$AC$43</f>
        <v>Yes</v>
      </c>
      <c r="AA34" s="516" t="str">
        <f>Germany!$AC$44</f>
        <v>No</v>
      </c>
      <c r="AB34" s="516">
        <f>Germany!$AC$9</f>
        <v>0</v>
      </c>
      <c r="AC34" s="515">
        <f>Germany!$AC$2</f>
        <v>0</v>
      </c>
    </row>
    <row r="35" spans="1:29" ht="28">
      <c r="A35" s="515" t="s">
        <v>2</v>
      </c>
      <c r="B35" s="516" t="str">
        <f>Germany!$AD$4</f>
        <v>Allianz Global Benefits</v>
      </c>
      <c r="C35" s="515" t="str">
        <f>Germany!$AD$17</f>
        <v>Germany</v>
      </c>
      <c r="D35" s="515" t="str">
        <f>Germany!$AD$15</f>
        <v>Stuttgart</v>
      </c>
      <c r="E35" s="515">
        <f>Germany!$AD$16</f>
        <v>70182</v>
      </c>
      <c r="F35" s="516" t="str">
        <f>Germany!$AD$14</f>
        <v>Uhlandstrasse 2</v>
      </c>
      <c r="G35" s="523" t="str">
        <f>Germany!$AD$18</f>
        <v>Rental</v>
      </c>
      <c r="H35" s="515" t="str">
        <f>Germany!$AD$11</f>
        <v>AGB02</v>
      </c>
      <c r="I35" s="515" t="str">
        <f>Germany!$AD$19</f>
        <v>Yes</v>
      </c>
      <c r="J35" s="516" t="str">
        <f>Germany!$AD$13</f>
        <v>part of 1st floor</v>
      </c>
      <c r="K35" s="518">
        <f>Germany!$AD$24</f>
        <v>360</v>
      </c>
      <c r="L35" s="523" t="str">
        <f>Germany!$AD$26</f>
        <v>EUR</v>
      </c>
      <c r="M35" s="519">
        <f>Germany!$AD$28</f>
        <v>408</v>
      </c>
      <c r="N35" s="524" t="str">
        <f>Germany!$AD$29</f>
        <v>N/A</v>
      </c>
      <c r="O35" s="523">
        <f>Germany!$AD$27</f>
        <v>146880</v>
      </c>
      <c r="P35" s="522">
        <f>Germany!$AD$30</f>
        <v>108</v>
      </c>
      <c r="Q35" s="515">
        <f>Germany!$AD$46</f>
        <v>30</v>
      </c>
      <c r="R35" s="515">
        <f>Germany!$AD$50</f>
        <v>26</v>
      </c>
      <c r="S35" s="517">
        <f t="shared" ref="S35:S66" si="3">R35/Q35</f>
        <v>0.8666666666666667</v>
      </c>
      <c r="T35" s="518">
        <f t="shared" ref="T35:T66" si="4">K35/R35</f>
        <v>13.846153846153847</v>
      </c>
      <c r="U35" s="519">
        <f t="shared" ref="U35:U66" si="5">K35/Q35</f>
        <v>12</v>
      </c>
      <c r="V35" s="520">
        <f>Germany!$AD$33</f>
        <v>43101</v>
      </c>
      <c r="W35" s="520" t="str">
        <f>Germany!$AD$40</f>
        <v>indefinite</v>
      </c>
      <c r="X35" s="520" t="str">
        <f>Germany!$AD$34</f>
        <v>anytime</v>
      </c>
      <c r="Y35" s="516" t="str">
        <f>Germany!$AD$42</f>
        <v>No</v>
      </c>
      <c r="Z35" s="515" t="str">
        <f>Germany!$AD$43</f>
        <v>Yes</v>
      </c>
      <c r="AA35" s="516" t="str">
        <f>Germany!$AD$44</f>
        <v>No</v>
      </c>
      <c r="AB35" s="516">
        <f>Germany!$AD$9</f>
        <v>0</v>
      </c>
      <c r="AC35" s="515">
        <f>Germany!$AD$2</f>
        <v>0</v>
      </c>
    </row>
    <row r="36" spans="1:29" ht="28">
      <c r="A36" s="515" t="s">
        <v>2</v>
      </c>
      <c r="B36" s="516" t="str">
        <f>Germany!$F$4</f>
        <v>BU Germany (AHS)</v>
      </c>
      <c r="C36" s="515" t="str">
        <f>Germany!$F$17</f>
        <v>Germany</v>
      </c>
      <c r="D36" s="515" t="str">
        <f>Germany!$F$15</f>
        <v>Berlin</v>
      </c>
      <c r="E36" s="515">
        <f>Germany!$F$16</f>
        <v>12489</v>
      </c>
      <c r="F36" s="516" t="str">
        <f>Germany!$F$14</f>
        <v>Albert-Einstein-Strasse 1a</v>
      </c>
      <c r="G36" s="523" t="str">
        <f>Germany!$F$18</f>
        <v>Rental</v>
      </c>
      <c r="H36" s="515" t="str">
        <f>Germany!$F$11</f>
        <v>DE02</v>
      </c>
      <c r="I36" s="515" t="str">
        <f>Germany!$F$19</f>
        <v>No</v>
      </c>
      <c r="J36" s="516" t="str">
        <f>Germany!$F$13</f>
        <v>Ground floor, 1st and 2nd floor</v>
      </c>
      <c r="K36" s="518">
        <f>Germany!$F$24</f>
        <v>2391.7399999999998</v>
      </c>
      <c r="L36" s="523" t="str">
        <f>Germany!$F$26</f>
        <v>EUR</v>
      </c>
      <c r="M36" s="519">
        <f>Germany!$F$28</f>
        <v>21.21211753785947</v>
      </c>
      <c r="N36" s="524">
        <f>Germany!$F$29</f>
        <v>0.05</v>
      </c>
      <c r="O36" s="523">
        <f>Germany!$F$27</f>
        <v>50733.87</v>
      </c>
      <c r="P36" s="522" t="str">
        <f>Germany!$F$30</f>
        <v>---</v>
      </c>
      <c r="Q36" s="515">
        <f>Germany!$F$46</f>
        <v>0</v>
      </c>
      <c r="R36" s="515">
        <f>Germany!$F$50</f>
        <v>0</v>
      </c>
      <c r="S36" s="517" t="e">
        <f t="shared" si="3"/>
        <v>#DIV/0!</v>
      </c>
      <c r="T36" s="518" t="e">
        <f t="shared" si="4"/>
        <v>#DIV/0!</v>
      </c>
      <c r="U36" s="519" t="e">
        <f t="shared" si="5"/>
        <v>#DIV/0!</v>
      </c>
      <c r="V36" s="520" t="str">
        <f>Germany!$F$33</f>
        <v xml:space="preserve"> 01.05.2019</v>
      </c>
      <c r="W36" s="520">
        <f>Germany!$F$40</f>
        <v>46157</v>
      </c>
      <c r="X36" s="520">
        <f>Germany!$F$34</f>
        <v>46143</v>
      </c>
      <c r="Y36" s="516" t="str">
        <f>Germany!$F$42</f>
        <v>No</v>
      </c>
      <c r="Z36" s="515" t="str">
        <f>Germany!$F$43</f>
        <v>No</v>
      </c>
      <c r="AA36" s="516" t="str">
        <f>Germany!$F$44</f>
        <v>No</v>
      </c>
      <c r="AB36" s="516" t="str">
        <f>Germany!$F$9</f>
        <v>Daniel Krauss</v>
      </c>
      <c r="AC36" s="515">
        <f>Germany!$F$2</f>
        <v>0</v>
      </c>
    </row>
    <row r="37" spans="1:29" ht="28">
      <c r="A37" s="515" t="s">
        <v>2</v>
      </c>
      <c r="B37" s="516" t="str">
        <f>Germany!$R$4</f>
        <v>BU Germany (AHS)</v>
      </c>
      <c r="C37" s="515" t="str">
        <f>Germany!$R$17</f>
        <v>Germany</v>
      </c>
      <c r="D37" s="515" t="str">
        <f>Germany!$R$15</f>
        <v>Neustadt</v>
      </c>
      <c r="E37" s="515">
        <f>Germany!$R$16</f>
        <v>67433</v>
      </c>
      <c r="F37" s="516" t="str">
        <f>Germany!$R$14</f>
        <v>Maximilianstr. 5</v>
      </c>
      <c r="G37" s="523" t="str">
        <f>Germany!$R$18</f>
        <v>Rental</v>
      </c>
      <c r="H37" s="515" t="str">
        <f>Germany!$R$11</f>
        <v>DE07</v>
      </c>
      <c r="I37" s="515" t="str">
        <f>Germany!$R$19</f>
        <v>No</v>
      </c>
      <c r="J37" s="516" t="str">
        <f>Germany!$R$13</f>
        <v>1st floor</v>
      </c>
      <c r="K37" s="518">
        <f>Germany!$R$24</f>
        <v>349</v>
      </c>
      <c r="L37" s="523" t="str">
        <f>Germany!$R$26</f>
        <v>EUR</v>
      </c>
      <c r="M37" s="519">
        <f>Germany!$R$28</f>
        <v>8.7392550143266483</v>
      </c>
      <c r="N37" s="524">
        <f>Germany!$R$29</f>
        <v>0.05</v>
      </c>
      <c r="O37" s="523">
        <f>Germany!$R$27</f>
        <v>3050</v>
      </c>
      <c r="P37" s="522" t="str">
        <f>Germany!$R$30</f>
        <v>---</v>
      </c>
      <c r="Q37" s="515">
        <f>Germany!$R$46</f>
        <v>0</v>
      </c>
      <c r="R37" s="515">
        <f>Germany!$R$50</f>
        <v>0</v>
      </c>
      <c r="S37" s="517" t="e">
        <f t="shared" si="3"/>
        <v>#DIV/0!</v>
      </c>
      <c r="T37" s="518" t="e">
        <f t="shared" si="4"/>
        <v>#DIV/0!</v>
      </c>
      <c r="U37" s="519" t="e">
        <f t="shared" si="5"/>
        <v>#DIV/0!</v>
      </c>
      <c r="V37" s="520">
        <f>Germany!$R$33</f>
        <v>43497</v>
      </c>
      <c r="W37" s="520">
        <f>Germany!$R$40</f>
        <v>47149</v>
      </c>
      <c r="X37" s="520">
        <f>Germany!$R$34</f>
        <v>46418</v>
      </c>
      <c r="Y37" s="516" t="str">
        <f>Germany!$R$42</f>
        <v>No</v>
      </c>
      <c r="Z37" s="515" t="str">
        <f>Germany!$R$43</f>
        <v>No</v>
      </c>
      <c r="AA37" s="516" t="str">
        <f>Germany!$R$44</f>
        <v>No</v>
      </c>
      <c r="AB37" s="516" t="str">
        <f>Germany!$R$9</f>
        <v>Daniel Krauss</v>
      </c>
      <c r="AC37" s="515">
        <f>Germany!$R$2</f>
        <v>0</v>
      </c>
    </row>
    <row r="38" spans="1:29" ht="28">
      <c r="A38" s="515" t="s">
        <v>2</v>
      </c>
      <c r="B38" s="516" t="str">
        <f>Germany!$M$4</f>
        <v>BU Germany (AHS)</v>
      </c>
      <c r="C38" s="515" t="str">
        <f>Germany!$M$17</f>
        <v>Germany</v>
      </c>
      <c r="D38" s="515" t="str">
        <f>Germany!$M$15</f>
        <v>Leipzig</v>
      </c>
      <c r="E38" s="527" t="str">
        <f>Germany!$M$16</f>
        <v>04105</v>
      </c>
      <c r="F38" s="516" t="str">
        <f>Germany!$M$14</f>
        <v>Springerstrasse 25</v>
      </c>
      <c r="G38" s="523" t="str">
        <f>Germany!$M$18</f>
        <v>Rental</v>
      </c>
      <c r="H38" s="515" t="str">
        <f>Germany!$M$11</f>
        <v>DE06</v>
      </c>
      <c r="I38" s="515" t="str">
        <f>Germany!$M$19</f>
        <v>No</v>
      </c>
      <c r="J38" s="516" t="str">
        <f>Germany!$M$13</f>
        <v>2nd floor</v>
      </c>
      <c r="K38" s="518">
        <f>Germany!$M$24</f>
        <v>322.97000000000003</v>
      </c>
      <c r="L38" s="523" t="str">
        <f>Germany!$M$26</f>
        <v>EUR</v>
      </c>
      <c r="M38" s="519">
        <f>Germany!$M$28</f>
        <v>9.2499922593429709</v>
      </c>
      <c r="N38" s="524">
        <f>Germany!$M$29</f>
        <v>0.05</v>
      </c>
      <c r="O38" s="523">
        <f>Germany!$M$27</f>
        <v>2987.47</v>
      </c>
      <c r="P38" s="522">
        <f>Germany!$M$30</f>
        <v>2.23</v>
      </c>
      <c r="Q38" s="515">
        <f>Germany!$M$46</f>
        <v>0</v>
      </c>
      <c r="R38" s="515">
        <f>Germany!$M$50</f>
        <v>0</v>
      </c>
      <c r="S38" s="517" t="e">
        <f t="shared" si="3"/>
        <v>#DIV/0!</v>
      </c>
      <c r="T38" s="518" t="e">
        <f t="shared" si="4"/>
        <v>#DIV/0!</v>
      </c>
      <c r="U38" s="519" t="e">
        <f t="shared" si="5"/>
        <v>#DIV/0!</v>
      </c>
      <c r="V38" s="520">
        <f>Germany!$M$33</f>
        <v>43070</v>
      </c>
      <c r="W38" s="520">
        <f>Germany!$M$40</f>
        <v>47452</v>
      </c>
      <c r="X38" s="520">
        <f>Germany!$M$34</f>
        <v>46356</v>
      </c>
      <c r="Y38" s="516">
        <f>Germany!$M$42</f>
        <v>0</v>
      </c>
      <c r="Z38" s="515" t="str">
        <f>Germany!$M$43</f>
        <v>No</v>
      </c>
      <c r="AA38" s="516" t="str">
        <f>Germany!$M$44</f>
        <v>No</v>
      </c>
      <c r="AB38" s="516" t="str">
        <f>Germany!$M$9</f>
        <v>Daniel Krauss</v>
      </c>
      <c r="AC38" s="515">
        <f>Germany!$M$2</f>
        <v>0</v>
      </c>
    </row>
    <row r="39" spans="1:29" ht="28">
      <c r="A39" s="515" t="s">
        <v>2</v>
      </c>
      <c r="B39" s="516" t="str">
        <f>Germany!$J$4</f>
        <v>BU Germany (AHS)</v>
      </c>
      <c r="C39" s="515" t="str">
        <f>Germany!$J$17</f>
        <v>Germany</v>
      </c>
      <c r="D39" s="515" t="str">
        <f>Germany!$J$15</f>
        <v>Hamburg</v>
      </c>
      <c r="E39" s="515">
        <f>Germany!$J$16</f>
        <v>22297</v>
      </c>
      <c r="F39" s="516" t="str">
        <f>Germany!$J$14</f>
        <v>Kapstadtring 2</v>
      </c>
      <c r="G39" s="523" t="str">
        <f>Germany!$J$18</f>
        <v>Rental</v>
      </c>
      <c r="H39" s="515" t="str">
        <f>Germany!$J$11</f>
        <v>DE05</v>
      </c>
      <c r="I39" s="515" t="str">
        <f>Germany!$J$19</f>
        <v>Yes</v>
      </c>
      <c r="J39" s="516" t="str">
        <f>Germany!$J$13</f>
        <v>part of second floor</v>
      </c>
      <c r="K39" s="518">
        <f>Germany!$J$24</f>
        <v>144.85</v>
      </c>
      <c r="L39" s="523" t="str">
        <f>Germany!$J$26</f>
        <v>EUR</v>
      </c>
      <c r="M39" s="519">
        <f>Germany!$J$28</f>
        <v>94.868553676216777</v>
      </c>
      <c r="N39" s="524" t="str">
        <f>Germany!$J$29</f>
        <v>---</v>
      </c>
      <c r="O39" s="523">
        <f>Germany!$J$27</f>
        <v>13741.71</v>
      </c>
      <c r="P39" s="522" t="str">
        <f>Germany!$J$30</f>
        <v>---</v>
      </c>
      <c r="Q39" s="515">
        <f>Germany!$J$46</f>
        <v>0</v>
      </c>
      <c r="R39" s="515">
        <f>Germany!$J$50</f>
        <v>0</v>
      </c>
      <c r="S39" s="517" t="e">
        <f t="shared" si="3"/>
        <v>#DIV/0!</v>
      </c>
      <c r="T39" s="518" t="e">
        <f t="shared" si="4"/>
        <v>#DIV/0!</v>
      </c>
      <c r="U39" s="519" t="e">
        <f t="shared" si="5"/>
        <v>#DIV/0!</v>
      </c>
      <c r="V39" s="520">
        <f>Germany!$J$33</f>
        <v>43101</v>
      </c>
      <c r="W39" s="520" t="str">
        <f>Germany!$J$40</f>
        <v>undetermined</v>
      </c>
      <c r="X39" s="520" t="str">
        <f>Germany!$J$34</f>
        <v>undetermined</v>
      </c>
      <c r="Y39" s="516" t="str">
        <f>Germany!$J$42</f>
        <v>No</v>
      </c>
      <c r="Z39" s="515" t="str">
        <f>Germany!$J$43</f>
        <v>Yes</v>
      </c>
      <c r="AA39" s="516" t="str">
        <f>Germany!$J$44</f>
        <v>Yes</v>
      </c>
      <c r="AB39" s="516" t="str">
        <f>Germany!$J$9</f>
        <v>Daniel Krauss</v>
      </c>
      <c r="AC39" s="515">
        <f>Germany!$J$2</f>
        <v>0</v>
      </c>
    </row>
    <row r="40" spans="1:29" ht="28">
      <c r="A40" s="515" t="s">
        <v>2</v>
      </c>
      <c r="B40" s="516" t="str">
        <f>Germany!$Y$4</f>
        <v>BU Germany (AHS)</v>
      </c>
      <c r="C40" s="515" t="str">
        <f>Germany!$Y$17</f>
        <v>Germany</v>
      </c>
      <c r="D40" s="515" t="str">
        <f>Germany!$Y$15</f>
        <v>Stuttgart</v>
      </c>
      <c r="E40" s="515">
        <f>Germany!$Y$16</f>
        <v>70565</v>
      </c>
      <c r="F40" s="516" t="str">
        <f>Germany!$Y$14</f>
        <v>Heßbrühlstraße 2</v>
      </c>
      <c r="G40" s="523" t="str">
        <f>Germany!$Y$18</f>
        <v>Rental</v>
      </c>
      <c r="H40" s="515" t="str">
        <f>Germany!$Y$11</f>
        <v>DE08</v>
      </c>
      <c r="I40" s="515" t="str">
        <f>Germany!$Y$19</f>
        <v>Yes</v>
      </c>
      <c r="J40" s="516" t="str">
        <f>Germany!$Y$13</f>
        <v>part of the 4th floor</v>
      </c>
      <c r="K40" s="518">
        <f>Germany!$Y$24</f>
        <v>81.16</v>
      </c>
      <c r="L40" s="523" t="str">
        <f>Germany!$Y$26</f>
        <v>EUR</v>
      </c>
      <c r="M40" s="519">
        <f>Germany!$Y$28</f>
        <v>78.650000000000006</v>
      </c>
      <c r="N40" s="524" t="str">
        <f>Germany!$Y$29</f>
        <v>---</v>
      </c>
      <c r="O40" s="523">
        <f>Germany!$Y$27</f>
        <v>6383.2340000000004</v>
      </c>
      <c r="P40" s="522" t="str">
        <f>Germany!$Y$30</f>
        <v>---</v>
      </c>
      <c r="Q40" s="515">
        <f>Germany!$Y$46</f>
        <v>0</v>
      </c>
      <c r="R40" s="515">
        <f>Germany!$Y$50</f>
        <v>0</v>
      </c>
      <c r="S40" s="517" t="e">
        <f t="shared" si="3"/>
        <v>#DIV/0!</v>
      </c>
      <c r="T40" s="518" t="e">
        <f t="shared" si="4"/>
        <v>#DIV/0!</v>
      </c>
      <c r="U40" s="519" t="e">
        <f t="shared" si="5"/>
        <v>#DIV/0!</v>
      </c>
      <c r="V40" s="520">
        <f>Germany!$Y$33</f>
        <v>45839</v>
      </c>
      <c r="W40" s="520" t="str">
        <f>Germany!$Y$40</f>
        <v>undetermined</v>
      </c>
      <c r="X40" s="520" t="str">
        <f>Germany!$Y$34</f>
        <v>undetermined</v>
      </c>
      <c r="Y40" s="516" t="str">
        <f>Germany!$Y$42</f>
        <v>No</v>
      </c>
      <c r="Z40" s="515" t="str">
        <f>Germany!$Y$43</f>
        <v>Yes</v>
      </c>
      <c r="AA40" s="516" t="str">
        <f>Germany!$Y$44</f>
        <v>Yes</v>
      </c>
      <c r="AB40" s="516" t="str">
        <f>Germany!$Y$9</f>
        <v>Daniel Krauss</v>
      </c>
      <c r="AC40" s="515">
        <f>Germany!$Y$2</f>
        <v>0</v>
      </c>
    </row>
    <row r="41" spans="1:29" ht="28">
      <c r="A41" s="515" t="s">
        <v>2</v>
      </c>
      <c r="B41" s="516" t="str">
        <f>Germany!$H$4</f>
        <v>BU Germany (AHS)</v>
      </c>
      <c r="C41" s="515" t="str">
        <f>Germany!$H$17</f>
        <v>Germany</v>
      </c>
      <c r="D41" s="515" t="str">
        <f>Germany!$H$15</f>
        <v>Düsseldorf</v>
      </c>
      <c r="E41" s="515">
        <f>Germany!$H$16</f>
        <v>40472</v>
      </c>
      <c r="F41" s="516" t="str">
        <f>Germany!$H$14</f>
        <v>Heltorfer Strasse 4</v>
      </c>
      <c r="G41" s="523" t="str">
        <f>Germany!$H$18</f>
        <v>Rental</v>
      </c>
      <c r="H41" s="515" t="str">
        <f>Germany!$H$11</f>
        <v>DE03</v>
      </c>
      <c r="I41" s="515" t="str">
        <f>Germany!$H$19</f>
        <v>No</v>
      </c>
      <c r="J41" s="516" t="str">
        <f>Germany!$H$13</f>
        <v>3rd floor</v>
      </c>
      <c r="K41" s="518">
        <f>Germany!$H$24</f>
        <v>480.14</v>
      </c>
      <c r="L41" s="523" t="str">
        <f>Germany!$H$26</f>
        <v>EUR</v>
      </c>
      <c r="M41" s="519">
        <f>Germany!$H$28</f>
        <v>16.27</v>
      </c>
      <c r="N41" s="524">
        <f>Germany!$H$29</f>
        <v>0.05</v>
      </c>
      <c r="O41" s="523">
        <f>Germany!$H$27</f>
        <v>7811.8777999999993</v>
      </c>
      <c r="P41" s="522">
        <f>Germany!$H$30</f>
        <v>3.5</v>
      </c>
      <c r="Q41" s="515">
        <f>Germany!$H$46</f>
        <v>0</v>
      </c>
      <c r="R41" s="515">
        <f>Germany!$H$50</f>
        <v>0</v>
      </c>
      <c r="S41" s="517" t="e">
        <f t="shared" si="3"/>
        <v>#DIV/0!</v>
      </c>
      <c r="T41" s="518" t="e">
        <f t="shared" si="4"/>
        <v>#DIV/0!</v>
      </c>
      <c r="U41" s="519" t="e">
        <f t="shared" si="5"/>
        <v>#DIV/0!</v>
      </c>
      <c r="V41" s="520">
        <f>Germany!$H$33</f>
        <v>43466</v>
      </c>
      <c r="W41" s="520" t="str">
        <f>Germany!$H$40</f>
        <v>undetermined</v>
      </c>
      <c r="X41" s="520">
        <f>Germany!$H$34</f>
        <v>46477</v>
      </c>
      <c r="Y41" s="516" t="str">
        <f>Germany!$H$42</f>
        <v>No</v>
      </c>
      <c r="Z41" s="515" t="str">
        <f>Germany!$H$43</f>
        <v>No</v>
      </c>
      <c r="AA41" s="516" t="str">
        <f>Germany!$H$44</f>
        <v>No</v>
      </c>
      <c r="AB41" s="516" t="str">
        <f>Germany!$H$9</f>
        <v>Daniel Krauss</v>
      </c>
      <c r="AC41" s="515">
        <f>Germany!$H$2</f>
        <v>0</v>
      </c>
    </row>
    <row r="42" spans="1:29" ht="28">
      <c r="A42" s="515" t="s">
        <v>2</v>
      </c>
      <c r="B42" s="516" t="str">
        <f>Germany!$I$4</f>
        <v>BU Germany (AHS)</v>
      </c>
      <c r="C42" s="515" t="str">
        <f>Germany!$I$17</f>
        <v>Germany</v>
      </c>
      <c r="D42" s="515" t="str">
        <f>Germany!$I$15</f>
        <v>Frankfurt</v>
      </c>
      <c r="E42" s="515">
        <f>Germany!$I$16</f>
        <v>60528</v>
      </c>
      <c r="F42" s="516" t="str">
        <f>Germany!$I$14</f>
        <v>Herriotstraße 1</v>
      </c>
      <c r="G42" s="523" t="str">
        <f>Germany!$I$18</f>
        <v>Rental</v>
      </c>
      <c r="H42" s="515" t="str">
        <f>Germany!$I$11</f>
        <v>DE04</v>
      </c>
      <c r="I42" s="515" t="str">
        <f>Germany!$I$19</f>
        <v>No</v>
      </c>
      <c r="J42" s="516" t="str">
        <f>Germany!$I$13</f>
        <v>2nd floor</v>
      </c>
      <c r="K42" s="518">
        <f>Germany!$I$24</f>
        <v>497</v>
      </c>
      <c r="L42" s="523" t="str">
        <f>Germany!$I$26</f>
        <v>EUR</v>
      </c>
      <c r="M42" s="519">
        <f>Germany!$I$28</f>
        <v>20.071971830985916</v>
      </c>
      <c r="N42" s="524">
        <f>Germany!$I$29</f>
        <v>0.05</v>
      </c>
      <c r="O42" s="523">
        <f>Germany!$I$27</f>
        <v>9975.77</v>
      </c>
      <c r="P42" s="522" t="str">
        <f>Germany!$I$30</f>
        <v>---</v>
      </c>
      <c r="Q42" s="515">
        <f>Germany!$I$46</f>
        <v>0</v>
      </c>
      <c r="R42" s="515">
        <f>Germany!$I$50</f>
        <v>0</v>
      </c>
      <c r="S42" s="517" t="e">
        <f t="shared" si="3"/>
        <v>#DIV/0!</v>
      </c>
      <c r="T42" s="518" t="e">
        <f t="shared" si="4"/>
        <v>#DIV/0!</v>
      </c>
      <c r="U42" s="519" t="e">
        <f t="shared" si="5"/>
        <v>#DIV/0!</v>
      </c>
      <c r="V42" s="520">
        <f>Germany!$I$33</f>
        <v>39692</v>
      </c>
      <c r="W42" s="520" t="str">
        <f>Germany!$I$40</f>
        <v>undetermined</v>
      </c>
      <c r="X42" s="520">
        <f>Germany!$I$34</f>
        <v>46266</v>
      </c>
      <c r="Y42" s="516" t="str">
        <f>Germany!$I$42</f>
        <v>No</v>
      </c>
      <c r="Z42" s="515" t="str">
        <f>Germany!$I$43</f>
        <v>No</v>
      </c>
      <c r="AA42" s="516" t="str">
        <f>Germany!$I$44</f>
        <v>No</v>
      </c>
      <c r="AB42" s="516" t="str">
        <f>Germany!$I$9</f>
        <v>Daniel Krauss</v>
      </c>
      <c r="AC42" s="515">
        <f>Germany!$I$2</f>
        <v>0</v>
      </c>
    </row>
    <row r="43" spans="1:29" ht="28">
      <c r="A43" s="515" t="s">
        <v>2</v>
      </c>
      <c r="B43" s="516" t="str">
        <f>Germany!$W$4</f>
        <v>BU Germany (AVS)</v>
      </c>
      <c r="C43" s="515" t="str">
        <f>Germany!$W$17</f>
        <v>Germany</v>
      </c>
      <c r="D43" s="515" t="str">
        <f>Germany!$W$15</f>
        <v>Rüsselsheim</v>
      </c>
      <c r="E43" s="515">
        <f>Germany!$W$16</f>
        <v>65428</v>
      </c>
      <c r="F43" s="516" t="str">
        <f>Germany!$W$14</f>
        <v>Ferdinand-Stuttmann-Str. 10</v>
      </c>
      <c r="G43" s="523" t="str">
        <f>Germany!$W$18</f>
        <v>Rental</v>
      </c>
      <c r="H43" s="515" t="str">
        <f>Germany!$W$11</f>
        <v>DE09</v>
      </c>
      <c r="I43" s="515" t="str">
        <f>Germany!$W$19</f>
        <v>No</v>
      </c>
      <c r="J43" s="516" t="str">
        <f>Germany!$W$13</f>
        <v>?</v>
      </c>
      <c r="K43" s="518">
        <f>Germany!$W$24</f>
        <v>0</v>
      </c>
      <c r="L43" s="523">
        <f>Germany!$W$26</f>
        <v>0</v>
      </c>
      <c r="M43" s="519">
        <f>Germany!$W$28</f>
        <v>0</v>
      </c>
      <c r="N43" s="524">
        <f>Germany!$W$29</f>
        <v>0</v>
      </c>
      <c r="O43" s="523">
        <f>Germany!$W$27</f>
        <v>0</v>
      </c>
      <c r="P43" s="522">
        <f>Germany!$W$30</f>
        <v>0</v>
      </c>
      <c r="Q43" s="515">
        <f>Germany!$W$46</f>
        <v>0</v>
      </c>
      <c r="R43" s="515">
        <f>Germany!$W$50</f>
        <v>0</v>
      </c>
      <c r="S43" s="517" t="e">
        <f t="shared" si="3"/>
        <v>#DIV/0!</v>
      </c>
      <c r="T43" s="518" t="e">
        <f t="shared" si="4"/>
        <v>#DIV/0!</v>
      </c>
      <c r="U43" s="519" t="e">
        <f t="shared" si="5"/>
        <v>#DIV/0!</v>
      </c>
      <c r="V43" s="520">
        <f>Germany!$W$33</f>
        <v>0</v>
      </c>
      <c r="W43" s="520">
        <f>Germany!$W$40</f>
        <v>0</v>
      </c>
      <c r="X43" s="520">
        <f>Germany!$W$34</f>
        <v>0</v>
      </c>
      <c r="Y43" s="516">
        <f>Germany!$W$42</f>
        <v>0</v>
      </c>
      <c r="Z43" s="515">
        <f>Germany!$W$43</f>
        <v>0</v>
      </c>
      <c r="AA43" s="516">
        <f>Germany!$W$44</f>
        <v>0</v>
      </c>
      <c r="AB43" s="516" t="str">
        <f>Germany!$W$9</f>
        <v>Daniel Krauss</v>
      </c>
      <c r="AC43" s="515">
        <f>Germany!$W$2</f>
        <v>0</v>
      </c>
    </row>
    <row r="44" spans="1:29" ht="28">
      <c r="A44" s="515" t="s">
        <v>2</v>
      </c>
      <c r="B44" s="516" t="str">
        <f>Germany!$AB$4</f>
        <v>BU Germany (AZ Warranty)</v>
      </c>
      <c r="C44" s="515" t="str">
        <f>Germany!$AB$17</f>
        <v>Germany</v>
      </c>
      <c r="D44" s="515" t="str">
        <f>Germany!$AB$15</f>
        <v>Unterföhring</v>
      </c>
      <c r="E44" s="515">
        <f>Germany!$AB$16</f>
        <v>85774</v>
      </c>
      <c r="F44" s="516" t="str">
        <f>Germany!$AB$14</f>
        <v>Beta-Str. 13</v>
      </c>
      <c r="G44" s="523" t="str">
        <f>Germany!$AB$18</f>
        <v>Rental</v>
      </c>
      <c r="H44" s="515" t="str">
        <f>Germany!$AB$11</f>
        <v>DE10</v>
      </c>
      <c r="I44" s="515" t="str">
        <f>Germany!$AB$19</f>
        <v>Yes</v>
      </c>
      <c r="J44" s="516" t="str">
        <f>Germany!$AB$13</f>
        <v>50% ground floor</v>
      </c>
      <c r="K44" s="518">
        <f>Germany!$AB$24</f>
        <v>320.36</v>
      </c>
      <c r="L44" s="523" t="str">
        <f>Germany!$AB$26</f>
        <v>EUR</v>
      </c>
      <c r="M44" s="519">
        <f>Germany!$AB$28</f>
        <v>0</v>
      </c>
      <c r="N44" s="524" t="str">
        <f>Germany!$AB$29</f>
        <v>---</v>
      </c>
      <c r="O44" s="523" t="str">
        <f>Germany!$AB$27</f>
        <v>???</v>
      </c>
      <c r="P44" s="522" t="str">
        <f>Germany!$AB$30</f>
        <v>---</v>
      </c>
      <c r="Q44" s="515">
        <f>Germany!$AB$46</f>
        <v>0</v>
      </c>
      <c r="R44" s="515">
        <f>Germany!$AB$50</f>
        <v>0</v>
      </c>
      <c r="S44" s="517" t="e">
        <f t="shared" si="3"/>
        <v>#DIV/0!</v>
      </c>
      <c r="T44" s="518" t="e">
        <f t="shared" si="4"/>
        <v>#DIV/0!</v>
      </c>
      <c r="U44" s="519" t="e">
        <f t="shared" si="5"/>
        <v>#DIV/0!</v>
      </c>
      <c r="V44" s="520">
        <f>Germany!$AB$33</f>
        <v>45870</v>
      </c>
      <c r="W44" s="520" t="str">
        <f>Germany!$AB$40</f>
        <v>undetermined</v>
      </c>
      <c r="X44" s="520" t="str">
        <f>Germany!$AB$34</f>
        <v>undetermined</v>
      </c>
      <c r="Y44" s="516" t="str">
        <f>Germany!$AB$42</f>
        <v>No</v>
      </c>
      <c r="Z44" s="515" t="str">
        <f>Germany!$AB$43</f>
        <v>Yes</v>
      </c>
      <c r="AA44" s="516" t="str">
        <f>Germany!$AB$44</f>
        <v>Yes</v>
      </c>
      <c r="AB44" s="516" t="str">
        <f>Germany!$AB$9</f>
        <v>Daniel Krauss</v>
      </c>
      <c r="AC44" s="515">
        <f>Germany!$AB$2</f>
        <v>0</v>
      </c>
    </row>
    <row r="45" spans="1:29" ht="56">
      <c r="A45" s="515" t="s">
        <v>2</v>
      </c>
      <c r="B45" s="516" t="str">
        <f>Germany!$U$4</f>
        <v>BU Germany (MAWISTA)</v>
      </c>
      <c r="C45" s="515" t="str">
        <f>Germany!$U$17</f>
        <v>Germany</v>
      </c>
      <c r="D45" s="515" t="str">
        <f>Germany!$U$15</f>
        <v>Plochingen</v>
      </c>
      <c r="E45" s="515">
        <f>Germany!$U$16</f>
        <v>73207</v>
      </c>
      <c r="F45" s="516" t="str">
        <f>Germany!$U$14</f>
        <v>Esslinger Str. 83</v>
      </c>
      <c r="G45" s="523" t="str">
        <f>Germany!$U$18</f>
        <v>Rental</v>
      </c>
      <c r="H45" s="515" t="str">
        <f>Germany!$U$11</f>
        <v>DE12</v>
      </c>
      <c r="I45" s="515" t="str">
        <f>Germany!$U$19</f>
        <v>No</v>
      </c>
      <c r="J45" s="516" t="str">
        <f>Germany!$U$13</f>
        <v>Whole 1st floor</v>
      </c>
      <c r="K45" s="518">
        <f>Germany!$U$24</f>
        <v>394.61</v>
      </c>
      <c r="L45" s="523" t="str">
        <f>Germany!$U$26</f>
        <v>EUR</v>
      </c>
      <c r="M45" s="519">
        <f>Germany!$U$28</f>
        <v>15</v>
      </c>
      <c r="N45" s="524" t="str">
        <f>Germany!$U$29</f>
        <v>Indexation according to Consumer Price Index (VPI); adjustment if VPI increases by ≥ 5 %. No fixed annual percentage.</v>
      </c>
      <c r="O45" s="523">
        <f>Germany!$U$27</f>
        <v>5148.6899999999996</v>
      </c>
      <c r="P45" s="526">
        <f>Germany!$U$30</f>
        <v>2.0222498162742961</v>
      </c>
      <c r="Q45" s="515" t="str">
        <f>Germany!$U$46</f>
        <v>14, possible second workplace line (20-24)</v>
      </c>
      <c r="R45" s="515">
        <f>Germany!$U$50</f>
        <v>14</v>
      </c>
      <c r="S45" s="517" t="e">
        <f t="shared" si="3"/>
        <v>#VALUE!</v>
      </c>
      <c r="T45" s="518">
        <f t="shared" si="4"/>
        <v>28.186428571428571</v>
      </c>
      <c r="U45" s="519" t="e">
        <f t="shared" si="5"/>
        <v>#VALUE!</v>
      </c>
      <c r="V45" s="520">
        <f>Germany!$U$33</f>
        <v>43922</v>
      </c>
      <c r="W45" s="520">
        <f>Germany!$U$40</f>
        <v>46477</v>
      </c>
      <c r="X45" s="520">
        <f>Germany!$U$34</f>
        <v>46477</v>
      </c>
      <c r="Y45" s="516" t="str">
        <f>Germany!$U$42</f>
        <v>No sublease agreement currently in place</v>
      </c>
      <c r="Z45" s="515" t="str">
        <f>Germany!$U$43</f>
        <v>No</v>
      </c>
      <c r="AA45" s="516" t="str">
        <f>Germany!$U$44</f>
        <v>No</v>
      </c>
      <c r="AB45" s="516" t="str">
        <f>Germany!$U$9</f>
        <v>Daniel Krauss</v>
      </c>
      <c r="AC45" s="515">
        <f>Germany!$U$2</f>
        <v>0</v>
      </c>
    </row>
    <row r="46" spans="1:29" ht="28">
      <c r="A46" s="515" t="s">
        <v>2</v>
      </c>
      <c r="B46" s="516" t="str">
        <f>Germany!$S$4</f>
        <v>BU Germany (MKS)</v>
      </c>
      <c r="C46" s="515" t="str">
        <f>Germany!$S$17</f>
        <v>Germany</v>
      </c>
      <c r="D46" s="515" t="str">
        <f>Germany!$S$15</f>
        <v>Nürnberg</v>
      </c>
      <c r="E46" s="515">
        <f>Germany!$S$16</f>
        <v>90429</v>
      </c>
      <c r="F46" s="516" t="str">
        <f>Germany!$S$14</f>
        <v>Deutschherrnstraße 15-19</v>
      </c>
      <c r="G46" s="523" t="str">
        <f>Germany!$S$18</f>
        <v>Rental</v>
      </c>
      <c r="H46" s="515" t="str">
        <f>Germany!$S$11</f>
        <v>DE13</v>
      </c>
      <c r="I46" s="515" t="str">
        <f>Germany!$S$19</f>
        <v>No</v>
      </c>
      <c r="J46" s="516" t="str">
        <f>Germany!$S$13</f>
        <v>2nd Floor Building B</v>
      </c>
      <c r="K46" s="518">
        <f>Germany!$S$24</f>
        <v>660</v>
      </c>
      <c r="L46" s="523" t="str">
        <f>Germany!$S$26</f>
        <v>EUR</v>
      </c>
      <c r="M46" s="519" t="str">
        <f>Germany!$S$28</f>
        <v>3,57 EUR/m²</v>
      </c>
      <c r="N46" s="524">
        <f>Germany!$S$29</f>
        <v>0</v>
      </c>
      <c r="O46" s="523" t="str">
        <f>Germany!$S$27</f>
        <v>13.135,67 EUR</v>
      </c>
      <c r="P46" s="522" t="str">
        <f>Germany!$S$30</f>
        <v>---</v>
      </c>
      <c r="Q46" s="515">
        <f>Germany!$S$46</f>
        <v>0</v>
      </c>
      <c r="R46" s="515">
        <f>Germany!$S$50</f>
        <v>0</v>
      </c>
      <c r="S46" s="517" t="e">
        <f t="shared" si="3"/>
        <v>#DIV/0!</v>
      </c>
      <c r="T46" s="518" t="e">
        <f t="shared" si="4"/>
        <v>#DIV/0!</v>
      </c>
      <c r="U46" s="519" t="e">
        <f t="shared" si="5"/>
        <v>#DIV/0!</v>
      </c>
      <c r="V46" s="520">
        <f>Germany!$S$33</f>
        <v>43770</v>
      </c>
      <c r="W46" s="520">
        <f>Germany!$S$40</f>
        <v>46326</v>
      </c>
      <c r="X46" s="520">
        <f>Germany!$S$34</f>
        <v>46326</v>
      </c>
      <c r="Y46" s="516">
        <f>Germany!$S$42</f>
        <v>0</v>
      </c>
      <c r="Z46" s="515" t="str">
        <f>Germany!$S$43</f>
        <v>No</v>
      </c>
      <c r="AA46" s="516" t="str">
        <f>Germany!$S$44</f>
        <v>No</v>
      </c>
      <c r="AB46" s="516" t="str">
        <f>Germany!$S$9</f>
        <v>Daniel Krauss</v>
      </c>
      <c r="AC46" s="515">
        <f>Germany!$S$2</f>
        <v>0</v>
      </c>
    </row>
    <row r="47" spans="1:29" ht="28">
      <c r="A47" s="515" t="s">
        <v>2</v>
      </c>
      <c r="B47" s="516" t="str">
        <f>Germany!$T$4</f>
        <v>BU Germany (REHACARE)</v>
      </c>
      <c r="C47" s="515" t="str">
        <f>Germany!$T$17</f>
        <v>Germany</v>
      </c>
      <c r="D47" s="515" t="str">
        <f>Germany!$T$15</f>
        <v>Nürnberg</v>
      </c>
      <c r="E47" s="515">
        <f>Germany!$T$16</f>
        <v>90402</v>
      </c>
      <c r="F47" s="516" t="str">
        <f>Germany!$T$14</f>
        <v>Karl-Grillenberger-Str. 1</v>
      </c>
      <c r="G47" s="523" t="str">
        <f>Germany!$T$18</f>
        <v>Rental</v>
      </c>
      <c r="H47" s="515" t="str">
        <f>Germany!$T$11</f>
        <v>DE22</v>
      </c>
      <c r="I47" s="515" t="str">
        <f>Germany!$T$19</f>
        <v>No</v>
      </c>
      <c r="J47" s="516" t="str">
        <f>Germany!$T$13</f>
        <v>3rd Floor</v>
      </c>
      <c r="K47" s="518">
        <f>Germany!$T$24</f>
        <v>53.4</v>
      </c>
      <c r="L47" s="523" t="str">
        <f>Germany!$T$26</f>
        <v>EUR</v>
      </c>
      <c r="M47" s="519">
        <f>Germany!$T$28</f>
        <v>21.521910112359549</v>
      </c>
      <c r="N47" s="524">
        <f>Germany!$T$29</f>
        <v>0</v>
      </c>
      <c r="O47" s="523">
        <f>Germany!$T$27</f>
        <v>1149.27</v>
      </c>
      <c r="P47" s="522" t="str">
        <f>Germany!$T$30</f>
        <v>---</v>
      </c>
      <c r="Q47" s="515">
        <f>Germany!$T$46</f>
        <v>3</v>
      </c>
      <c r="R47" s="515">
        <f>Germany!$T$50</f>
        <v>3</v>
      </c>
      <c r="S47" s="517">
        <f t="shared" si="3"/>
        <v>1</v>
      </c>
      <c r="T47" s="518">
        <f t="shared" si="4"/>
        <v>17.8</v>
      </c>
      <c r="U47" s="519">
        <f t="shared" si="5"/>
        <v>17.8</v>
      </c>
      <c r="V47" s="520">
        <f>Germany!$T$33</f>
        <v>43497</v>
      </c>
      <c r="W47" s="520">
        <f>Germany!$T$40</f>
        <v>0</v>
      </c>
      <c r="X47" s="520" t="str">
        <f>Germany!$T$34</f>
        <v>undetermined</v>
      </c>
      <c r="Y47" s="516">
        <f>Germany!$T$42</f>
        <v>0</v>
      </c>
      <c r="Z47" s="515" t="str">
        <f>Germany!$T$43</f>
        <v>No</v>
      </c>
      <c r="AA47" s="516" t="str">
        <f>Germany!$T$44</f>
        <v>No</v>
      </c>
      <c r="AB47" s="516" t="str">
        <f>Germany!$T$9</f>
        <v>Daniel Krauss</v>
      </c>
      <c r="AC47" s="515">
        <f>Germany!$T$2</f>
        <v>0</v>
      </c>
    </row>
    <row r="48" spans="1:29" ht="28">
      <c r="A48" s="515" t="s">
        <v>2</v>
      </c>
      <c r="B48" s="516" t="str">
        <f>Germany!$V$4</f>
        <v>BU Germany (REHACARE)</v>
      </c>
      <c r="C48" s="515" t="str">
        <f>Germany!$V$17</f>
        <v>Germany</v>
      </c>
      <c r="D48" s="515" t="str">
        <f>Germany!$V$15</f>
        <v>Pulsnitz</v>
      </c>
      <c r="E48" s="515" t="str">
        <f>Germany!$V$16</f>
        <v>01896</v>
      </c>
      <c r="F48" s="516" t="str">
        <f>Germany!$V$14</f>
        <v>Robert-Koch-Straße 9</v>
      </c>
      <c r="G48" s="523" t="str">
        <f>Germany!$V$18</f>
        <v>Rental</v>
      </c>
      <c r="H48" s="515" t="str">
        <f>Germany!$V$11</f>
        <v>DE24</v>
      </c>
      <c r="I48" s="515" t="str">
        <f>Germany!$V$19</f>
        <v>No</v>
      </c>
      <c r="J48" s="516" t="str">
        <f>Germany!$V$13</f>
        <v>1st Floor</v>
      </c>
      <c r="K48" s="518">
        <f>Germany!$V$24</f>
        <v>40</v>
      </c>
      <c r="L48" s="523" t="str">
        <f>Germany!$V$26</f>
        <v>EUR</v>
      </c>
      <c r="M48" s="519">
        <f>Germany!$V$28</f>
        <v>9.375</v>
      </c>
      <c r="N48" s="524">
        <f>Germany!$V$29</f>
        <v>0</v>
      </c>
      <c r="O48" s="523">
        <f>Germany!$V$27</f>
        <v>375</v>
      </c>
      <c r="P48" s="522" t="str">
        <f>Germany!$V$30</f>
        <v>---</v>
      </c>
      <c r="Q48" s="515">
        <f>Germany!$V$46</f>
        <v>3</v>
      </c>
      <c r="R48" s="515">
        <f>Germany!$V$50</f>
        <v>3</v>
      </c>
      <c r="S48" s="517">
        <f t="shared" si="3"/>
        <v>1</v>
      </c>
      <c r="T48" s="518">
        <f t="shared" si="4"/>
        <v>13.333333333333334</v>
      </c>
      <c r="U48" s="519">
        <f t="shared" si="5"/>
        <v>13.333333333333334</v>
      </c>
      <c r="V48" s="520">
        <f>Germany!$V$33</f>
        <v>43891</v>
      </c>
      <c r="W48" s="520">
        <f>Germany!$V$40</f>
        <v>0</v>
      </c>
      <c r="X48" s="520" t="str">
        <f>Germany!$V$34</f>
        <v>undetermined</v>
      </c>
      <c r="Y48" s="516" t="str">
        <f>Germany!$V$42</f>
        <v>no</v>
      </c>
      <c r="Z48" s="515" t="str">
        <f>Germany!$V$43</f>
        <v>No</v>
      </c>
      <c r="AA48" s="516" t="str">
        <f>Germany!$V$44</f>
        <v>No</v>
      </c>
      <c r="AB48" s="516" t="str">
        <f>Germany!$V$9</f>
        <v>Daniel Krauss</v>
      </c>
      <c r="AC48" s="515">
        <f>Germany!$V$2</f>
        <v>0</v>
      </c>
    </row>
    <row r="49" spans="1:29" ht="28">
      <c r="A49" s="515" t="s">
        <v>2</v>
      </c>
      <c r="B49" s="516" t="str">
        <f>Germany!$Z$4</f>
        <v>BU Germany (REHACARE)</v>
      </c>
      <c r="C49" s="515" t="str">
        <f>Germany!$Z$17</f>
        <v>Germany</v>
      </c>
      <c r="D49" s="515" t="str">
        <f>Germany!$Z$15</f>
        <v>Weinheim</v>
      </c>
      <c r="E49" s="515">
        <f>Germany!$Z$16</f>
        <v>69469</v>
      </c>
      <c r="F49" s="516" t="str">
        <f>Germany!$Z$14</f>
        <v>Hildastr. 10</v>
      </c>
      <c r="G49" s="523" t="str">
        <f>Germany!$Z$18</f>
        <v>Rental</v>
      </c>
      <c r="H49" s="515" t="str">
        <f>Germany!$Z$11</f>
        <v>DE27</v>
      </c>
      <c r="I49" s="515" t="str">
        <f>Germany!$Z$19</f>
        <v>No</v>
      </c>
      <c r="J49" s="516" t="str">
        <f>Germany!$Z$13</f>
        <v>1st Floor</v>
      </c>
      <c r="K49" s="518">
        <f>Germany!$Z$24</f>
        <v>70</v>
      </c>
      <c r="L49" s="523" t="str">
        <f>Germany!$Z$26</f>
        <v>EUR</v>
      </c>
      <c r="M49" s="519">
        <f>Germany!$Z$28</f>
        <v>16.861428571428572</v>
      </c>
      <c r="N49" s="524">
        <f>Germany!$Z$29</f>
        <v>0</v>
      </c>
      <c r="O49" s="523">
        <f>Germany!$Z$27</f>
        <v>1180.3</v>
      </c>
      <c r="P49" s="522">
        <f>Germany!$Z$30</f>
        <v>0</v>
      </c>
      <c r="Q49" s="515">
        <f>Germany!$Z$46</f>
        <v>3</v>
      </c>
      <c r="R49" s="515">
        <f>Germany!$Z$50</f>
        <v>3</v>
      </c>
      <c r="S49" s="517">
        <f t="shared" si="3"/>
        <v>1</v>
      </c>
      <c r="T49" s="518">
        <f t="shared" si="4"/>
        <v>23.333333333333332</v>
      </c>
      <c r="U49" s="519">
        <f t="shared" si="5"/>
        <v>23.333333333333332</v>
      </c>
      <c r="V49" s="520">
        <f>Germany!$Z$33</f>
        <v>43466</v>
      </c>
      <c r="W49" s="520">
        <f>Germany!$Z$40</f>
        <v>0</v>
      </c>
      <c r="X49" s="520" t="str">
        <f>Germany!$Z$34</f>
        <v>undetermined</v>
      </c>
      <c r="Y49" s="516" t="str">
        <f>Germany!$Z$42</f>
        <v>no</v>
      </c>
      <c r="Z49" s="515" t="str">
        <f>Germany!$Z$43</f>
        <v>no</v>
      </c>
      <c r="AA49" s="516">
        <f>Germany!$Z$44</f>
        <v>0</v>
      </c>
      <c r="AB49" s="516" t="str">
        <f>Germany!$Z$9</f>
        <v>Daniel Krauss</v>
      </c>
      <c r="AC49" s="515">
        <f>Germany!$Z$2</f>
        <v>0</v>
      </c>
    </row>
    <row r="50" spans="1:29" ht="28">
      <c r="A50" s="515" t="s">
        <v>2</v>
      </c>
      <c r="B50" s="516" t="str">
        <f>Germany!$X$4</f>
        <v>BU Germany (REHACARE)</v>
      </c>
      <c r="C50" s="515" t="str">
        <f>Germany!$X$17</f>
        <v>Germany</v>
      </c>
      <c r="D50" s="515" t="str">
        <f>Germany!$X$15</f>
        <v>Siegen</v>
      </c>
      <c r="E50" s="515">
        <f>Germany!$X$16</f>
        <v>57076</v>
      </c>
      <c r="F50" s="516" t="str">
        <f>Germany!$X$14</f>
        <v>Weidenauer Str. 167a</v>
      </c>
      <c r="G50" s="523" t="str">
        <f>Germany!$X$18</f>
        <v>Rental</v>
      </c>
      <c r="H50" s="515" t="str">
        <f>Germany!$X$11</f>
        <v>DE25</v>
      </c>
      <c r="I50" s="515" t="str">
        <f>Germany!$X$19</f>
        <v>No</v>
      </c>
      <c r="J50" s="516" t="str">
        <f>Germany!$X$13</f>
        <v>5th Floor</v>
      </c>
      <c r="K50" s="518">
        <f>Germany!$X$24</f>
        <v>20</v>
      </c>
      <c r="L50" s="523" t="str">
        <f>Germany!$X$26</f>
        <v>EUR</v>
      </c>
      <c r="M50" s="519">
        <f>Germany!$X$28</f>
        <v>20.381</v>
      </c>
      <c r="N50" s="524">
        <f>Germany!$X$29</f>
        <v>0</v>
      </c>
      <c r="O50" s="523">
        <f>Germany!$X$27</f>
        <v>407.62</v>
      </c>
      <c r="P50" s="522" t="str">
        <f>Germany!$X$30</f>
        <v>---</v>
      </c>
      <c r="Q50" s="515">
        <f>Germany!$X$46</f>
        <v>1</v>
      </c>
      <c r="R50" s="515">
        <f>Germany!$X$50</f>
        <v>1</v>
      </c>
      <c r="S50" s="517">
        <f t="shared" si="3"/>
        <v>1</v>
      </c>
      <c r="T50" s="518">
        <f t="shared" si="4"/>
        <v>20</v>
      </c>
      <c r="U50" s="519">
        <f t="shared" si="5"/>
        <v>20</v>
      </c>
      <c r="V50" s="520">
        <f>Germany!$X$33</f>
        <v>41730</v>
      </c>
      <c r="W50" s="520">
        <f>Germany!$X$40</f>
        <v>0</v>
      </c>
      <c r="X50" s="520" t="str">
        <f>Germany!$X$34</f>
        <v>undetermined</v>
      </c>
      <c r="Y50" s="516" t="str">
        <f>Germany!$X$42</f>
        <v>no</v>
      </c>
      <c r="Z50" s="515" t="str">
        <f>Germany!$X$43</f>
        <v>no</v>
      </c>
      <c r="AA50" s="516" t="str">
        <f>Germany!$X$44</f>
        <v>No</v>
      </c>
      <c r="AB50" s="516" t="str">
        <f>Germany!$X$9</f>
        <v>Daniel Krauss</v>
      </c>
      <c r="AC50" s="515">
        <f>Germany!$X$2</f>
        <v>0</v>
      </c>
    </row>
    <row r="51" spans="1:29" ht="28">
      <c r="A51" s="515" t="s">
        <v>2</v>
      </c>
      <c r="B51" s="516" t="str">
        <f>Germany!$AA$4</f>
        <v>BU Germany (REHACARE)</v>
      </c>
      <c r="C51" s="515" t="str">
        <f>Germany!$AA$17</f>
        <v>Germany</v>
      </c>
      <c r="D51" s="515" t="str">
        <f>Germany!$AA$15</f>
        <v>Unna</v>
      </c>
      <c r="E51" s="515">
        <f>Germany!$AA$16</f>
        <v>59423</v>
      </c>
      <c r="F51" s="516" t="str">
        <f>Germany!$AA$14</f>
        <v>Max-Planck-Str. 7</v>
      </c>
      <c r="G51" s="523" t="str">
        <f>Germany!$AA$18</f>
        <v>Rental</v>
      </c>
      <c r="H51" s="515" t="str">
        <f>Germany!$AA$11</f>
        <v>DE28</v>
      </c>
      <c r="I51" s="515" t="str">
        <f>Germany!$AA$19</f>
        <v>No</v>
      </c>
      <c r="J51" s="516" t="str">
        <f>Germany!$AA$13</f>
        <v>Ground Floor</v>
      </c>
      <c r="K51" s="518">
        <f>Germany!$AA$24</f>
        <v>25</v>
      </c>
      <c r="L51" s="523" t="str">
        <f>Germany!$AA$26</f>
        <v>EUR</v>
      </c>
      <c r="M51" s="519">
        <f>Germany!$AA$28</f>
        <v>10.96</v>
      </c>
      <c r="N51" s="524">
        <f>Germany!$AA$29</f>
        <v>0</v>
      </c>
      <c r="O51" s="523">
        <f>Germany!$AA$27</f>
        <v>274</v>
      </c>
      <c r="P51" s="522">
        <f>Germany!$AA$30</f>
        <v>0</v>
      </c>
      <c r="Q51" s="515">
        <f>Germany!$AA$46</f>
        <v>1</v>
      </c>
      <c r="R51" s="515">
        <f>Germany!$AA$50</f>
        <v>1</v>
      </c>
      <c r="S51" s="517">
        <f t="shared" si="3"/>
        <v>1</v>
      </c>
      <c r="T51" s="518">
        <f t="shared" si="4"/>
        <v>25</v>
      </c>
      <c r="U51" s="519">
        <f t="shared" si="5"/>
        <v>25</v>
      </c>
      <c r="V51" s="520">
        <f>Germany!$AA$33</f>
        <v>42979</v>
      </c>
      <c r="W51" s="520">
        <f>Germany!$AA$40</f>
        <v>0</v>
      </c>
      <c r="X51" s="520" t="str">
        <f>Germany!$AA$34</f>
        <v>undetermined</v>
      </c>
      <c r="Y51" s="516" t="str">
        <f>Germany!$AA$42</f>
        <v>no</v>
      </c>
      <c r="Z51" s="515" t="str">
        <f>Germany!$AA$43</f>
        <v>no</v>
      </c>
      <c r="AA51" s="516" t="str">
        <f>Germany!$AA$44</f>
        <v>No</v>
      </c>
      <c r="AB51" s="516" t="str">
        <f>Germany!$AA$9</f>
        <v>Daniel Krauss</v>
      </c>
      <c r="AC51" s="515">
        <f>Germany!$AA$2</f>
        <v>0</v>
      </c>
    </row>
    <row r="52" spans="1:29" ht="28">
      <c r="A52" s="515" t="s">
        <v>2</v>
      </c>
      <c r="B52" s="516" t="str">
        <f>Germany!$N$4</f>
        <v>BU Germany (REHACARE)</v>
      </c>
      <c r="C52" s="515" t="str">
        <f>Germany!$N$17</f>
        <v>Germany</v>
      </c>
      <c r="D52" s="515" t="str">
        <f>Germany!$N$15</f>
        <v>Ludwigsburg</v>
      </c>
      <c r="E52" s="515">
        <f>Germany!$N$16</f>
        <v>71640</v>
      </c>
      <c r="F52" s="516" t="str">
        <f>Germany!$N$14</f>
        <v>Voithstr. 4</v>
      </c>
      <c r="G52" s="523" t="str">
        <f>Germany!$N$18</f>
        <v>Rental</v>
      </c>
      <c r="H52" s="515" t="str">
        <f>Germany!$N$11</f>
        <v>DE18</v>
      </c>
      <c r="I52" s="515" t="str">
        <f>Germany!$N$19</f>
        <v>No</v>
      </c>
      <c r="J52" s="516" t="str">
        <f>Germany!$N$13</f>
        <v>1st Floor</v>
      </c>
      <c r="K52" s="518">
        <f>Germany!$N$24</f>
        <v>108</v>
      </c>
      <c r="L52" s="523" t="str">
        <f>Germany!$N$26</f>
        <v>EUR</v>
      </c>
      <c r="M52" s="519">
        <f>Germany!$N$28</f>
        <v>13.817222222222222</v>
      </c>
      <c r="N52" s="524">
        <f>Germany!$N$29</f>
        <v>0</v>
      </c>
      <c r="O52" s="523">
        <f>Germany!$N$27</f>
        <v>1492.26</v>
      </c>
      <c r="P52" s="522" t="str">
        <f>Germany!$N$30</f>
        <v>---</v>
      </c>
      <c r="Q52" s="515">
        <f>Germany!$N$46</f>
        <v>3</v>
      </c>
      <c r="R52" s="515">
        <f>Germany!$N$50</f>
        <v>3</v>
      </c>
      <c r="S52" s="517">
        <f t="shared" si="3"/>
        <v>1</v>
      </c>
      <c r="T52" s="518">
        <f t="shared" si="4"/>
        <v>36</v>
      </c>
      <c r="U52" s="519">
        <f t="shared" si="5"/>
        <v>36</v>
      </c>
      <c r="V52" s="520">
        <f>Germany!$N$33</f>
        <v>42826</v>
      </c>
      <c r="W52" s="520">
        <f>Germany!$N$40</f>
        <v>46112</v>
      </c>
      <c r="X52" s="520" t="str">
        <f>Germany!$N$34</f>
        <v>Contract terminated as of 31 March 2026</v>
      </c>
      <c r="Y52" s="516">
        <f>Germany!$N$42</f>
        <v>0</v>
      </c>
      <c r="Z52" s="515" t="str">
        <f>Germany!$N$43</f>
        <v>No</v>
      </c>
      <c r="AA52" s="516" t="str">
        <f>Germany!$N$44</f>
        <v>No</v>
      </c>
      <c r="AB52" s="516" t="str">
        <f>Germany!$N$9</f>
        <v>Daniel Krauss</v>
      </c>
      <c r="AC52" s="515">
        <f>Germany!$N$2</f>
        <v>0</v>
      </c>
    </row>
    <row r="53" spans="1:29" ht="28">
      <c r="A53" s="515" t="s">
        <v>2</v>
      </c>
      <c r="B53" s="516" t="str">
        <f>Germany!$Q$4</f>
        <v>BU Germany (REHACARE)</v>
      </c>
      <c r="C53" s="515" t="str">
        <f>Germany!$Q$17</f>
        <v>Germany</v>
      </c>
      <c r="D53" s="515" t="str">
        <f>Germany!$Q$15</f>
        <v>München</v>
      </c>
      <c r="E53" s="515">
        <f>Germany!$Q$16</f>
        <v>80337</v>
      </c>
      <c r="F53" s="516" t="str">
        <f>Germany!$Q$14</f>
        <v>Kapuzinerstraße 9D</v>
      </c>
      <c r="G53" s="523" t="str">
        <f>Germany!$Q$18</f>
        <v>Rental</v>
      </c>
      <c r="H53" s="515" t="str">
        <f>Germany!$Q$11</f>
        <v>DE21</v>
      </c>
      <c r="I53" s="515" t="str">
        <f>Germany!$Q$19</f>
        <v>No</v>
      </c>
      <c r="J53" s="516" t="str">
        <f>Germany!$Q$13</f>
        <v>2nd Floor</v>
      </c>
      <c r="K53" s="518">
        <f>Germany!$Q$24</f>
        <v>385.15</v>
      </c>
      <c r="L53" s="523" t="str">
        <f>Germany!$Q$26</f>
        <v>EUR</v>
      </c>
      <c r="M53" s="519">
        <f>Germany!$Q$28</f>
        <v>29.808957549006884</v>
      </c>
      <c r="N53" s="524" t="str">
        <f>Germany!$Q$29</f>
        <v>5 % index if consumer-index is high enough</v>
      </c>
      <c r="O53" s="523">
        <f>Germany!$Q$27</f>
        <v>11480.92</v>
      </c>
      <c r="P53" s="522" t="str">
        <f>Germany!$Q$30</f>
        <v>---</v>
      </c>
      <c r="Q53" s="515">
        <f>Germany!$Q$46</f>
        <v>16</v>
      </c>
      <c r="R53" s="515">
        <f>Germany!$Q$50</f>
        <v>16</v>
      </c>
      <c r="S53" s="517">
        <f t="shared" si="3"/>
        <v>1</v>
      </c>
      <c r="T53" s="518">
        <f t="shared" si="4"/>
        <v>24.071874999999999</v>
      </c>
      <c r="U53" s="519">
        <f t="shared" si="5"/>
        <v>24.071874999999999</v>
      </c>
      <c r="V53" s="520">
        <f>Germany!$Q$33</f>
        <v>43770</v>
      </c>
      <c r="W53" s="520" t="str">
        <f>Germany!$Q$40</f>
        <v>undetermined</v>
      </c>
      <c r="X53" s="520">
        <f>Germany!$Q$34</f>
        <v>46691</v>
      </c>
      <c r="Y53" s="516">
        <f>Germany!$Q$42</f>
        <v>0</v>
      </c>
      <c r="Z53" s="515" t="str">
        <f>Germany!$Q$43</f>
        <v>yes</v>
      </c>
      <c r="AA53" s="516" t="str">
        <f>Germany!$Q$44</f>
        <v>No</v>
      </c>
      <c r="AB53" s="516" t="str">
        <f>Germany!$Q$9</f>
        <v>Daniel Krauss</v>
      </c>
      <c r="AC53" s="515">
        <f>Germany!$Q$2</f>
        <v>0</v>
      </c>
    </row>
    <row r="54" spans="1:29" ht="28">
      <c r="A54" s="515" t="s">
        <v>2</v>
      </c>
      <c r="B54" s="516" t="str">
        <f>Germany!$O$4</f>
        <v>BU Germany (REHACARE)</v>
      </c>
      <c r="C54" s="515" t="str">
        <f>Germany!$O$17</f>
        <v>Germany</v>
      </c>
      <c r="D54" s="515" t="str">
        <f>Germany!$O$15</f>
        <v>Magdeburg</v>
      </c>
      <c r="E54" s="515">
        <f>Germany!$O$16</f>
        <v>39104</v>
      </c>
      <c r="F54" s="516" t="str">
        <f>Germany!$O$14</f>
        <v>Otto-von-Guericke-Straße 87a</v>
      </c>
      <c r="G54" s="523" t="str">
        <f>Germany!$O$18</f>
        <v>Rental</v>
      </c>
      <c r="H54" s="515" t="str">
        <f>Germany!$O$11</f>
        <v>DE19</v>
      </c>
      <c r="I54" s="515" t="str">
        <f>Germany!$O$19</f>
        <v>No</v>
      </c>
      <c r="J54" s="516" t="str">
        <f>Germany!$O$13</f>
        <v>6th Floor</v>
      </c>
      <c r="K54" s="518">
        <f>Germany!$O$24</f>
        <v>433</v>
      </c>
      <c r="L54" s="523" t="str">
        <f>Germany!$O$26</f>
        <v>EUR</v>
      </c>
      <c r="M54" s="519">
        <f>Germany!$O$28</f>
        <v>10.332655889145496</v>
      </c>
      <c r="N54" s="524">
        <f>Germany!$O$29</f>
        <v>0</v>
      </c>
      <c r="O54" s="523">
        <f>Germany!$O$27</f>
        <v>4474.04</v>
      </c>
      <c r="P54" s="522" t="str">
        <f>Germany!$O$30</f>
        <v>---</v>
      </c>
      <c r="Q54" s="515">
        <f>Germany!$O$46</f>
        <v>11</v>
      </c>
      <c r="R54" s="515">
        <f>Germany!$O$50</f>
        <v>11</v>
      </c>
      <c r="S54" s="517">
        <f t="shared" si="3"/>
        <v>1</v>
      </c>
      <c r="T54" s="518">
        <f t="shared" si="4"/>
        <v>39.363636363636367</v>
      </c>
      <c r="U54" s="519">
        <f t="shared" si="5"/>
        <v>39.363636363636367</v>
      </c>
      <c r="V54" s="520">
        <f>Germany!$O$33</f>
        <v>40269</v>
      </c>
      <c r="W54" s="520" t="str">
        <f>Germany!$O$40</f>
        <v>undetermined</v>
      </c>
      <c r="X54" s="520">
        <f>Germany!$O$34</f>
        <v>47573</v>
      </c>
      <c r="Y54" s="516">
        <f>Germany!$O$42</f>
        <v>0</v>
      </c>
      <c r="Z54" s="515" t="str">
        <f>Germany!$O$43</f>
        <v>yes</v>
      </c>
      <c r="AA54" s="516" t="str">
        <f>Germany!$O$44</f>
        <v>no</v>
      </c>
      <c r="AB54" s="516" t="str">
        <f>Germany!$O$9</f>
        <v>Daniel Krauss</v>
      </c>
      <c r="AC54" s="515">
        <f>Germany!$O$2</f>
        <v>0</v>
      </c>
    </row>
    <row r="55" spans="1:29" ht="28">
      <c r="A55" s="515" t="s">
        <v>2</v>
      </c>
      <c r="B55" s="516" t="str">
        <f>Germany!$G$4</f>
        <v>BU Germany (REHACARE)</v>
      </c>
      <c r="C55" s="515" t="str">
        <f>Germany!$G$17</f>
        <v>Germany</v>
      </c>
      <c r="D55" s="515" t="str">
        <f>Germany!$G$15</f>
        <v>Bad Vilbel</v>
      </c>
      <c r="E55" s="515">
        <f>Germany!$G$16</f>
        <v>61118</v>
      </c>
      <c r="F55" s="516" t="str">
        <f>Germany!$G$14</f>
        <v>Frankfurter Str. 40</v>
      </c>
      <c r="G55" s="523" t="str">
        <f>Germany!$G$18</f>
        <v>Rental</v>
      </c>
      <c r="H55" s="515" t="str">
        <f>Germany!$G$11</f>
        <v>DE14</v>
      </c>
      <c r="I55" s="515" t="str">
        <f>Germany!$G$19</f>
        <v>No</v>
      </c>
      <c r="J55" s="516" t="str">
        <f>Germany!$G$13</f>
        <v>1st Floor</v>
      </c>
      <c r="K55" s="518">
        <f>Germany!$G$24</f>
        <v>45</v>
      </c>
      <c r="L55" s="523" t="str">
        <f>Germany!$G$26</f>
        <v>EUR</v>
      </c>
      <c r="M55" s="519">
        <f>Germany!$G$28</f>
        <v>15.555555555555555</v>
      </c>
      <c r="N55" s="524">
        <f>Germany!$G$29</f>
        <v>0</v>
      </c>
      <c r="O55" s="523">
        <f>Germany!$G$27</f>
        <v>700</v>
      </c>
      <c r="P55" s="522">
        <f>Germany!$G$30</f>
        <v>0</v>
      </c>
      <c r="Q55" s="515">
        <f>Germany!$G$46</f>
        <v>2</v>
      </c>
      <c r="R55" s="515">
        <f>Germany!$G$50</f>
        <v>2</v>
      </c>
      <c r="S55" s="517">
        <f t="shared" si="3"/>
        <v>1</v>
      </c>
      <c r="T55" s="518">
        <f t="shared" si="4"/>
        <v>22.5</v>
      </c>
      <c r="U55" s="519">
        <f t="shared" si="5"/>
        <v>22.5</v>
      </c>
      <c r="V55" s="520">
        <f>Germany!$G$33</f>
        <v>43922</v>
      </c>
      <c r="W55" s="520" t="str">
        <f>Germany!$G$40</f>
        <v>undetermined</v>
      </c>
      <c r="X55" s="520" t="str">
        <f>Germany!$G$34</f>
        <v>not fixed</v>
      </c>
      <c r="Y55" s="516">
        <f>Germany!$G$42</f>
        <v>0</v>
      </c>
      <c r="Z55" s="515" t="str">
        <f>Germany!$G$43</f>
        <v>No</v>
      </c>
      <c r="AA55" s="516" t="str">
        <f>Germany!$G$44</f>
        <v>No</v>
      </c>
      <c r="AB55" s="516" t="str">
        <f>Germany!$G$9</f>
        <v>Daniel Krauss</v>
      </c>
      <c r="AC55" s="515">
        <f>Germany!$G$2</f>
        <v>0</v>
      </c>
    </row>
    <row r="56" spans="1:29" ht="28">
      <c r="A56" s="515" t="s">
        <v>2</v>
      </c>
      <c r="B56" s="516" t="str">
        <f>Germany!$K$4</f>
        <v>BU Germany (REHACARE)</v>
      </c>
      <c r="C56" s="515" t="str">
        <f>Germany!$K$17</f>
        <v>Germany</v>
      </c>
      <c r="D56" s="515" t="str">
        <f>Germany!$K$15</f>
        <v>Hamburg</v>
      </c>
      <c r="E56" s="515">
        <f>Germany!$K$16</f>
        <v>22805</v>
      </c>
      <c r="F56" s="516" t="str">
        <f>Germany!$K$14</f>
        <v>Stormsweg 3</v>
      </c>
      <c r="G56" s="523" t="str">
        <f>Germany!$K$18</f>
        <v>Rental</v>
      </c>
      <c r="H56" s="515" t="str">
        <f>Germany!$K$11</f>
        <v>DE16</v>
      </c>
      <c r="I56" s="515" t="str">
        <f>Germany!$K$19</f>
        <v>No</v>
      </c>
      <c r="J56" s="516" t="str">
        <f>Germany!$K$13</f>
        <v>1st Floor</v>
      </c>
      <c r="K56" s="518">
        <f>Germany!$K$24</f>
        <v>42</v>
      </c>
      <c r="L56" s="523" t="str">
        <f>Germany!$K$26</f>
        <v>EUR</v>
      </c>
      <c r="M56" s="519">
        <f>Germany!$K$28</f>
        <v>17.850000000000001</v>
      </c>
      <c r="N56" s="524" t="str">
        <f>Germany!$K$29</f>
        <v>2 % per year starting 2027</v>
      </c>
      <c r="O56" s="523">
        <f>Germany!$K$27</f>
        <v>749.7</v>
      </c>
      <c r="P56" s="522" t="str">
        <f>Germany!$K$30</f>
        <v>---</v>
      </c>
      <c r="Q56" s="515">
        <f>Germany!$K$46</f>
        <v>2</v>
      </c>
      <c r="R56" s="515">
        <f>Germany!$K$50</f>
        <v>2</v>
      </c>
      <c r="S56" s="517">
        <f t="shared" si="3"/>
        <v>1</v>
      </c>
      <c r="T56" s="518">
        <f t="shared" si="4"/>
        <v>21</v>
      </c>
      <c r="U56" s="519">
        <f t="shared" si="5"/>
        <v>21</v>
      </c>
      <c r="V56" s="520">
        <f>Germany!$K$33</f>
        <v>45884</v>
      </c>
      <c r="W56" s="520" t="str">
        <f>Germany!$K$40</f>
        <v>undetermined</v>
      </c>
      <c r="X56" s="520" t="str">
        <f>Germany!$K$34</f>
        <v>undetermined</v>
      </c>
      <c r="Y56" s="516">
        <f>Germany!$K$42</f>
        <v>0</v>
      </c>
      <c r="Z56" s="515" t="str">
        <f>Germany!$K$43</f>
        <v>No</v>
      </c>
      <c r="AA56" s="516" t="str">
        <f>Germany!$K$44</f>
        <v>No</v>
      </c>
      <c r="AB56" s="516" t="str">
        <f>Germany!$K$9</f>
        <v>Daniel Krauss</v>
      </c>
      <c r="AC56" s="515">
        <f>Germany!$K$2</f>
        <v>0</v>
      </c>
    </row>
    <row r="57" spans="1:29" ht="28">
      <c r="A57" s="515" t="s">
        <v>2</v>
      </c>
      <c r="B57" s="516" t="str">
        <f>Germany!$L$4</f>
        <v>BU Germany (REHACARE)</v>
      </c>
      <c r="C57" s="515" t="str">
        <f>Germany!$L$17</f>
        <v>Germany</v>
      </c>
      <c r="D57" s="515" t="str">
        <f>Germany!$L$15</f>
        <v>Jena</v>
      </c>
      <c r="E57" s="515" t="str">
        <f>Germany!$L$16</f>
        <v>07743</v>
      </c>
      <c r="F57" s="516" t="str">
        <f>Germany!$L$14</f>
        <v>Dornburger Str. 161</v>
      </c>
      <c r="G57" s="523" t="str">
        <f>Germany!$L$18</f>
        <v>Rental</v>
      </c>
      <c r="H57" s="515" t="str">
        <f>Germany!$L$11</f>
        <v>DE17</v>
      </c>
      <c r="I57" s="515" t="str">
        <f>Germany!$L$19</f>
        <v>No</v>
      </c>
      <c r="J57" s="516" t="str">
        <f>Germany!$L$13</f>
        <v>1st Floor</v>
      </c>
      <c r="K57" s="518">
        <f>Germany!$L$24</f>
        <v>48.16</v>
      </c>
      <c r="L57" s="523" t="str">
        <f>Germany!$L$26</f>
        <v>EUR</v>
      </c>
      <c r="M57" s="519">
        <f>Germany!$L$28</f>
        <v>12.377491694352161</v>
      </c>
      <c r="N57" s="524">
        <f>Germany!$L$29</f>
        <v>0</v>
      </c>
      <c r="O57" s="523">
        <f>Germany!$L$27</f>
        <v>596.1</v>
      </c>
      <c r="P57" s="522" t="str">
        <f>Germany!$L$30</f>
        <v>---</v>
      </c>
      <c r="Q57" s="515">
        <f>Germany!$L$46</f>
        <v>2</v>
      </c>
      <c r="R57" s="515">
        <f>Germany!$L$50</f>
        <v>2</v>
      </c>
      <c r="S57" s="517">
        <f t="shared" si="3"/>
        <v>1</v>
      </c>
      <c r="T57" s="518">
        <f t="shared" si="4"/>
        <v>24.08</v>
      </c>
      <c r="U57" s="519">
        <f t="shared" si="5"/>
        <v>24.08</v>
      </c>
      <c r="V57" s="520">
        <f>Germany!$L$33</f>
        <v>43040</v>
      </c>
      <c r="W57" s="520" t="str">
        <f>Germany!$L$40</f>
        <v>undetermined</v>
      </c>
      <c r="X57" s="520" t="str">
        <f>Germany!$L$34</f>
        <v>undetermined</v>
      </c>
      <c r="Y57" s="516">
        <f>Germany!$L$42</f>
        <v>0</v>
      </c>
      <c r="Z57" s="515" t="str">
        <f>Germany!$L$43</f>
        <v>No</v>
      </c>
      <c r="AA57" s="516" t="str">
        <f>Germany!$L$44</f>
        <v>No</v>
      </c>
      <c r="AB57" s="516" t="str">
        <f>Germany!$L$9</f>
        <v>Daniel Krauss</v>
      </c>
      <c r="AC57" s="515">
        <f>Germany!$L$2</f>
        <v>0</v>
      </c>
    </row>
    <row r="58" spans="1:29" ht="28">
      <c r="A58" s="515" t="s">
        <v>2</v>
      </c>
      <c r="B58" s="516" t="str">
        <f>Germany!$P$4</f>
        <v>BU Germany (REHACARE)</v>
      </c>
      <c r="C58" s="515" t="str">
        <f>Germany!$P$17</f>
        <v>Germany</v>
      </c>
      <c r="D58" s="515" t="str">
        <f>Germany!$P$15</f>
        <v>Meisenheim</v>
      </c>
      <c r="E58" s="515">
        <f>Germany!$P$16</f>
        <v>55590</v>
      </c>
      <c r="F58" s="516" t="str">
        <f>Germany!$P$14</f>
        <v>Marktgasse 7b</v>
      </c>
      <c r="G58" s="523" t="str">
        <f>Germany!$P$18</f>
        <v>Rental</v>
      </c>
      <c r="H58" s="515" t="str">
        <f>Germany!$P$11</f>
        <v>DE20</v>
      </c>
      <c r="I58" s="515" t="str">
        <f>Germany!$P$19</f>
        <v>No</v>
      </c>
      <c r="J58" s="516" t="str">
        <f>Germany!$P$13</f>
        <v>1st Floor</v>
      </c>
      <c r="K58" s="518">
        <f>Germany!$P$24</f>
        <v>30</v>
      </c>
      <c r="L58" s="523" t="str">
        <f>Germany!$P$26</f>
        <v>EUR</v>
      </c>
      <c r="M58" s="519">
        <f>Germany!$P$28</f>
        <v>10.71</v>
      </c>
      <c r="N58" s="524">
        <f>Germany!$P$29</f>
        <v>0</v>
      </c>
      <c r="O58" s="523">
        <f>Germany!$P$27</f>
        <v>321.3</v>
      </c>
      <c r="P58" s="522" t="str">
        <f>Germany!$P$30</f>
        <v>---</v>
      </c>
      <c r="Q58" s="515">
        <f>Germany!$P$46</f>
        <v>1</v>
      </c>
      <c r="R58" s="515">
        <f>Germany!$P$50</f>
        <v>1</v>
      </c>
      <c r="S58" s="517">
        <f t="shared" si="3"/>
        <v>1</v>
      </c>
      <c r="T58" s="518">
        <f t="shared" si="4"/>
        <v>30</v>
      </c>
      <c r="U58" s="519">
        <f t="shared" si="5"/>
        <v>30</v>
      </c>
      <c r="V58" s="520">
        <f>Germany!$P$33</f>
        <v>43282</v>
      </c>
      <c r="W58" s="520" t="str">
        <f>Germany!$P$40</f>
        <v>undetermined</v>
      </c>
      <c r="X58" s="520" t="str">
        <f>Germany!$P$34</f>
        <v>undetermined</v>
      </c>
      <c r="Y58" s="516">
        <f>Germany!$P$42</f>
        <v>0</v>
      </c>
      <c r="Z58" s="515" t="str">
        <f>Germany!$P$43</f>
        <v>No</v>
      </c>
      <c r="AA58" s="516" t="str">
        <f>Germany!$P$44</f>
        <v>No</v>
      </c>
      <c r="AB58" s="516" t="str">
        <f>Germany!$P$9</f>
        <v>Daniel Krauss</v>
      </c>
      <c r="AC58" s="515">
        <f>Germany!$P$2</f>
        <v>0</v>
      </c>
    </row>
    <row r="59" spans="1:29" ht="14">
      <c r="A59" s="515" t="s">
        <v>2</v>
      </c>
      <c r="B59" s="516" t="str">
        <f>Germany!$AE$4</f>
        <v>Global Office</v>
      </c>
      <c r="C59" s="515" t="str">
        <f>Germany!$AE$17</f>
        <v>Germany</v>
      </c>
      <c r="D59" s="515" t="str">
        <f>Germany!$AE$15</f>
        <v>Munich</v>
      </c>
      <c r="E59" s="515">
        <f>Germany!$AE$16</f>
        <v>81671</v>
      </c>
      <c r="F59" s="516" t="str">
        <f>Germany!$AE$14</f>
        <v>Atelierstrasse 14</v>
      </c>
      <c r="G59" s="523" t="str">
        <f>Germany!$AE$18</f>
        <v>Rental</v>
      </c>
      <c r="H59" s="515" t="str">
        <f>Germany!$AE$11</f>
        <v>DE29</v>
      </c>
      <c r="I59" s="515" t="str">
        <f>Germany!$AE$19</f>
        <v>No</v>
      </c>
      <c r="J59" s="516" t="str">
        <f>Germany!$AE$13</f>
        <v>4th and 5th floor</v>
      </c>
      <c r="K59" s="518">
        <f>Germany!$AE$24</f>
        <v>1266</v>
      </c>
      <c r="L59" s="523" t="str">
        <f>Germany!$AE$26</f>
        <v>EUR</v>
      </c>
      <c r="M59" s="519">
        <f>Germany!$AE$28</f>
        <v>434</v>
      </c>
      <c r="N59" s="524" t="str">
        <f>Germany!$AE$29</f>
        <v>CPI</v>
      </c>
      <c r="O59" s="523">
        <f>Germany!$AE$27</f>
        <v>0</v>
      </c>
      <c r="P59" s="522">
        <f>Germany!$AE$30</f>
        <v>400000</v>
      </c>
      <c r="Q59" s="515">
        <f>Germany!$AE$46</f>
        <v>150</v>
      </c>
      <c r="R59" s="515">
        <f>Germany!$AE$50</f>
        <v>65</v>
      </c>
      <c r="S59" s="517">
        <f t="shared" si="3"/>
        <v>0.43333333333333335</v>
      </c>
      <c r="T59" s="518">
        <f t="shared" si="4"/>
        <v>19.476923076923075</v>
      </c>
      <c r="U59" s="519">
        <f t="shared" si="5"/>
        <v>8.44</v>
      </c>
      <c r="V59" s="520">
        <f>Germany!$AE$33</f>
        <v>44317</v>
      </c>
      <c r="W59" s="520">
        <f>Germany!$AE$40</f>
        <v>46142</v>
      </c>
      <c r="X59" s="520">
        <f>Germany!$AE$34</f>
        <v>46142</v>
      </c>
      <c r="Y59" s="516" t="str">
        <f>Germany!$AE$42</f>
        <v>No</v>
      </c>
      <c r="Z59" s="515" t="str">
        <f>Germany!$AE$43</f>
        <v>Yes</v>
      </c>
      <c r="AA59" s="516" t="str">
        <f>Germany!$AE$44</f>
        <v>No</v>
      </c>
      <c r="AB59" s="516">
        <f>Germany!$AE$9</f>
        <v>0</v>
      </c>
      <c r="AC59" s="515">
        <f>Germany!$AE$2</f>
        <v>0</v>
      </c>
    </row>
    <row r="60" spans="1:29" ht="14">
      <c r="A60" s="515" t="s">
        <v>2</v>
      </c>
      <c r="B60" s="516" t="str">
        <f>Greece!$F$4</f>
        <v>BU Greece</v>
      </c>
      <c r="C60" s="515" t="str">
        <f>Greece!$F$17</f>
        <v>Greece</v>
      </c>
      <c r="D60" s="515" t="str">
        <f>Greece!$F$15</f>
        <v>Thessaloniki</v>
      </c>
      <c r="E60" s="515">
        <f>Greece!$F$16</f>
        <v>57001</v>
      </c>
      <c r="F60" s="516" t="str">
        <f>Greece!$F$14</f>
        <v>17km Poligirou, Thermi</v>
      </c>
      <c r="G60" s="523" t="str">
        <f>Greece!$F$18</f>
        <v>Rental</v>
      </c>
      <c r="H60" s="515" t="str">
        <f>Greece!$F$11</f>
        <v>GR03</v>
      </c>
      <c r="I60" s="515" t="str">
        <f>Greece!$F$19</f>
        <v>No</v>
      </c>
      <c r="J60" s="516" t="str">
        <f>Greece!$F$13</f>
        <v>whole building</v>
      </c>
      <c r="K60" s="518">
        <f>Greece!$F$24</f>
        <v>440</v>
      </c>
      <c r="L60" s="523" t="str">
        <f>Greece!$F$26</f>
        <v>EUR</v>
      </c>
      <c r="M60" s="519">
        <f>Greece!$F$28</f>
        <v>62.73</v>
      </c>
      <c r="N60" s="524">
        <f>Greece!$F$29</f>
        <v>0.03</v>
      </c>
      <c r="O60" s="519">
        <f>Greece!$F$27</f>
        <v>0</v>
      </c>
      <c r="P60" s="522">
        <f>Greece!$F$30</f>
        <v>75267.140564090805</v>
      </c>
      <c r="Q60" s="515">
        <f>Greece!$F$46</f>
        <v>70</v>
      </c>
      <c r="R60" s="518">
        <f>Greece!$F$50</f>
        <v>60</v>
      </c>
      <c r="S60" s="517">
        <f t="shared" si="3"/>
        <v>0.8571428571428571</v>
      </c>
      <c r="T60" s="518">
        <f t="shared" si="4"/>
        <v>7.333333333333333</v>
      </c>
      <c r="U60" s="519">
        <f t="shared" si="5"/>
        <v>6.2857142857142856</v>
      </c>
      <c r="V60" s="520">
        <f>Greece!$F$33</f>
        <v>44562</v>
      </c>
      <c r="W60" s="520">
        <f>Greece!$F$40</f>
        <v>46752</v>
      </c>
      <c r="X60" s="520">
        <f>Greece!$F$34</f>
        <v>46752</v>
      </c>
      <c r="Y60" s="516" t="str">
        <f>Greece!$F$42</f>
        <v>No</v>
      </c>
      <c r="Z60" s="515" t="str">
        <f>Greece!$F$43</f>
        <v>NO</v>
      </c>
      <c r="AA60" s="516" t="str">
        <f>Greece!$F$44</f>
        <v>No</v>
      </c>
      <c r="AB60" s="516">
        <f>Greece!$F$9</f>
        <v>0</v>
      </c>
      <c r="AC60" s="515">
        <f>Greece!$F$2</f>
        <v>0</v>
      </c>
    </row>
    <row r="61" spans="1:29" ht="14">
      <c r="A61" s="515" t="s">
        <v>2</v>
      </c>
      <c r="B61" s="516" t="str">
        <f>Greece!$D$4</f>
        <v>BU Greece</v>
      </c>
      <c r="C61" s="515" t="str">
        <f>Greece!$D$17</f>
        <v>Greece</v>
      </c>
      <c r="D61" s="515" t="str">
        <f>Greece!$D$15</f>
        <v>Athens</v>
      </c>
      <c r="E61" s="515">
        <f>Greece!$D$16</f>
        <v>17342</v>
      </c>
      <c r="F61" s="516" t="str">
        <f>Greece!$D$14</f>
        <v>10 Premetis Str.</v>
      </c>
      <c r="G61" s="523" t="str">
        <f>Greece!$D$18</f>
        <v>Rental</v>
      </c>
      <c r="H61" s="515" t="str">
        <f>Greece!$D$11</f>
        <v>GR01</v>
      </c>
      <c r="I61" s="515" t="str">
        <f>Greece!$D$19</f>
        <v>No</v>
      </c>
      <c r="J61" s="516" t="str">
        <f>Greece!$D$13</f>
        <v>whole building</v>
      </c>
      <c r="K61" s="518">
        <f>Greece!$D$24</f>
        <v>843.18</v>
      </c>
      <c r="L61" s="515" t="str">
        <f>Greece!$D$26</f>
        <v>EUR</v>
      </c>
      <c r="M61" s="519">
        <f>Greece!$D$28</f>
        <v>136.16</v>
      </c>
      <c r="N61" s="524">
        <f>Greece!$D$29</f>
        <v>0.03</v>
      </c>
      <c r="O61" s="519">
        <f>Greece!$D$27</f>
        <v>0</v>
      </c>
      <c r="P61" s="522">
        <f>Greece!$D$30</f>
        <v>144235.78995643201</v>
      </c>
      <c r="Q61" s="515">
        <f>Greece!$D$46</f>
        <v>54</v>
      </c>
      <c r="R61" s="518">
        <f>Greece!$D$50</f>
        <v>50</v>
      </c>
      <c r="S61" s="517">
        <f t="shared" si="3"/>
        <v>0.92592592592592593</v>
      </c>
      <c r="T61" s="518">
        <f t="shared" si="4"/>
        <v>16.863599999999998</v>
      </c>
      <c r="U61" s="519">
        <f t="shared" si="5"/>
        <v>15.614444444444443</v>
      </c>
      <c r="V61" s="520">
        <f>Greece!$D$33</f>
        <v>44927</v>
      </c>
      <c r="W61" s="520">
        <f>Greece!$D$40</f>
        <v>46752</v>
      </c>
      <c r="X61" s="520">
        <f>Greece!$D$34</f>
        <v>46752</v>
      </c>
      <c r="Y61" s="516" t="str">
        <f>Greece!$D$42</f>
        <v>No</v>
      </c>
      <c r="Z61" s="515" t="str">
        <f>Greece!$D$43</f>
        <v>NO</v>
      </c>
      <c r="AA61" s="516" t="str">
        <f>Greece!$D$44</f>
        <v>No</v>
      </c>
      <c r="AB61" s="516">
        <f>Greece!$D$9</f>
        <v>0</v>
      </c>
      <c r="AC61" s="520">
        <f>Greece!$D$2</f>
        <v>45926</v>
      </c>
    </row>
    <row r="62" spans="1:29" ht="14">
      <c r="A62" s="515" t="s">
        <v>2</v>
      </c>
      <c r="B62" s="516" t="str">
        <f>Greece!$G$4</f>
        <v>BU Greece</v>
      </c>
      <c r="C62" s="515" t="str">
        <f>Greece!$G$17</f>
        <v>Greece</v>
      </c>
      <c r="D62" s="515" t="str">
        <f>Greece!$G$15</f>
        <v>Athens</v>
      </c>
      <c r="E62" s="515">
        <f>Greece!$G$16</f>
        <v>17342</v>
      </c>
      <c r="F62" s="516" t="str">
        <f>Greece!$G$14</f>
        <v>370 Vouliagmenis Av</v>
      </c>
      <c r="G62" s="523" t="str">
        <f>Greece!$G$18</f>
        <v>Rental</v>
      </c>
      <c r="H62" s="515" t="str">
        <f>Greece!$G$11</f>
        <v>GR04</v>
      </c>
      <c r="I62" s="515" t="str">
        <f>Greece!$G$19</f>
        <v>No</v>
      </c>
      <c r="J62" s="516" t="str">
        <f>Greece!$G$13</f>
        <v>2 floors</v>
      </c>
      <c r="K62" s="518">
        <f>Greece!$G$24</f>
        <v>687.32</v>
      </c>
      <c r="L62" s="515" t="str">
        <f>Greece!$G$26</f>
        <v>EUR</v>
      </c>
      <c r="M62" s="519">
        <f>Greece!$G$28</f>
        <v>66.92</v>
      </c>
      <c r="N62" s="524">
        <f>Greece!$G$29</f>
        <v>0.03</v>
      </c>
      <c r="O62" s="519">
        <f>Greece!$G$27</f>
        <v>0</v>
      </c>
      <c r="P62" s="522">
        <f>Greece!$G$30</f>
        <v>85500</v>
      </c>
      <c r="Q62" s="515">
        <f>Greece!$G$46</f>
        <v>181</v>
      </c>
      <c r="R62" s="518">
        <f>Greece!$G$50</f>
        <v>50</v>
      </c>
      <c r="S62" s="517">
        <f t="shared" si="3"/>
        <v>0.27624309392265195</v>
      </c>
      <c r="T62" s="518">
        <f t="shared" si="4"/>
        <v>13.746400000000001</v>
      </c>
      <c r="U62" s="519">
        <f t="shared" si="5"/>
        <v>3.7973480662983428</v>
      </c>
      <c r="V62" s="520" t="str">
        <f>Greece!$G$33</f>
        <v>not provided</v>
      </c>
      <c r="W62" s="520" t="str">
        <f>Greece!$G$40</f>
        <v>indefinite</v>
      </c>
      <c r="X62" s="520" t="str">
        <f>Greece!$G$34</f>
        <v>indefinite</v>
      </c>
      <c r="Y62" s="516" t="str">
        <f>Greece!$G$42</f>
        <v>No</v>
      </c>
      <c r="Z62" s="515" t="str">
        <f>Greece!$G$43</f>
        <v>NO</v>
      </c>
      <c r="AA62" s="516" t="str">
        <f>Greece!$G$44</f>
        <v>No</v>
      </c>
      <c r="AB62" s="516">
        <f>Greece!$G$9</f>
        <v>0</v>
      </c>
      <c r="AC62" s="515">
        <f>Greece!$G$2</f>
        <v>0</v>
      </c>
    </row>
    <row r="63" spans="1:29" ht="14">
      <c r="A63" s="515" t="s">
        <v>2</v>
      </c>
      <c r="B63" s="516" t="str">
        <f>Greece!$E$4</f>
        <v>BU Greece</v>
      </c>
      <c r="C63" s="515" t="str">
        <f>Greece!$E$17</f>
        <v>Greece</v>
      </c>
      <c r="D63" s="515" t="str">
        <f>Greece!$E$15</f>
        <v>Athens</v>
      </c>
      <c r="E63" s="515">
        <f>Greece!$E$16</f>
        <v>17342</v>
      </c>
      <c r="F63" s="516" t="str">
        <f>Greece!$E$14</f>
        <v>3 Premetis Str.</v>
      </c>
      <c r="G63" s="523" t="str">
        <f>Greece!$E$18</f>
        <v>Rental</v>
      </c>
      <c r="H63" s="515" t="str">
        <f>Greece!$E$11</f>
        <v>GR02</v>
      </c>
      <c r="I63" s="515" t="str">
        <f>Greece!$E$19</f>
        <v>No</v>
      </c>
      <c r="J63" s="516" t="str">
        <f>Greece!$E$13</f>
        <v>2 floors</v>
      </c>
      <c r="K63" s="518">
        <f>Greece!$E$24</f>
        <v>210</v>
      </c>
      <c r="L63" s="515" t="str">
        <f>Greece!$E$26</f>
        <v>EUR</v>
      </c>
      <c r="M63" s="519">
        <f>Greece!$E$28</f>
        <v>161.65</v>
      </c>
      <c r="N63" s="524">
        <f>Greece!$E$29</f>
        <v>0.03</v>
      </c>
      <c r="O63" s="519">
        <f>Greece!$E$27</f>
        <v>0</v>
      </c>
      <c r="P63" s="522">
        <f>Greece!$E$30</f>
        <v>48000</v>
      </c>
      <c r="Q63" s="515">
        <f>Greece!$E$46</f>
        <v>55</v>
      </c>
      <c r="R63" s="518">
        <f>Greece!$E$50</f>
        <v>53</v>
      </c>
      <c r="S63" s="517">
        <f t="shared" si="3"/>
        <v>0.96363636363636362</v>
      </c>
      <c r="T63" s="518">
        <f t="shared" si="4"/>
        <v>3.9622641509433962</v>
      </c>
      <c r="U63" s="519">
        <f t="shared" si="5"/>
        <v>3.8181818181818183</v>
      </c>
      <c r="V63" s="520" t="str">
        <f>Greece!$E$33</f>
        <v>not provided</v>
      </c>
      <c r="W63" s="520" t="str">
        <f>Greece!$E$40</f>
        <v>indefinite</v>
      </c>
      <c r="X63" s="520" t="str">
        <f>Greece!$E$34</f>
        <v>indefinite</v>
      </c>
      <c r="Y63" s="516" t="str">
        <f>Greece!$E$42</f>
        <v>No</v>
      </c>
      <c r="Z63" s="515" t="str">
        <f>Greece!$E$43</f>
        <v>NO</v>
      </c>
      <c r="AA63" s="516" t="str">
        <f>Greece!$E$44</f>
        <v>No</v>
      </c>
      <c r="AB63" s="516">
        <f>Greece!$E$9</f>
        <v>0</v>
      </c>
      <c r="AC63" s="520">
        <f>Greece!$E$2</f>
        <v>0</v>
      </c>
    </row>
    <row r="64" spans="1:29" ht="14">
      <c r="A64" s="515" t="s">
        <v>153</v>
      </c>
      <c r="B64" s="516" t="str">
        <f>Hongkong!$D$4</f>
        <v>BU Hongkong</v>
      </c>
      <c r="C64" s="515" t="str">
        <f>Hongkong!$D$17</f>
        <v>Hongkong, China</v>
      </c>
      <c r="D64" s="515" t="str">
        <f>Hongkong!$D$15</f>
        <v>Hongkong</v>
      </c>
      <c r="E64" s="515">
        <f>Hongkong!$D$16</f>
        <v>999077</v>
      </c>
      <c r="F64" s="516" t="str">
        <f>Hongkong!$D$14</f>
        <v>12 Taikoo Wan Road, Taikoo Shing</v>
      </c>
      <c r="G64" s="523" t="str">
        <f>Hongkong!$D$18</f>
        <v>Rental</v>
      </c>
      <c r="H64" s="515" t="str">
        <f>Hongkong!$D$11</f>
        <v>HK01</v>
      </c>
      <c r="I64" s="515" t="str">
        <f>Hongkong!$D$19</f>
        <v>Yes</v>
      </c>
      <c r="J64" s="516" t="str">
        <f>Hongkong!$D$13</f>
        <v>Suites 304 - 306</v>
      </c>
      <c r="K64" s="518">
        <f>Hongkong!$D$24</f>
        <v>471.94724000000002</v>
      </c>
      <c r="L64" s="515" t="str">
        <f>Hongkong!$D$26</f>
        <v>HKD</v>
      </c>
      <c r="M64" s="519">
        <f>Hongkong!$D$28</f>
        <v>6716.6829919378288</v>
      </c>
      <c r="N64" s="524" t="str">
        <f>Hongkong!$D$29</f>
        <v>N/A</v>
      </c>
      <c r="O64" s="519">
        <f>Hongkong!$D$27</f>
        <v>0</v>
      </c>
      <c r="P64" s="522">
        <f>Hongkong!$D$30</f>
        <v>955.83565654499853</v>
      </c>
      <c r="Q64" s="515">
        <f>Hongkong!$D$46</f>
        <v>62</v>
      </c>
      <c r="R64" s="518">
        <f>Hongkong!$D$50</f>
        <v>73</v>
      </c>
      <c r="S64" s="517">
        <f t="shared" si="3"/>
        <v>1.1774193548387097</v>
      </c>
      <c r="T64" s="518">
        <f t="shared" si="4"/>
        <v>6.4650306849315076</v>
      </c>
      <c r="U64" s="519">
        <f t="shared" si="5"/>
        <v>7.6120522580645167</v>
      </c>
      <c r="V64" s="520">
        <f>Hongkong!$D$33</f>
        <v>45031</v>
      </c>
      <c r="W64" s="520">
        <f>Hongkong!$D$40</f>
        <v>46491</v>
      </c>
      <c r="X64" s="520">
        <f>Hongkong!$D$34</f>
        <v>46491</v>
      </c>
      <c r="Y64" s="516" t="str">
        <f>Hongkong!$D$42</f>
        <v>No</v>
      </c>
      <c r="Z64" s="515" t="str">
        <f>Hongkong!$D$43</f>
        <v>No</v>
      </c>
      <c r="AA64" s="516" t="str">
        <f>Hongkong!$D$44</f>
        <v>No</v>
      </c>
      <c r="AB64" s="516">
        <f>Hongkong!$D$9</f>
        <v>0</v>
      </c>
      <c r="AC64" s="520">
        <f>Hongkong!$D$2</f>
        <v>0</v>
      </c>
    </row>
    <row r="65" spans="1:29" ht="14">
      <c r="A65" s="515" t="s">
        <v>2</v>
      </c>
      <c r="B65" s="516" t="str">
        <f>Hungary!$D$4</f>
        <v>BU Austria</v>
      </c>
      <c r="C65" s="515" t="str">
        <f>Hungary!$D$17</f>
        <v>Hungary</v>
      </c>
      <c r="D65" s="515" t="str">
        <f>Hungary!$D$15</f>
        <v>Budapest</v>
      </c>
      <c r="E65" s="515">
        <f>Hungary!$D$16</f>
        <v>1087</v>
      </c>
      <c r="F65" s="516" t="str">
        <f>Hungary!$D$14</f>
        <v>Könyves Kalman krt. 48-52</v>
      </c>
      <c r="G65" s="523" t="str">
        <f>Hungary!$D$18</f>
        <v>Rental</v>
      </c>
      <c r="H65" s="515" t="str">
        <f>Hungary!$D$11</f>
        <v>HU01</v>
      </c>
      <c r="I65" s="515" t="str">
        <f>Hungary!$D$19</f>
        <v>Yes</v>
      </c>
      <c r="J65" s="516" t="str">
        <f>Hungary!$D$13</f>
        <v>part of a floor</v>
      </c>
      <c r="K65" s="518">
        <f>Hungary!$D$24</f>
        <v>158.6</v>
      </c>
      <c r="L65" s="515" t="str">
        <f>Hungary!$D$26</f>
        <v>EUR</v>
      </c>
      <c r="M65" s="519" t="str">
        <f>Hungary!$D$28</f>
        <v>11,4/m²</v>
      </c>
      <c r="N65" s="524" t="str">
        <f>Hungary!$D$29</f>
        <v>CPI</v>
      </c>
      <c r="O65" s="519">
        <f>Hungary!$D$27</f>
        <v>0</v>
      </c>
      <c r="P65" s="522" t="str">
        <f>Hungary!$D$30</f>
        <v>7,8/m2</v>
      </c>
      <c r="Q65" s="515" t="str">
        <f>Hungary!$D$46</f>
        <v>22 +3 from Jan 2026</v>
      </c>
      <c r="R65" s="518">
        <f>Hungary!$D$50</f>
        <v>13</v>
      </c>
      <c r="S65" s="517" t="e">
        <f t="shared" si="3"/>
        <v>#VALUE!</v>
      </c>
      <c r="T65" s="518">
        <f t="shared" si="4"/>
        <v>12.2</v>
      </c>
      <c r="U65" s="519" t="e">
        <f t="shared" si="5"/>
        <v>#VALUE!</v>
      </c>
      <c r="V65" s="520">
        <f>Hungary!$D$33</f>
        <v>44652</v>
      </c>
      <c r="W65" s="520">
        <f>Hungary!$D$40</f>
        <v>46477</v>
      </c>
      <c r="X65" s="520">
        <f>Hungary!$D$34</f>
        <v>46477</v>
      </c>
      <c r="Y65" s="516" t="str">
        <f>Hungary!$D$42</f>
        <v>No</v>
      </c>
      <c r="Z65" s="515" t="str">
        <f>Hungary!$D$43</f>
        <v>Yes</v>
      </c>
      <c r="AA65" s="516" t="str">
        <f>Hungary!$D$44</f>
        <v>No</v>
      </c>
      <c r="AB65" s="516">
        <f>Hungary!$D$9</f>
        <v>0</v>
      </c>
      <c r="AC65" s="520">
        <f>Hungary!$D$2</f>
        <v>45919</v>
      </c>
    </row>
    <row r="66" spans="1:29" ht="28">
      <c r="A66" s="515" t="s">
        <v>153</v>
      </c>
      <c r="B66" s="516" t="str">
        <f>India!$E$4</f>
        <v>BU India</v>
      </c>
      <c r="C66" s="515" t="str">
        <f>India!$E$17</f>
        <v>India</v>
      </c>
      <c r="D66" s="515" t="str">
        <f>India!$E$15</f>
        <v>Gurgaon, Haryana</v>
      </c>
      <c r="E66" s="515">
        <f>India!$E$16</f>
        <v>122002</v>
      </c>
      <c r="F66" s="516" t="str">
        <f>India!$E$14</f>
        <v>Unit No. 601-620 And 701-724, Spaze Business Park, Sec - 66</v>
      </c>
      <c r="G66" s="523" t="str">
        <f>India!$E$18</f>
        <v>Rental</v>
      </c>
      <c r="H66" s="515" t="str">
        <f>India!$E$11</f>
        <v>IN02</v>
      </c>
      <c r="I66" s="515" t="str">
        <f>India!$E$19</f>
        <v>No</v>
      </c>
      <c r="J66" s="516" t="str">
        <f>India!$E$13</f>
        <v>6th and 7th floor</v>
      </c>
      <c r="K66" s="518">
        <f>India!$E$24</f>
        <v>3532.4522999999999</v>
      </c>
      <c r="L66" s="515" t="str">
        <f>India!$E$26</f>
        <v>INR</v>
      </c>
      <c r="M66" s="519">
        <f>India!$E$28</f>
        <v>9687.5193750387498</v>
      </c>
      <c r="N66" s="524" t="str">
        <f>India!$E$29</f>
        <v>Next escalation iis 10% in 2024 Sept</v>
      </c>
      <c r="O66" s="519">
        <f>India!$E$27</f>
        <v>0</v>
      </c>
      <c r="P66" s="522">
        <f>India!$E$30</f>
        <v>5861.2204427601146</v>
      </c>
      <c r="Q66" s="515">
        <f>India!$E$46</f>
        <v>1425</v>
      </c>
      <c r="R66" s="518">
        <f>India!$E$50</f>
        <v>782</v>
      </c>
      <c r="S66" s="517">
        <f t="shared" si="3"/>
        <v>0.54877192982456136</v>
      </c>
      <c r="T66" s="518">
        <f t="shared" si="4"/>
        <v>4.5172024296675195</v>
      </c>
      <c r="U66" s="519">
        <f t="shared" si="5"/>
        <v>2.4789138947368419</v>
      </c>
      <c r="V66" s="520">
        <f>India!$E$33</f>
        <v>44606</v>
      </c>
      <c r="W66" s="520">
        <f>India!$E$40</f>
        <v>46796</v>
      </c>
      <c r="X66" s="520" t="str">
        <f>India!$E$34</f>
        <v>anytime - 6 months notice</v>
      </c>
      <c r="Y66" s="516" t="str">
        <f>India!$E$42</f>
        <v>No</v>
      </c>
      <c r="Z66" s="515" t="str">
        <f>India!$E$43</f>
        <v>No</v>
      </c>
      <c r="AA66" s="516" t="str">
        <f>India!$E$44</f>
        <v>Yes</v>
      </c>
      <c r="AB66" s="516">
        <f>India!$E$9</f>
        <v>0</v>
      </c>
      <c r="AC66" s="520">
        <f>India!$E$2</f>
        <v>0</v>
      </c>
    </row>
    <row r="67" spans="1:29" ht="56">
      <c r="A67" s="515" t="s">
        <v>153</v>
      </c>
      <c r="B67" s="516" t="str">
        <f>India!$G$4</f>
        <v>BU India</v>
      </c>
      <c r="C67" s="515" t="str">
        <f>India!$G$17</f>
        <v>India</v>
      </c>
      <c r="D67" s="515" t="str">
        <f>India!$G$15</f>
        <v>Gurugram</v>
      </c>
      <c r="E67" s="515">
        <f>India!$G$16</f>
        <v>122101</v>
      </c>
      <c r="F67" s="516" t="str">
        <f>India!$G$14</f>
        <v xml:space="preserve">International Tech Park Gurgaon, Block-1, 8th Floor | IT/ITES SEZ, Village Behrampur, Near Sector 59
Gurugram 122101 Haryana | India </v>
      </c>
      <c r="G67" s="523" t="str">
        <f>India!$G$18</f>
        <v>Rental</v>
      </c>
      <c r="H67" s="515" t="str">
        <f>India!$G$11</f>
        <v>IN04</v>
      </c>
      <c r="I67" s="515" t="str">
        <f>India!$G$19</f>
        <v>No</v>
      </c>
      <c r="J67" s="516" t="str">
        <f>India!$G$13</f>
        <v>8th Floor, Block-1</v>
      </c>
      <c r="K67" s="518">
        <f>India!$G$24</f>
        <v>1836.6931</v>
      </c>
      <c r="L67" s="515" t="str">
        <f>India!$G$26</f>
        <v>INR</v>
      </c>
      <c r="M67" s="519">
        <f>India!$G$28</f>
        <v>67.781992918563475</v>
      </c>
      <c r="N67" s="524">
        <f>India!$G$29</f>
        <v>4.9999999999999996E-2</v>
      </c>
      <c r="O67" s="519">
        <f>India!$G$27</f>
        <v>1340050</v>
      </c>
      <c r="P67" s="522">
        <f>India!$G$30</f>
        <v>135.949114820435</v>
      </c>
      <c r="Q67" s="515">
        <f>India!$G$46</f>
        <v>639</v>
      </c>
      <c r="R67" s="518">
        <f>India!$G$50</f>
        <v>227</v>
      </c>
      <c r="S67" s="517">
        <f t="shared" ref="S67:S98" si="6">R67/Q67</f>
        <v>0.35524256651017216</v>
      </c>
      <c r="T67" s="518">
        <f t="shared" ref="T67:T98" si="7">K67/R67</f>
        <v>8.0911590308370034</v>
      </c>
      <c r="U67" s="519">
        <f t="shared" ref="U67:U98" si="8">K67/Q67</f>
        <v>2.8743241001564943</v>
      </c>
      <c r="V67" s="520">
        <f>India!$G$33</f>
        <v>45689</v>
      </c>
      <c r="W67" s="520">
        <f>India!$G$40</f>
        <v>47514</v>
      </c>
      <c r="X67" s="520">
        <f>India!$G$34</f>
        <v>46783</v>
      </c>
      <c r="Y67" s="516" t="str">
        <f>India!$G$42</f>
        <v>NA</v>
      </c>
      <c r="Z67" s="515" t="str">
        <f>India!$G$43</f>
        <v>No</v>
      </c>
      <c r="AA67" s="516" t="str">
        <f>India!$G$44</f>
        <v>Yes (LEED)</v>
      </c>
      <c r="AB67" s="516" t="str">
        <f>India!$G$9</f>
        <v>India GSD</v>
      </c>
      <c r="AC67" s="515">
        <f>India!$G$2</f>
        <v>0</v>
      </c>
    </row>
    <row r="68" spans="1:29" ht="42">
      <c r="A68" s="515" t="s">
        <v>153</v>
      </c>
      <c r="B68" s="516" t="str">
        <f>India!$F$4</f>
        <v>BU India</v>
      </c>
      <c r="C68" s="515" t="str">
        <f>India!$F$17</f>
        <v>India</v>
      </c>
      <c r="D68" s="515" t="str">
        <f>India!$F$15</f>
        <v>Noida, Uttar Pradesh</v>
      </c>
      <c r="E68" s="515">
        <f>India!$F$16</f>
        <v>201301</v>
      </c>
      <c r="F68" s="516" t="str">
        <f>India!$F$14</f>
        <v xml:space="preserve">11th Floor, Tower -03, Candor Techspace IT Park, Plot No. B-2, Sector 62, Noida </v>
      </c>
      <c r="G68" s="523" t="str">
        <f>India!$F$18</f>
        <v>Rental</v>
      </c>
      <c r="H68" s="515" t="str">
        <f>India!$F$11</f>
        <v>IN03</v>
      </c>
      <c r="I68" s="515" t="str">
        <f>India!$F$19</f>
        <v xml:space="preserve">No </v>
      </c>
      <c r="J68" s="516" t="str">
        <f>India!$F$13</f>
        <v>11th floor</v>
      </c>
      <c r="K68" s="518">
        <f>India!$F$24</f>
        <v>1243.0427</v>
      </c>
      <c r="L68" s="523" t="str">
        <f>India!$F$26</f>
        <v>INR</v>
      </c>
      <c r="M68" s="519">
        <f>India!$F$28</f>
        <v>6716.6801000268661</v>
      </c>
      <c r="N68" s="524" t="str">
        <f>India!$F$29</f>
        <v>Next escaltion is 15% in 2025 Jun</v>
      </c>
      <c r="O68" s="519">
        <f>India!$F$27</f>
        <v>0</v>
      </c>
      <c r="P68" s="522">
        <f>India!$F$30</f>
        <v>4977.251289758573</v>
      </c>
      <c r="Q68" s="515">
        <f>India!$F$46</f>
        <v>352</v>
      </c>
      <c r="R68" s="518">
        <f>India!$F$50</f>
        <v>286</v>
      </c>
      <c r="S68" s="517">
        <f t="shared" si="6"/>
        <v>0.8125</v>
      </c>
      <c r="T68" s="518">
        <f t="shared" si="7"/>
        <v>4.3463031468531463</v>
      </c>
      <c r="U68" s="519">
        <f t="shared" si="8"/>
        <v>3.5313713068181816</v>
      </c>
      <c r="V68" s="520">
        <f>India!$F$33</f>
        <v>44727</v>
      </c>
      <c r="W68" s="520">
        <f>India!$F$40</f>
        <v>46918</v>
      </c>
      <c r="X68" s="520" t="str">
        <f>India!$F$34</f>
        <v>anytime - 6 months notice</v>
      </c>
      <c r="Y68" s="516" t="str">
        <f>India!$F$42</f>
        <v>No</v>
      </c>
      <c r="Z68" s="515" t="str">
        <f>India!$F$43</f>
        <v>No</v>
      </c>
      <c r="AA68" s="516" t="str">
        <f>India!$F$44</f>
        <v>Yes</v>
      </c>
      <c r="AB68" s="516">
        <f>India!$F$9</f>
        <v>0</v>
      </c>
      <c r="AC68" s="515">
        <f>India!$F$2</f>
        <v>0</v>
      </c>
    </row>
    <row r="69" spans="1:29" ht="28">
      <c r="A69" s="515" t="s">
        <v>153</v>
      </c>
      <c r="B69" s="516" t="str">
        <f>India!$D$4</f>
        <v>BU India</v>
      </c>
      <c r="C69" s="515" t="str">
        <f>India!$D$17</f>
        <v>India</v>
      </c>
      <c r="D69" s="515" t="str">
        <f>India!$D$15</f>
        <v>Gurgaon, Haryana</v>
      </c>
      <c r="E69" s="515">
        <f>India!$D$16</f>
        <v>122002</v>
      </c>
      <c r="F69" s="516" t="str">
        <f>India!$D$14</f>
        <v xml:space="preserve"> DLF Square, M- Block, Jacaranda Marg, DLF City Phase-2</v>
      </c>
      <c r="G69" s="523" t="str">
        <f>India!$D$18</f>
        <v>Rental</v>
      </c>
      <c r="H69" s="515" t="str">
        <f>India!$D$11</f>
        <v>IN01</v>
      </c>
      <c r="I69" s="515" t="str">
        <f>India!$D$19</f>
        <v>No</v>
      </c>
      <c r="J69" s="516" t="str">
        <f>India!$D$13</f>
        <v>1st floor</v>
      </c>
      <c r="K69" s="518">
        <f>India!$D$24</f>
        <v>945.75</v>
      </c>
      <c r="L69" s="515" t="str">
        <f>India!$D$26</f>
        <v>INR</v>
      </c>
      <c r="M69" s="519">
        <f>India!$D$28</f>
        <v>14079.194825056315</v>
      </c>
      <c r="N69" s="524" t="str">
        <f>India!$D$29</f>
        <v>Next escaltion is 15% in 2024 Nov</v>
      </c>
      <c r="O69" s="519">
        <f>India!$D$27</f>
        <v>0</v>
      </c>
      <c r="P69" s="522">
        <f>India!$D$30</f>
        <v>3623.0036991204802</v>
      </c>
      <c r="Q69" s="515">
        <f>India!$D$46</f>
        <v>79</v>
      </c>
      <c r="R69" s="518">
        <f>India!$D$50</f>
        <v>87</v>
      </c>
      <c r="S69" s="517">
        <f t="shared" si="6"/>
        <v>1.1012658227848102</v>
      </c>
      <c r="T69" s="518">
        <f t="shared" si="7"/>
        <v>10.870689655172415</v>
      </c>
      <c r="U69" s="519">
        <f t="shared" si="8"/>
        <v>11.971518987341772</v>
      </c>
      <c r="V69" s="520">
        <f>India!$D$33</f>
        <v>44501</v>
      </c>
      <c r="W69" s="520">
        <f>India!$D$40</f>
        <v>46326</v>
      </c>
      <c r="X69" s="520" t="str">
        <f>India!$D$34</f>
        <v>anytime - 6 months notice</v>
      </c>
      <c r="Y69" s="516" t="str">
        <f>India!$D$42</f>
        <v>No</v>
      </c>
      <c r="Z69" s="515" t="str">
        <f>India!$D$43</f>
        <v>No</v>
      </c>
      <c r="AA69" s="516" t="str">
        <f>India!$D$44</f>
        <v>No</v>
      </c>
      <c r="AB69" s="516">
        <f>India!$D$9</f>
        <v>0</v>
      </c>
      <c r="AC69" s="520">
        <f>India!$D$2</f>
        <v>45925</v>
      </c>
    </row>
    <row r="70" spans="1:29" ht="56">
      <c r="A70" s="515" t="s">
        <v>153</v>
      </c>
      <c r="B70" s="516" t="str">
        <f>Indonesia!$D$4</f>
        <v>BU Indonesia</v>
      </c>
      <c r="C70" s="515" t="str">
        <f>Indonesia!$D$17</f>
        <v>Indonesia</v>
      </c>
      <c r="D70" s="515" t="str">
        <f>Indonesia!$D$15</f>
        <v>Jakarta</v>
      </c>
      <c r="E70" s="515">
        <f>Indonesia!$D$16</f>
        <v>12980</v>
      </c>
      <c r="F70" s="516" t="str">
        <f>Indonesia!$D$14</f>
        <v>Gedung World Trade Centre, 6 Lantai 3A, JL Jenoral Sudirman Kavling 29-21 Karet Setiabudi Kota Adm, Jakarta Selantan Dki Jakarta</v>
      </c>
      <c r="G70" s="523" t="str">
        <f>Indonesia!$D$18</f>
        <v>Rental</v>
      </c>
      <c r="H70" s="515" t="str">
        <f>Indonesia!$D$11</f>
        <v>ID01</v>
      </c>
      <c r="I70" s="515" t="str">
        <f>Indonesia!$D$19</f>
        <v>No</v>
      </c>
      <c r="J70" s="516" t="str">
        <f>Indonesia!$D$13</f>
        <v>1 floor at level 6</v>
      </c>
      <c r="K70" s="518">
        <f>Indonesia!$D$24</f>
        <v>332.06</v>
      </c>
      <c r="L70" s="515" t="str">
        <f>Indonesia!$D$26</f>
        <v>IDR</v>
      </c>
      <c r="M70" s="521">
        <f>Indonesia!$D$28</f>
        <v>1740000</v>
      </c>
      <c r="N70" s="524">
        <f>Indonesia!$D$29</f>
        <v>0</v>
      </c>
      <c r="O70" s="519">
        <f>Indonesia!$D$27</f>
        <v>0</v>
      </c>
      <c r="P70" s="522">
        <f>Indonesia!$D$30</f>
        <v>1416000</v>
      </c>
      <c r="Q70" s="515">
        <f>Indonesia!$D$46</f>
        <v>38</v>
      </c>
      <c r="R70" s="518">
        <f>Indonesia!$D$50</f>
        <v>51</v>
      </c>
      <c r="S70" s="517">
        <f t="shared" si="6"/>
        <v>1.3421052631578947</v>
      </c>
      <c r="T70" s="518">
        <f t="shared" si="7"/>
        <v>6.5109803921568625</v>
      </c>
      <c r="U70" s="519">
        <f t="shared" si="8"/>
        <v>8.7384210526315798</v>
      </c>
      <c r="V70" s="520">
        <f>Indonesia!$D$33</f>
        <v>44317</v>
      </c>
      <c r="W70" s="520">
        <f>Indonesia!$D$40</f>
        <v>47968</v>
      </c>
      <c r="X70" s="520">
        <f>Indonesia!$D$34</f>
        <v>47968</v>
      </c>
      <c r="Y70" s="516" t="str">
        <f>Indonesia!$D$42</f>
        <v>No</v>
      </c>
      <c r="Z70" s="515">
        <f>Indonesia!$D$43</f>
        <v>0</v>
      </c>
      <c r="AA70" s="516" t="str">
        <f>Indonesia!$D$44</f>
        <v>No</v>
      </c>
      <c r="AB70" s="516">
        <f>Indonesia!$D$9</f>
        <v>0</v>
      </c>
      <c r="AC70" s="520">
        <f>Indonesia!$D$2</f>
        <v>0</v>
      </c>
    </row>
    <row r="71" spans="1:29" ht="42">
      <c r="A71" s="515" t="s">
        <v>234</v>
      </c>
      <c r="B71" s="516">
        <f>Ireland!$G$4</f>
        <v>0</v>
      </c>
      <c r="C71" s="515" t="str">
        <f>Ireland!$G$17</f>
        <v>Ireland</v>
      </c>
      <c r="D71" s="515" t="str">
        <f>Ireland!$G$15</f>
        <v>Dublin</v>
      </c>
      <c r="E71" s="515" t="str">
        <f>Ireland!$G$16</f>
        <v>D12 XE93</v>
      </c>
      <c r="F71" s="516" t="str">
        <f>Ireland!$G$14</f>
        <v>Building 12 B
Joyce Way, Park West Business Campus, Nangor Road,</v>
      </c>
      <c r="G71" s="523" t="str">
        <f>Ireland!$G$18</f>
        <v>Owned</v>
      </c>
      <c r="H71" s="515" t="str">
        <f>Ireland!$G$11</f>
        <v>IR04</v>
      </c>
      <c r="I71" s="515" t="str">
        <f>Ireland!$G$19</f>
        <v>N/A</v>
      </c>
      <c r="J71" s="516" t="str">
        <f>Ireland!$G$13</f>
        <v>Whole Building</v>
      </c>
      <c r="K71" s="518">
        <f>Ireland!$G$24</f>
        <v>1773.08</v>
      </c>
      <c r="L71" s="515" t="str">
        <f>Ireland!$G$26</f>
        <v>EUR</v>
      </c>
      <c r="M71" s="519">
        <f>Ireland!$G$28</f>
        <v>190</v>
      </c>
      <c r="N71" s="524" t="str">
        <f>Ireland!$G$29</f>
        <v>N/A</v>
      </c>
      <c r="O71" s="519">
        <f>Ireland!$G$27</f>
        <v>0</v>
      </c>
      <c r="P71" s="522">
        <f>Ireland!$G$30</f>
        <v>346138.16543850204</v>
      </c>
      <c r="Q71" s="515">
        <f>Ireland!$G$46</f>
        <v>310</v>
      </c>
      <c r="R71" s="518">
        <f>Ireland!$G$50</f>
        <v>206</v>
      </c>
      <c r="S71" s="517">
        <f t="shared" si="6"/>
        <v>0.6645161290322581</v>
      </c>
      <c r="T71" s="518">
        <f t="shared" si="7"/>
        <v>8.607184466019417</v>
      </c>
      <c r="U71" s="519">
        <f t="shared" si="8"/>
        <v>5.7196129032258058</v>
      </c>
      <c r="V71" s="520" t="str">
        <f>Ireland!$G$33</f>
        <v>N/A</v>
      </c>
      <c r="W71" s="520" t="str">
        <f>Ireland!$G$40</f>
        <v>N/A</v>
      </c>
      <c r="X71" s="520" t="str">
        <f>Ireland!$G$34</f>
        <v>N/A</v>
      </c>
      <c r="Y71" s="516" t="str">
        <f>Ireland!$G$42</f>
        <v>No</v>
      </c>
      <c r="Z71" s="515" t="str">
        <f>Ireland!$G$43</f>
        <v>Yes</v>
      </c>
      <c r="AA71" s="516" t="str">
        <f>Ireland!$G$44</f>
        <v>No</v>
      </c>
      <c r="AB71" s="516">
        <f>Ireland!$G$9</f>
        <v>0</v>
      </c>
      <c r="AC71" s="515">
        <f>Ireland!$G$2</f>
        <v>0</v>
      </c>
    </row>
    <row r="72" spans="1:29" ht="42">
      <c r="A72" s="515" t="s">
        <v>234</v>
      </c>
      <c r="B72" s="516">
        <f>Ireland!$H$4</f>
        <v>0</v>
      </c>
      <c r="C72" s="515" t="str">
        <f>Ireland!$H$17</f>
        <v>Ireland</v>
      </c>
      <c r="D72" s="515" t="str">
        <f>Ireland!$H$15</f>
        <v>Dublin</v>
      </c>
      <c r="E72" s="515" t="str">
        <f>Ireland!$H$16</f>
        <v>D12 P651</v>
      </c>
      <c r="F72" s="516" t="str">
        <f>Ireland!$H$14</f>
        <v xml:space="preserve">Building 15
Joyce Way, Park West Business Campus, Nangor Road, </v>
      </c>
      <c r="G72" s="523" t="str">
        <f>Ireland!$H$18</f>
        <v>Owned</v>
      </c>
      <c r="H72" s="515" t="str">
        <f>Ireland!$H$11</f>
        <v>IR05</v>
      </c>
      <c r="I72" s="515" t="str">
        <f>Ireland!$H$19</f>
        <v>N/A</v>
      </c>
      <c r="J72" s="516" t="str">
        <f>Ireland!$H$13</f>
        <v>Whole Building</v>
      </c>
      <c r="K72" s="518">
        <f>Ireland!$H$24</f>
        <v>2530.52</v>
      </c>
      <c r="L72" s="515" t="str">
        <f>Ireland!$H$26</f>
        <v>EUR</v>
      </c>
      <c r="M72" s="519">
        <f>Ireland!$H$28</f>
        <v>190</v>
      </c>
      <c r="N72" s="524" t="str">
        <f>Ireland!$H$29</f>
        <v>N/A</v>
      </c>
      <c r="O72" s="519">
        <f>Ireland!$H$27</f>
        <v>0</v>
      </c>
      <c r="P72" s="522">
        <f>Ireland!$H$30</f>
        <v>494004.52907112945</v>
      </c>
      <c r="Q72" s="515">
        <f>Ireland!$H$46</f>
        <v>305</v>
      </c>
      <c r="R72" s="518">
        <f>Ireland!$H$50</f>
        <v>192</v>
      </c>
      <c r="S72" s="517">
        <f t="shared" si="6"/>
        <v>0.62950819672131153</v>
      </c>
      <c r="T72" s="518">
        <f t="shared" si="7"/>
        <v>13.179791666666667</v>
      </c>
      <c r="U72" s="519">
        <f t="shared" si="8"/>
        <v>8.2967868852459024</v>
      </c>
      <c r="V72" s="520" t="str">
        <f>Ireland!$H$33</f>
        <v>N/A</v>
      </c>
      <c r="W72" s="520" t="str">
        <f>Ireland!$H$40</f>
        <v>N/A</v>
      </c>
      <c r="X72" s="520" t="str">
        <f>Ireland!$H$34</f>
        <v>N/A</v>
      </c>
      <c r="Y72" s="516" t="str">
        <f>Ireland!$H$42</f>
        <v>No</v>
      </c>
      <c r="Z72" s="515" t="str">
        <f>Ireland!$H$43</f>
        <v>yes</v>
      </c>
      <c r="AA72" s="516" t="str">
        <f>Ireland!$H$44</f>
        <v>No</v>
      </c>
      <c r="AB72" s="516">
        <f>Ireland!$H$9</f>
        <v>0</v>
      </c>
      <c r="AC72" s="515">
        <f>Ireland!$H$2</f>
        <v>0</v>
      </c>
    </row>
    <row r="73" spans="1:29" ht="42">
      <c r="A73" s="515" t="s">
        <v>234</v>
      </c>
      <c r="B73" s="516">
        <f>Ireland!$E$4</f>
        <v>0</v>
      </c>
      <c r="C73" s="515" t="str">
        <f>Ireland!$E$17</f>
        <v>Ireland</v>
      </c>
      <c r="D73" s="515" t="str">
        <f>Ireland!$E$15</f>
        <v>Dublin</v>
      </c>
      <c r="E73" s="515" t="str">
        <f>Ireland!$E$16</f>
        <v>D12 C4V6</v>
      </c>
      <c r="F73" s="516" t="str">
        <f>Ireland!$E$14</f>
        <v xml:space="preserve">Building 11 B
Joyce Way, Park West Business Campus, Nangor Road, </v>
      </c>
      <c r="G73" s="523" t="str">
        <f>Ireland!$E$18</f>
        <v>Owned</v>
      </c>
      <c r="H73" s="515" t="str">
        <f>Ireland!$E$11</f>
        <v>IR02</v>
      </c>
      <c r="I73" s="515" t="str">
        <f>Ireland!$E$19</f>
        <v>N/A</v>
      </c>
      <c r="J73" s="516" t="str">
        <f>Ireland!$E$13</f>
        <v>Whole Building</v>
      </c>
      <c r="K73" s="518">
        <f>Ireland!$E$24</f>
        <v>1968.2</v>
      </c>
      <c r="L73" s="515" t="str">
        <f>Ireland!$E$26</f>
        <v>EUR</v>
      </c>
      <c r="M73" s="519">
        <f>Ireland!$E$28</f>
        <v>190</v>
      </c>
      <c r="N73" s="524" t="str">
        <f>Ireland!$E$29</f>
        <v>N/A</v>
      </c>
      <c r="O73" s="519">
        <f>Ireland!$E$27</f>
        <v>0</v>
      </c>
      <c r="P73" s="522">
        <f>Ireland!$E$30</f>
        <v>384229.21538569027</v>
      </c>
      <c r="Q73" s="515">
        <f>Ireland!$E$46</f>
        <v>203</v>
      </c>
      <c r="R73" s="518">
        <f>Ireland!$E$50</f>
        <v>125</v>
      </c>
      <c r="S73" s="517">
        <f t="shared" si="6"/>
        <v>0.61576354679802958</v>
      </c>
      <c r="T73" s="518">
        <f t="shared" si="7"/>
        <v>15.7456</v>
      </c>
      <c r="U73" s="519">
        <f t="shared" si="8"/>
        <v>9.6955665024630537</v>
      </c>
      <c r="V73" s="520" t="str">
        <f>Ireland!$E$33</f>
        <v>N/A</v>
      </c>
      <c r="W73" s="520" t="str">
        <f>Ireland!$E$40</f>
        <v>N/A</v>
      </c>
      <c r="X73" s="520" t="str">
        <f>Ireland!$E$34</f>
        <v>N/A</v>
      </c>
      <c r="Y73" s="516" t="str">
        <f>Ireland!$E$42</f>
        <v>Yes</v>
      </c>
      <c r="Z73" s="515" t="str">
        <f>Ireland!$E$43</f>
        <v xml:space="preserve">Yes </v>
      </c>
      <c r="AA73" s="516" t="str">
        <f>Ireland!$E$44</f>
        <v>No</v>
      </c>
      <c r="AB73" s="516">
        <f>Ireland!$E$9</f>
        <v>0</v>
      </c>
      <c r="AC73" s="520">
        <f>Ireland!$E$2</f>
        <v>0</v>
      </c>
    </row>
    <row r="74" spans="1:29" ht="210">
      <c r="A74" s="515" t="s">
        <v>234</v>
      </c>
      <c r="B74" s="516">
        <f>Ireland!$I$4</f>
        <v>0</v>
      </c>
      <c r="C74" s="515" t="str">
        <f>Ireland!$I$17</f>
        <v>Ireland</v>
      </c>
      <c r="D74" s="515" t="str">
        <f>Ireland!$I$15</f>
        <v>Dublin</v>
      </c>
      <c r="E74" s="515" t="str">
        <f>Ireland!$I$16</f>
        <v>D12 C4V6</v>
      </c>
      <c r="F74" s="516" t="str">
        <f>Ireland!$I$14</f>
        <v xml:space="preserve">Building 11 B
Joyce Way, Park West Business Campus, Nangor Road, </v>
      </c>
      <c r="G74" s="523" t="str">
        <f>Ireland!$I$18</f>
        <v>Sublease</v>
      </c>
      <c r="H74" s="515" t="str">
        <f>Ireland!$I$11</f>
        <v>IR02</v>
      </c>
      <c r="I74" s="515" t="str">
        <f>Ireland!$I$19</f>
        <v>N/A - we own building</v>
      </c>
      <c r="J74" s="516" t="str">
        <f>Ireland!$I$13</f>
        <v>Part of 2nd Floor</v>
      </c>
      <c r="K74" s="518">
        <f>Ireland!$I$24</f>
        <v>198</v>
      </c>
      <c r="L74" s="515" t="str">
        <f>Ireland!$I$26</f>
        <v>EUR</v>
      </c>
      <c r="M74" s="519">
        <f>Ireland!$I$28</f>
        <v>75.757575757575751</v>
      </c>
      <c r="N74" s="524" t="str">
        <f>Ireland!$I$29</f>
        <v xml:space="preserve">Fixed </v>
      </c>
      <c r="O74" s="519">
        <f>Ireland!$I$27</f>
        <v>45000</v>
      </c>
      <c r="P74" s="522" t="str">
        <f>Ireland!$I$30</f>
        <v>Pro rata - 10.72% of 11B</v>
      </c>
      <c r="Q74" s="515">
        <f>Ireland!$I$46</f>
        <v>25</v>
      </c>
      <c r="R74" s="518">
        <f>Ireland!$I$50</f>
        <v>16</v>
      </c>
      <c r="S74" s="517">
        <f t="shared" si="6"/>
        <v>0.64</v>
      </c>
      <c r="T74" s="518">
        <f t="shared" si="7"/>
        <v>12.375</v>
      </c>
      <c r="U74" s="519">
        <f t="shared" si="8"/>
        <v>7.92</v>
      </c>
      <c r="V74" s="520" t="str">
        <f>Ireland!$I$33</f>
        <v>24/10/2015 - revised Jan 25</v>
      </c>
      <c r="W74" s="520" t="str">
        <f>Ireland!$I$40</f>
        <v>open end</v>
      </c>
      <c r="X74" s="520" t="str">
        <f>Ireland!$I$34</f>
        <v>3 months notice required</v>
      </c>
      <c r="Y74" s="516" t="str">
        <f>Ireland!$I$42</f>
        <v>Licences with AGA for area of 11B. AGA pay a licence fee per sqm, pay a portion of the buildng charges. No end date and 3 months termiantion for both parties</v>
      </c>
      <c r="Z74" s="515" t="str">
        <f>Ireland!$I$43</f>
        <v>Yes</v>
      </c>
      <c r="AA74" s="516" t="str">
        <f>Ireland!$I$44</f>
        <v>No</v>
      </c>
      <c r="AB74" s="516">
        <f>Ireland!$I$9</f>
        <v>0</v>
      </c>
      <c r="AC74" s="520">
        <f>Ireland!$I$2</f>
        <v>0</v>
      </c>
    </row>
    <row r="75" spans="1:29" ht="39" customHeight="1">
      <c r="A75" s="515" t="s">
        <v>234</v>
      </c>
      <c r="B75" s="516">
        <f>Ireland!$J$4</f>
        <v>0</v>
      </c>
      <c r="C75" s="515" t="str">
        <f>Ireland!$J$17</f>
        <v>Ireland</v>
      </c>
      <c r="D75" s="515" t="str">
        <f>Ireland!$J$15</f>
        <v>Dublin</v>
      </c>
      <c r="E75" s="515" t="str">
        <f>Ireland!$J$16</f>
        <v>D12 C4V6</v>
      </c>
      <c r="F75" s="516" t="str">
        <f>Ireland!$J$14</f>
        <v xml:space="preserve">Building 11 B
Joyce Way, Park West Business Campus, Nangor Road, </v>
      </c>
      <c r="G75" s="523" t="str">
        <f>Ireland!$J$18</f>
        <v>Sublease</v>
      </c>
      <c r="H75" s="515" t="str">
        <f>Ireland!$J$11</f>
        <v>IR02</v>
      </c>
      <c r="I75" s="515" t="str">
        <f>Ireland!$J$19</f>
        <v>N/A - we own building</v>
      </c>
      <c r="J75" s="516" t="str">
        <f>Ireland!$J$13</f>
        <v>Part of 2nd Floor</v>
      </c>
      <c r="K75" s="518">
        <f>Ireland!$J$24</f>
        <v>96</v>
      </c>
      <c r="L75" s="515" t="str">
        <f>Ireland!$J$26</f>
        <v>EUR</v>
      </c>
      <c r="M75" s="519">
        <f>Ireland!$J$28</f>
        <v>208.33333333333334</v>
      </c>
      <c r="N75" s="524" t="str">
        <f>Ireland!$J$29</f>
        <v>Fixed</v>
      </c>
      <c r="O75" s="519">
        <f>Ireland!$J$27</f>
        <v>20000</v>
      </c>
      <c r="P75" s="522" t="str">
        <f>Ireland!$J$30</f>
        <v>Rates only</v>
      </c>
      <c r="Q75" s="515">
        <f>Ireland!$J$46</f>
        <v>0</v>
      </c>
      <c r="R75" s="518">
        <f>Ireland!$J$50</f>
        <v>0</v>
      </c>
      <c r="S75" s="517" t="e">
        <f t="shared" si="6"/>
        <v>#DIV/0!</v>
      </c>
      <c r="T75" s="518" t="e">
        <f t="shared" si="7"/>
        <v>#DIV/0!</v>
      </c>
      <c r="U75" s="519" t="e">
        <f t="shared" si="8"/>
        <v>#DIV/0!</v>
      </c>
      <c r="V75" s="520">
        <f>Ireland!$J$33</f>
        <v>44503</v>
      </c>
      <c r="W75" s="520" t="str">
        <f>Ireland!$J$40</f>
        <v>open end</v>
      </c>
      <c r="X75" s="520" t="str">
        <f>Ireland!$J$34</f>
        <v>N/A</v>
      </c>
      <c r="Y75" s="516" t="str">
        <f>Ireland!$J$42</f>
        <v>Licences with Allianz Ireland for area of 11B. Allianz Ireland pay a licence fee per sqm, pay aportion of the buildng charges. No end date and 3 months termiantion for both parties</v>
      </c>
      <c r="Z75" s="515">
        <f>Ireland!$J$43</f>
        <v>0</v>
      </c>
      <c r="AA75" s="516" t="str">
        <f>Ireland!$J$44</f>
        <v>Yes - we own the building</v>
      </c>
      <c r="AB75" s="516">
        <f>Ireland!$J$9</f>
        <v>0</v>
      </c>
      <c r="AC75" s="520">
        <f>Ireland!$J$2</f>
        <v>0</v>
      </c>
    </row>
    <row r="76" spans="1:29" ht="41" customHeight="1">
      <c r="A76" s="515" t="s">
        <v>234</v>
      </c>
      <c r="B76" s="516">
        <f>Ireland!$K$4</f>
        <v>0</v>
      </c>
      <c r="C76" s="515" t="str">
        <f>Ireland!$K$17</f>
        <v>Ireland</v>
      </c>
      <c r="D76" s="515" t="str">
        <f>Ireland!$K$15</f>
        <v>Dublin</v>
      </c>
      <c r="E76" s="515" t="str">
        <f>Ireland!$K$16</f>
        <v>D12 C4V6</v>
      </c>
      <c r="F76" s="516" t="str">
        <f>Ireland!$K$14</f>
        <v xml:space="preserve">Building 11 B
Joyce Way, Park West Business Campus, Nangor Road, </v>
      </c>
      <c r="G76" s="523" t="str">
        <f>Ireland!$K$18</f>
        <v>Sublease</v>
      </c>
      <c r="H76" s="515" t="str">
        <f>Ireland!$K$11</f>
        <v>IR02</v>
      </c>
      <c r="I76" s="515" t="str">
        <f>Ireland!$K$19</f>
        <v>N/A - we own building</v>
      </c>
      <c r="J76" s="516" t="str">
        <f>Ireland!$K$13</f>
        <v>Part of 1st Floor</v>
      </c>
      <c r="K76" s="518">
        <f>Ireland!$K$24</f>
        <v>179</v>
      </c>
      <c r="L76" s="515" t="str">
        <f>Ireland!$K$26</f>
        <v>EUR</v>
      </c>
      <c r="M76" s="519" t="str">
        <f>Ireland!$K$28</f>
        <v>181,47 year/m² (true up)</v>
      </c>
      <c r="N76" s="524" t="str">
        <f>Ireland!$K$29</f>
        <v>Fi9xed</v>
      </c>
      <c r="O76" s="519">
        <f>Ireland!$K$27</f>
        <v>160000</v>
      </c>
      <c r="P76" s="522" t="str">
        <f>Ireland!$K$30</f>
        <v>35.41% of 11B</v>
      </c>
      <c r="Q76" s="515">
        <f>Ireland!$K$46</f>
        <v>0</v>
      </c>
      <c r="R76" s="518">
        <f>Ireland!$K$50</f>
        <v>0</v>
      </c>
      <c r="S76" s="517" t="e">
        <f t="shared" si="6"/>
        <v>#DIV/0!</v>
      </c>
      <c r="T76" s="518" t="e">
        <f t="shared" si="7"/>
        <v>#DIV/0!</v>
      </c>
      <c r="U76" s="519" t="e">
        <f t="shared" si="8"/>
        <v>#DIV/0!</v>
      </c>
      <c r="V76" s="520" t="str">
        <f>Ireland!$K$33</f>
        <v>18/12/2019 - - in revision currently - awating their variations</v>
      </c>
      <c r="W76" s="520" t="str">
        <f>Ireland!$K$40</f>
        <v>open end</v>
      </c>
      <c r="X76" s="520" t="str">
        <f>Ireland!$K$34</f>
        <v>N/A</v>
      </c>
      <c r="Y76" s="516" t="str">
        <f>Ireland!$K$42</f>
        <v>Licences with Allianz Technology for area of 11B. Allianz Technology pay a licence fee per sqm, pay aportion of the buildng charges. No end date and 3 months termiantion for both parties</v>
      </c>
      <c r="Z76" s="515" t="str">
        <f>Ireland!$K$43</f>
        <v>Yes</v>
      </c>
      <c r="AA76" s="516" t="str">
        <f>Ireland!$K$44</f>
        <v>Yes - we own the building</v>
      </c>
      <c r="AB76" s="516">
        <f>Ireland!$K$9</f>
        <v>0</v>
      </c>
      <c r="AC76" s="515">
        <f>Ireland!$K$2</f>
        <v>0</v>
      </c>
    </row>
    <row r="77" spans="1:29" ht="30" customHeight="1">
      <c r="A77" s="515" t="s">
        <v>234</v>
      </c>
      <c r="B77" s="516">
        <f>Ireland!$F$4</f>
        <v>0</v>
      </c>
      <c r="C77" s="515" t="str">
        <f>Ireland!$F$17</f>
        <v>Ireland</v>
      </c>
      <c r="D77" s="515" t="str">
        <f>Ireland!$F$15</f>
        <v>Dublin</v>
      </c>
      <c r="E77" s="515" t="str">
        <f>Ireland!$F$16</f>
        <v>D12 KD63</v>
      </c>
      <c r="F77" s="516" t="str">
        <f>Ireland!$F$14</f>
        <v xml:space="preserve">Building 12 A
Joyce Way, Park West Business Campus, Nangor Road, </v>
      </c>
      <c r="G77" s="523" t="str">
        <f>Ireland!$F$18</f>
        <v>Owned</v>
      </c>
      <c r="H77" s="515" t="str">
        <f>Ireland!$F$11</f>
        <v>IR03</v>
      </c>
      <c r="I77" s="515" t="str">
        <f>Ireland!$F$19</f>
        <v>N/A</v>
      </c>
      <c r="J77" s="516" t="str">
        <f>Ireland!$F$13</f>
        <v>Whole Building</v>
      </c>
      <c r="K77" s="518">
        <f>Ireland!$F$24</f>
        <v>1523.88</v>
      </c>
      <c r="L77" s="523" t="str">
        <f>Ireland!$F$26</f>
        <v>EUR</v>
      </c>
      <c r="M77" s="519">
        <f>Ireland!$F$28</f>
        <v>190</v>
      </c>
      <c r="N77" s="524" t="str">
        <f>Ireland!$F$29</f>
        <v>N/A</v>
      </c>
      <c r="O77" s="519">
        <f>Ireland!$F$27</f>
        <v>0</v>
      </c>
      <c r="P77" s="522">
        <f>Ireland!$F$30</f>
        <v>297489.69451374136</v>
      </c>
      <c r="Q77" s="515">
        <f>Ireland!$F$46</f>
        <v>0</v>
      </c>
      <c r="R77" s="518">
        <f>Ireland!$F$50</f>
        <v>0</v>
      </c>
      <c r="S77" s="517" t="e">
        <f t="shared" si="6"/>
        <v>#DIV/0!</v>
      </c>
      <c r="T77" s="518" t="e">
        <f t="shared" si="7"/>
        <v>#DIV/0!</v>
      </c>
      <c r="U77" s="519" t="e">
        <f t="shared" si="8"/>
        <v>#DIV/0!</v>
      </c>
      <c r="V77" s="520" t="str">
        <f>Ireland!$F$33</f>
        <v>N/A</v>
      </c>
      <c r="W77" s="520" t="str">
        <f>Ireland!$F$40</f>
        <v>N/A</v>
      </c>
      <c r="X77" s="520" t="str">
        <f>Ireland!$F$34</f>
        <v>N/A</v>
      </c>
      <c r="Y77" s="516" t="str">
        <f>Ireland!$F$42</f>
        <v>No</v>
      </c>
      <c r="Z77" s="515" t="str">
        <f>Ireland!$F$43</f>
        <v>Yes</v>
      </c>
      <c r="AA77" s="516" t="str">
        <f>Ireland!$F$44</f>
        <v>No</v>
      </c>
      <c r="AB77" s="516">
        <f>Ireland!$F$9</f>
        <v>0</v>
      </c>
      <c r="AC77" s="515">
        <f>Ireland!$F$2</f>
        <v>0</v>
      </c>
    </row>
    <row r="78" spans="1:29" ht="56">
      <c r="A78" s="515" t="s">
        <v>234</v>
      </c>
      <c r="B78" s="516" t="str">
        <f>Ireland!$D$4</f>
        <v>International Health</v>
      </c>
      <c r="C78" s="515" t="str">
        <f>Ireland!$D$17</f>
        <v>Ireland</v>
      </c>
      <c r="D78" s="515" t="str">
        <f>Ireland!$D$15</f>
        <v>Dublin</v>
      </c>
      <c r="E78" s="515" t="str">
        <f>Ireland!$D$16</f>
        <v>D12 C4V6</v>
      </c>
      <c r="F78" s="516" t="str">
        <f>Ireland!$D$14</f>
        <v xml:space="preserve">Building 11 A
Joyce Way, Park West Business Campus, Nangor Road,
</v>
      </c>
      <c r="G78" s="523" t="str">
        <f>Ireland!$D$18</f>
        <v>Owned</v>
      </c>
      <c r="H78" s="515" t="str">
        <f>Ireland!$D$11</f>
        <v>IR01</v>
      </c>
      <c r="I78" s="515" t="str">
        <f>Ireland!$D$19</f>
        <v>N/A</v>
      </c>
      <c r="J78" s="516" t="str">
        <f>Ireland!$D$13</f>
        <v>Whole Building</v>
      </c>
      <c r="K78" s="518">
        <f>Ireland!$D$24</f>
        <v>1937</v>
      </c>
      <c r="L78" s="515" t="str">
        <f>Ireland!$D$26</f>
        <v>EUR</v>
      </c>
      <c r="M78" s="519">
        <f>Ireland!$D$28</f>
        <v>190</v>
      </c>
      <c r="N78" s="524" t="str">
        <f>Ireland!$D$29</f>
        <v>N/A</v>
      </c>
      <c r="O78" s="519">
        <f>Ireland!$D$27</f>
        <v>0</v>
      </c>
      <c r="P78" s="522">
        <f>Ireland!$D$30</f>
        <v>378138.39559093694</v>
      </c>
      <c r="Q78" s="515">
        <f>Ireland!$D$46</f>
        <v>130</v>
      </c>
      <c r="R78" s="518">
        <f>Ireland!$D$50</f>
        <v>137</v>
      </c>
      <c r="S78" s="517">
        <f t="shared" si="6"/>
        <v>1.0538461538461539</v>
      </c>
      <c r="T78" s="518">
        <f t="shared" si="7"/>
        <v>14.138686131386862</v>
      </c>
      <c r="U78" s="519">
        <f t="shared" si="8"/>
        <v>14.9</v>
      </c>
      <c r="V78" s="520" t="str">
        <f>Ireland!$D$33</f>
        <v>N/A</v>
      </c>
      <c r="W78" s="520" t="str">
        <f>Ireland!$D$40</f>
        <v>N/A</v>
      </c>
      <c r="X78" s="520" t="str">
        <f>Ireland!$D$34</f>
        <v>N/A</v>
      </c>
      <c r="Y78" s="516" t="str">
        <f>Ireland!$D$42</f>
        <v>No</v>
      </c>
      <c r="Z78" s="515" t="str">
        <f>Ireland!$D$43</f>
        <v>Yes</v>
      </c>
      <c r="AA78" s="516" t="str">
        <f>Ireland!$D$44</f>
        <v>No</v>
      </c>
      <c r="AB78" s="516" t="str">
        <f>Ireland!$D$9</f>
        <v>seamus.reilly@allianz.com</v>
      </c>
      <c r="AC78" s="520">
        <f>Ireland!$D$2</f>
        <v>45919</v>
      </c>
    </row>
    <row r="79" spans="1:29" ht="56">
      <c r="A79" s="515" t="s">
        <v>2</v>
      </c>
      <c r="B79" s="516" t="str">
        <f>Italy!$E$4</f>
        <v>BU Italy</v>
      </c>
      <c r="C79" s="515" t="str">
        <f>Italy!$E$17</f>
        <v>Italy</v>
      </c>
      <c r="D79" s="515" t="str">
        <f>Italy!$E$15</f>
        <v>Casarano (LE)</v>
      </c>
      <c r="E79" s="515">
        <f>Italy!$E$16</f>
        <v>73042</v>
      </c>
      <c r="F79" s="516" t="str">
        <f>Italy!$E$14</f>
        <v>Z.I. Tronco I</v>
      </c>
      <c r="G79" s="523" t="str">
        <f>Italy!$E$18</f>
        <v>Rental</v>
      </c>
      <c r="H79" s="515" t="str">
        <f>Italy!$E$11</f>
        <v>IT02</v>
      </c>
      <c r="I79" s="515" t="str">
        <f>Italy!$E$19</f>
        <v>No</v>
      </c>
      <c r="J79" s="516" t="str">
        <f>Italy!$E$13</f>
        <v>Ground &amp; 1st floor</v>
      </c>
      <c r="K79" s="518">
        <f>Italy!$E$24</f>
        <v>1305</v>
      </c>
      <c r="L79" s="515" t="str">
        <f>Italy!$E$26</f>
        <v>EUR</v>
      </c>
      <c r="M79" s="519">
        <f>Italy!$E$28</f>
        <v>40.353256704980843</v>
      </c>
      <c r="N79" s="524" t="str">
        <f>Italy!$E$29</f>
        <v>annual adjustment through revaluation equal to 75% of the change in the ISTAT index, starting from the second year</v>
      </c>
      <c r="O79" s="519" t="str">
        <f>Italy!$E$27</f>
        <v>50895 € / year</v>
      </c>
      <c r="P79" s="522">
        <f>Italy!$E$30</f>
        <v>70000</v>
      </c>
      <c r="Q79" s="515">
        <f>Italy!$E$46</f>
        <v>154</v>
      </c>
      <c r="R79" s="518">
        <f>Italy!$E$50</f>
        <v>295</v>
      </c>
      <c r="S79" s="517">
        <f t="shared" si="6"/>
        <v>1.9155844155844155</v>
      </c>
      <c r="T79" s="518">
        <f t="shared" si="7"/>
        <v>4.4237288135593218</v>
      </c>
      <c r="U79" s="519">
        <f t="shared" si="8"/>
        <v>8.4740259740259738</v>
      </c>
      <c r="V79" s="520">
        <f>Italy!$E$33</f>
        <v>43101</v>
      </c>
      <c r="W79" s="520">
        <f>Italy!$E$40</f>
        <v>47848</v>
      </c>
      <c r="X79" s="520">
        <f>Italy!$E$34</f>
        <v>47848</v>
      </c>
      <c r="Y79" s="528" t="str">
        <f>Italy!$E$42</f>
        <v>No</v>
      </c>
      <c r="Z79" s="515" t="str">
        <f>Italy!$E$43</f>
        <v>Yes</v>
      </c>
      <c r="AA79" s="516" t="str">
        <f>Italy!$E$44</f>
        <v>No</v>
      </c>
      <c r="AB79" s="516">
        <f>Italy!$E$9</f>
        <v>0</v>
      </c>
      <c r="AC79" s="520">
        <f>Italy!$E$2</f>
        <v>0</v>
      </c>
    </row>
    <row r="80" spans="1:29" ht="14">
      <c r="A80" s="515" t="s">
        <v>2</v>
      </c>
      <c r="B80" s="516" t="str">
        <f>Italy!$F$4</f>
        <v>BU Italy</v>
      </c>
      <c r="C80" s="515" t="str">
        <f>Italy!$F$17</f>
        <v>Italy</v>
      </c>
      <c r="D80" s="515" t="str">
        <f>Italy!$F$15</f>
        <v>Villanova Castenaso (BO)</v>
      </c>
      <c r="E80" s="515">
        <f>Italy!$F$16</f>
        <v>40055</v>
      </c>
      <c r="F80" s="516" t="str">
        <f>Italy!$F$14</f>
        <v>Largo Pederzana, 16</v>
      </c>
      <c r="G80" s="523" t="str">
        <f>Italy!$F$18</f>
        <v>Rental</v>
      </c>
      <c r="H80" s="515" t="str">
        <f>Italy!$F$11</f>
        <v>IT03</v>
      </c>
      <c r="I80" s="515" t="str">
        <f>Italy!$F$19</f>
        <v>No</v>
      </c>
      <c r="J80" s="516" t="str">
        <f>Italy!$F$13</f>
        <v>3rd floor</v>
      </c>
      <c r="K80" s="518">
        <f>Italy!$F$24</f>
        <v>120</v>
      </c>
      <c r="L80" s="515" t="str">
        <f>Italy!$F$26</f>
        <v>EUR</v>
      </c>
      <c r="M80" s="519">
        <f>Italy!$F$28</f>
        <v>186</v>
      </c>
      <c r="N80" s="524" t="str">
        <f>Italy!$F$29</f>
        <v>NA</v>
      </c>
      <c r="O80" s="519" t="str">
        <f>Italy!$F$27</f>
        <v>22380 €/ year</v>
      </c>
      <c r="P80" s="522">
        <f>Italy!$F$30</f>
        <v>13500</v>
      </c>
      <c r="Q80" s="515">
        <f>Italy!$F$46</f>
        <v>15</v>
      </c>
      <c r="R80" s="518">
        <f>Italy!$F$50</f>
        <v>12</v>
      </c>
      <c r="S80" s="517">
        <f t="shared" si="6"/>
        <v>0.8</v>
      </c>
      <c r="T80" s="518">
        <f t="shared" si="7"/>
        <v>10</v>
      </c>
      <c r="U80" s="519">
        <f t="shared" si="8"/>
        <v>8</v>
      </c>
      <c r="V80" s="520">
        <f>Italy!$F$33</f>
        <v>44563</v>
      </c>
      <c r="W80" s="520">
        <f>Italy!$F$40</f>
        <v>49003</v>
      </c>
      <c r="X80" s="520">
        <f>Italy!$F$34</f>
        <v>46811</v>
      </c>
      <c r="Y80" s="528" t="str">
        <f>Italy!$F$42</f>
        <v>No</v>
      </c>
      <c r="Z80" s="515" t="str">
        <f>Italy!$F$43</f>
        <v>N/A</v>
      </c>
      <c r="AA80" s="516" t="str">
        <f>Italy!$F$44</f>
        <v>No</v>
      </c>
      <c r="AB80" s="516">
        <f>Italy!$F$9</f>
        <v>0</v>
      </c>
      <c r="AC80" s="515">
        <f>Italy!$F$2</f>
        <v>0</v>
      </c>
    </row>
    <row r="81" spans="1:29" ht="70">
      <c r="A81" s="515" t="s">
        <v>2</v>
      </c>
      <c r="B81" s="516" t="str">
        <f>Italy!$D$4</f>
        <v>BU Italy</v>
      </c>
      <c r="C81" s="515" t="str">
        <f>Italy!$D$17</f>
        <v>Italy</v>
      </c>
      <c r="D81" s="515" t="str">
        <f>Italy!$D$15</f>
        <v>Milano (MI)</v>
      </c>
      <c r="E81" s="515">
        <f>Italy!$D$16</f>
        <v>20139</v>
      </c>
      <c r="F81" s="516" t="str">
        <f>Italy!$D$14</f>
        <v>Via Oglio, 12</v>
      </c>
      <c r="G81" s="523" t="str">
        <f>Italy!$D$18</f>
        <v>Rental</v>
      </c>
      <c r="H81" s="515" t="str">
        <f>Italy!$D$11</f>
        <v>IT01</v>
      </c>
      <c r="I81" s="515" t="str">
        <f>Italy!$D$19</f>
        <v>Yes</v>
      </c>
      <c r="J81" s="516" t="str">
        <f>Italy!$D$13</f>
        <v>2nd &amp; 3rd floor</v>
      </c>
      <c r="K81" s="518">
        <f>Italy!$D$24</f>
        <v>2314</v>
      </c>
      <c r="L81" s="515" t="str">
        <f>Italy!$D$26</f>
        <v>EUR</v>
      </c>
      <c r="M81" s="519">
        <f>Italy!$D$28</f>
        <v>291.70267934312881</v>
      </c>
      <c r="N81" s="524" t="str">
        <f>Italy!$D$29</f>
        <v>100% of the percentage change (only if positive) in the consumer price index as determined by ISTAT in the previous year.
It applies each year.</v>
      </c>
      <c r="O81" s="519" t="str">
        <f>Italy!$D$27</f>
        <v>675000 € /year</v>
      </c>
      <c r="P81" s="522">
        <f>Italy!$D$30</f>
        <v>335000</v>
      </c>
      <c r="Q81" s="515">
        <f>Italy!$D$46</f>
        <v>407</v>
      </c>
      <c r="R81" s="518">
        <f>Italy!$D$50</f>
        <v>203</v>
      </c>
      <c r="S81" s="517">
        <f t="shared" si="6"/>
        <v>0.49877149877149879</v>
      </c>
      <c r="T81" s="518">
        <f t="shared" si="7"/>
        <v>11.399014778325123</v>
      </c>
      <c r="U81" s="519">
        <f t="shared" si="8"/>
        <v>5.6855036855036856</v>
      </c>
      <c r="V81" s="520">
        <f>Italy!$D$33</f>
        <v>45838</v>
      </c>
      <c r="W81" s="520">
        <f>Italy!$D$40</f>
        <v>50585</v>
      </c>
      <c r="X81" s="520">
        <f>Italy!$D$34</f>
        <v>48394</v>
      </c>
      <c r="Y81" s="516" t="str">
        <f>Italy!$D$42</f>
        <v>No</v>
      </c>
      <c r="Z81" s="515" t="str">
        <f>Italy!$D$43</f>
        <v>Yes</v>
      </c>
      <c r="AA81" s="516" t="str">
        <f>Italy!$D$44</f>
        <v>Yes (Breeam)</v>
      </c>
      <c r="AB81" s="516">
        <f>Italy!$D$9</f>
        <v>0</v>
      </c>
      <c r="AC81" s="520" t="str">
        <f>Italy!$D$2</f>
        <v>23/09/2025</v>
      </c>
    </row>
    <row r="82" spans="1:29" ht="14">
      <c r="A82" s="515" t="s">
        <v>153</v>
      </c>
      <c r="B82" s="516" t="str">
        <f>Japan!$D$4</f>
        <v>Japan</v>
      </c>
      <c r="C82" s="515" t="str">
        <f>Japan!$D$17</f>
        <v>Japan</v>
      </c>
      <c r="D82" s="515" t="str">
        <f>Japan!$D$15</f>
        <v>Shinagawa-ku, Tokyo</v>
      </c>
      <c r="E82" s="515">
        <f>Japan!$D$16</f>
        <v>1400002</v>
      </c>
      <c r="F82" s="516" t="str">
        <f>Japan!$D$14</f>
        <v>4-12-8, Higashishinagawa</v>
      </c>
      <c r="G82" s="523" t="str">
        <f>Japan!$D$18</f>
        <v>Rental</v>
      </c>
      <c r="H82" s="515" t="str">
        <f>Japan!$D$11</f>
        <v>JP01</v>
      </c>
      <c r="I82" s="515" t="str">
        <f>Japan!$D$19</f>
        <v>No</v>
      </c>
      <c r="J82" s="516" t="str">
        <f>Japan!$D$13</f>
        <v>2nd Floor</v>
      </c>
      <c r="K82" s="518">
        <f>Japan!$D$24</f>
        <v>1247.42</v>
      </c>
      <c r="L82" s="515" t="str">
        <f>Japan!$D$26</f>
        <v>JPY</v>
      </c>
      <c r="M82" s="519">
        <f>Japan!$D$28</f>
        <v>36299.562296580138</v>
      </c>
      <c r="N82" s="524">
        <f>Japan!$D$29</f>
        <v>0</v>
      </c>
      <c r="O82" s="519">
        <f>Japan!$D$27</f>
        <v>45280800</v>
      </c>
      <c r="P82" s="522">
        <f>Japan!$D$30</f>
        <v>42199.629635567806</v>
      </c>
      <c r="Q82" s="515">
        <f>Japan!$D$46</f>
        <v>202</v>
      </c>
      <c r="R82" s="518">
        <f>Japan!$D$50</f>
        <v>235</v>
      </c>
      <c r="S82" s="517">
        <f t="shared" si="6"/>
        <v>1.1633663366336633</v>
      </c>
      <c r="T82" s="518">
        <f t="shared" si="7"/>
        <v>5.3081702127659574</v>
      </c>
      <c r="U82" s="519">
        <f t="shared" si="8"/>
        <v>6.1753465346534657</v>
      </c>
      <c r="V82" s="520">
        <f>Japan!$D$33</f>
        <v>45200</v>
      </c>
      <c r="W82" s="520">
        <f>Japan!$D$40</f>
        <v>46660</v>
      </c>
      <c r="X82" s="520">
        <f>Japan!$D$34</f>
        <v>45930</v>
      </c>
      <c r="Y82" s="516" t="str">
        <f>Japan!$D$42</f>
        <v>No</v>
      </c>
      <c r="Z82" s="515" t="str">
        <f>Japan!$D$43</f>
        <v>No</v>
      </c>
      <c r="AA82" s="516" t="str">
        <f>Japan!$D$44</f>
        <v>No</v>
      </c>
      <c r="AB82" s="516">
        <f>Japan!$D$9</f>
        <v>0</v>
      </c>
      <c r="AC82" s="520">
        <f>Japan!$D$2</f>
        <v>46056</v>
      </c>
    </row>
    <row r="83" spans="1:29" ht="14">
      <c r="A83" s="515" t="s">
        <v>153</v>
      </c>
      <c r="B83" s="516" t="str">
        <f>Japan!$E$4</f>
        <v>Japan</v>
      </c>
      <c r="C83" s="515" t="str">
        <f>Japan!$E$17</f>
        <v>Japan</v>
      </c>
      <c r="D83" s="515" t="str">
        <f>Japan!$E$15</f>
        <v>Kokurakita-ku, Kitakyushu</v>
      </c>
      <c r="E83" s="515">
        <f>Japan!$E$16</f>
        <v>8020005</v>
      </c>
      <c r="F83" s="516" t="str">
        <f>Japan!$E$14</f>
        <v>2-3-20, Sakaimach</v>
      </c>
      <c r="G83" s="523" t="str">
        <f>Japan!$E$18</f>
        <v>Rental</v>
      </c>
      <c r="H83" s="515" t="str">
        <f>Japan!$E$11</f>
        <v>JP02</v>
      </c>
      <c r="I83" s="515" t="str">
        <f>Japan!$E$19</f>
        <v>No</v>
      </c>
      <c r="J83" s="516" t="str">
        <f>Japan!$E$13</f>
        <v xml:space="preserve">5th Floor </v>
      </c>
      <c r="K83" s="518">
        <f>Japan!$E$24</f>
        <v>352.94</v>
      </c>
      <c r="L83" s="515" t="str">
        <f>Japan!$E$26</f>
        <v>JPY</v>
      </c>
      <c r="M83" s="519">
        <f>Japan!$E$28</f>
        <v>34486.654955516518</v>
      </c>
      <c r="N83" s="524">
        <f>Japan!$E$29</f>
        <v>0</v>
      </c>
      <c r="O83" s="519">
        <f>Japan!$E$27</f>
        <v>12171720</v>
      </c>
      <c r="P83" s="522">
        <f>Japan!$E$30</f>
        <v>9306.8651895506318</v>
      </c>
      <c r="Q83" s="515">
        <f>Japan!$E$46</f>
        <v>102</v>
      </c>
      <c r="R83" s="518">
        <f>Japan!$E$50</f>
        <v>91</v>
      </c>
      <c r="S83" s="517">
        <f t="shared" si="6"/>
        <v>0.89215686274509809</v>
      </c>
      <c r="T83" s="518">
        <f t="shared" si="7"/>
        <v>3.8784615384615386</v>
      </c>
      <c r="U83" s="519">
        <f t="shared" si="8"/>
        <v>3.4601960784313723</v>
      </c>
      <c r="V83" s="520">
        <f>Japan!$E$33</f>
        <v>44621</v>
      </c>
      <c r="W83" s="520">
        <f>Japan!$E$40</f>
        <v>46081</v>
      </c>
      <c r="X83" s="520">
        <f>Japan!$E$34</f>
        <v>46081</v>
      </c>
      <c r="Y83" s="516" t="str">
        <f>Japan!$E$42</f>
        <v>No</v>
      </c>
      <c r="Z83" s="515" t="str">
        <f>Japan!$E$43</f>
        <v>No</v>
      </c>
      <c r="AA83" s="516" t="str">
        <f>Japan!$E$44</f>
        <v>No</v>
      </c>
      <c r="AB83" s="516">
        <f>Japan!$E$9</f>
        <v>0</v>
      </c>
      <c r="AC83" s="520">
        <f>Japan!$D$2</f>
        <v>46056</v>
      </c>
    </row>
    <row r="84" spans="1:29" ht="42">
      <c r="A84" s="515" t="s">
        <v>234</v>
      </c>
      <c r="B84" s="516" t="str">
        <f>Bahrain!$D$4</f>
        <v>Nextcare</v>
      </c>
      <c r="C84" s="515" t="str">
        <f>Bahrain!$D$17</f>
        <v>Kingdom of Bahrain</v>
      </c>
      <c r="D84" s="515" t="str">
        <f>Bahrain!$D$15</f>
        <v>Manama</v>
      </c>
      <c r="E84" s="515" t="str">
        <f>Bahrain!$D$16</f>
        <v>N/A</v>
      </c>
      <c r="F84" s="516" t="str">
        <f>Bahrain!$D$14</f>
        <v>Exhibition Tower, Building No. 614, Road No. 1011, Block No. 410, Sanabis</v>
      </c>
      <c r="G84" s="515" t="str">
        <f>Bahrain!$D$18</f>
        <v>Rental</v>
      </c>
      <c r="H84" s="515" t="str">
        <f>Bahrain!$D$11</f>
        <v>BH01</v>
      </c>
      <c r="I84" s="515" t="str">
        <f>Bahrain!$D$19</f>
        <v>No</v>
      </c>
      <c r="J84" s="516" t="str">
        <f>Bahrain!$D$13</f>
        <v>12th floor - office 1501 + 1502</v>
      </c>
      <c r="K84" s="518">
        <f>Bahrain!$D$24</f>
        <v>275</v>
      </c>
      <c r="L84" s="515" t="str">
        <f>Bahrain!$D$26</f>
        <v>BHD</v>
      </c>
      <c r="M84" s="519">
        <f>Bahrain!$D$28</f>
        <v>37.090909090909093</v>
      </c>
      <c r="N84" s="516" t="str">
        <f>Bahrain!$D$29</f>
        <v>6% every two years</v>
      </c>
      <c r="O84" s="519">
        <f>Bahrain!$D$27</f>
        <v>10200</v>
      </c>
      <c r="P84" s="519">
        <f>Bahrain!$D$30</f>
        <v>3.1540727272727276</v>
      </c>
      <c r="Q84" s="515">
        <f>Bahrain!$D$46</f>
        <v>23</v>
      </c>
      <c r="R84" s="515">
        <f>Bahrain!$D$50</f>
        <v>21</v>
      </c>
      <c r="S84" s="517">
        <f t="shared" si="6"/>
        <v>0.91304347826086951</v>
      </c>
      <c r="T84" s="518">
        <f t="shared" si="7"/>
        <v>13.095238095238095</v>
      </c>
      <c r="U84" s="519">
        <f t="shared" si="8"/>
        <v>11.956521739130435</v>
      </c>
      <c r="V84" s="520">
        <f>Bahrain!$D$33</f>
        <v>44713</v>
      </c>
      <c r="W84" s="520">
        <f>Bahrain!$D$40</f>
        <v>46538</v>
      </c>
      <c r="X84" s="520" t="str">
        <f>Bahrain!$D$34</f>
        <v>anytime</v>
      </c>
      <c r="Y84" s="516" t="str">
        <f>Bahrain!$D$42</f>
        <v>No</v>
      </c>
      <c r="Z84" s="515" t="str">
        <f>Bahrain!$D$43</f>
        <v>N/A</v>
      </c>
      <c r="AA84" s="516" t="str">
        <f>Bahrain!$D$44</f>
        <v>No</v>
      </c>
      <c r="AB84" s="516" t="str">
        <f>Bahrain!$D$9</f>
        <v>Angelyn Valeza</v>
      </c>
      <c r="AC84" s="520" t="str">
        <f>Bahrain!$D$2</f>
        <v>26/01/2026</v>
      </c>
    </row>
    <row r="85" spans="1:29" ht="42">
      <c r="A85" s="515" t="s">
        <v>234</v>
      </c>
      <c r="B85" s="516" t="str">
        <f>Bahrain!$D$4</f>
        <v>Nextcare</v>
      </c>
      <c r="C85" s="515" t="str">
        <f>Bahrain!$E$17</f>
        <v>Kingdom of Bahrain</v>
      </c>
      <c r="D85" s="515" t="str">
        <f>Bahrain!$E$15</f>
        <v>Manama</v>
      </c>
      <c r="E85" s="515" t="str">
        <f>Bahrain!$E$16</f>
        <v>N/A</v>
      </c>
      <c r="F85" s="516" t="str">
        <f>Bahrain!$E$14</f>
        <v>Exhibition Tower, Building No. 614, Road No. 1011, Block No. 410, Sanabis</v>
      </c>
      <c r="G85" s="515" t="str">
        <f>Bahrain!$E$18</f>
        <v>Rental</v>
      </c>
      <c r="H85" s="515" t="str">
        <f>Bahrain!$E$11</f>
        <v>BH01</v>
      </c>
      <c r="I85" s="515" t="str">
        <f>Bahrain!$E$19</f>
        <v>No</v>
      </c>
      <c r="J85" s="516" t="str">
        <f>Bahrain!$E$13</f>
        <v>12th floor - office 1503 + 1504</v>
      </c>
      <c r="K85" s="519">
        <f>Bahrain!$E$24</f>
        <v>275</v>
      </c>
      <c r="L85" s="515" t="str">
        <f>Bahrain!$E$26</f>
        <v>BHD</v>
      </c>
      <c r="M85" s="529">
        <f>Bahrain!$E$28</f>
        <v>37.090909090909093</v>
      </c>
      <c r="N85" s="516" t="str">
        <f>Bahrain!$E$29</f>
        <v>6% every two years</v>
      </c>
      <c r="O85" s="519">
        <f>Bahrain!$E$27</f>
        <v>10200</v>
      </c>
      <c r="P85" s="529">
        <f>Bahrain!$E$30</f>
        <v>0</v>
      </c>
      <c r="Q85" s="530">
        <f>Bahrain!$E$46</f>
        <v>0</v>
      </c>
      <c r="R85" s="530">
        <f>Bahrain!$E$50</f>
        <v>0</v>
      </c>
      <c r="S85" s="517" t="e">
        <f t="shared" si="6"/>
        <v>#DIV/0!</v>
      </c>
      <c r="T85" s="518" t="e">
        <f t="shared" si="7"/>
        <v>#DIV/0!</v>
      </c>
      <c r="U85" s="519" t="e">
        <f t="shared" si="8"/>
        <v>#DIV/0!</v>
      </c>
      <c r="V85" s="528" t="str">
        <f>Bahrain!E37</f>
        <v>1 month notice can be given to vacate but after 1 year</v>
      </c>
      <c r="W85" s="520" t="str">
        <f>Bahrain!E44</f>
        <v>No</v>
      </c>
      <c r="X85" s="520" t="str">
        <f>Bahrain!E38</f>
        <v>Yes</v>
      </c>
      <c r="Y85" s="516" t="s">
        <v>322</v>
      </c>
    </row>
    <row r="86" spans="1:29" ht="28">
      <c r="A86" s="515" t="s">
        <v>234</v>
      </c>
      <c r="B86" s="516" t="str">
        <f>SaudiArabia!$D$4</f>
        <v>Nextcare</v>
      </c>
      <c r="C86" s="515" t="str">
        <f>SaudiArabia!$D$17</f>
        <v>Kingdom of Saudi Arabia</v>
      </c>
      <c r="D86" s="515" t="str">
        <f>SaudiArabia!$D$15</f>
        <v xml:space="preserve">Al Khobar  </v>
      </c>
      <c r="E86" s="515" t="str">
        <f>SaudiArabia!$D$16</f>
        <v>N/A</v>
      </c>
      <c r="F86" s="516" t="str">
        <f>SaudiArabia!$D$14</f>
        <v>Al Khobar Al Janubiyah, 1st Floor Al Rabiah &amp; Nassar Building</v>
      </c>
      <c r="G86" s="515" t="str">
        <f>SaudiArabia!$D$18</f>
        <v>Rental</v>
      </c>
      <c r="H86" s="515" t="str">
        <f>SaudiArabia!$D$11</f>
        <v>SA01</v>
      </c>
      <c r="I86" s="515" t="str">
        <f>SaudiArabia!$D$19</f>
        <v>No</v>
      </c>
      <c r="J86" s="516" t="str">
        <f>SaudiArabia!$D$13</f>
        <v>2 floors (M01-M02 : full floor \ office: 1st floor)  </v>
      </c>
      <c r="K86" s="523">
        <f>SaudiArabia!$D$24</f>
        <v>1003</v>
      </c>
      <c r="L86" s="515" t="str">
        <f>SaudiArabia!$D$26</f>
        <v>SAR</v>
      </c>
      <c r="M86" s="519">
        <f>SaudiArabia!$D$28</f>
        <v>750</v>
      </c>
      <c r="N86" s="516" t="str">
        <f>SaudiArabia!$D$29</f>
        <v>N/A</v>
      </c>
      <c r="O86" s="519">
        <f>SaudiArabia!$D$27</f>
        <v>752250</v>
      </c>
      <c r="P86" s="519">
        <f>SaudiArabia!$D$30</f>
        <v>122.3528993020937</v>
      </c>
      <c r="Q86" s="515">
        <f>SaudiArabia!$D$46</f>
        <v>101</v>
      </c>
      <c r="R86" s="515">
        <f>SaudiArabia!$D$50</f>
        <v>0</v>
      </c>
      <c r="S86" s="517">
        <f t="shared" si="6"/>
        <v>0</v>
      </c>
      <c r="T86" s="518" t="e">
        <f t="shared" si="7"/>
        <v>#DIV/0!</v>
      </c>
      <c r="U86" s="519">
        <f t="shared" si="8"/>
        <v>9.9306930693069315</v>
      </c>
      <c r="V86" s="515" t="str">
        <f>SaudiArabia!$D$33</f>
        <v>unknown</v>
      </c>
      <c r="W86" s="520">
        <f>SaudiArabia!$D$40</f>
        <v>46022</v>
      </c>
      <c r="X86" s="520">
        <f>SaudiArabia!$D$34</f>
        <v>46022</v>
      </c>
      <c r="Y86" s="516" t="str">
        <f>SaudiArabia!$D$42</f>
        <v>No</v>
      </c>
      <c r="Z86" s="515" t="str">
        <f>SaudiArabia!$D$43</f>
        <v>N/A</v>
      </c>
      <c r="AA86" s="516" t="str">
        <f>SaudiArabia!$D$44</f>
        <v>No</v>
      </c>
      <c r="AB86" s="516" t="str">
        <f>SaudiArabia!$D$9</f>
        <v>Murtadha Abdulmuhsin</v>
      </c>
      <c r="AC86" s="520">
        <f>SaudiArabia!$D$2</f>
        <v>46077</v>
      </c>
    </row>
    <row r="87" spans="1:29" ht="42">
      <c r="A87" s="515" t="s">
        <v>234</v>
      </c>
      <c r="B87" s="516" t="str">
        <f>SaudiArabia!$E$4</f>
        <v>Nextcare</v>
      </c>
      <c r="C87" s="515" t="str">
        <f>SaudiArabia!$E$17</f>
        <v>Kingdom of Saudi Arabia</v>
      </c>
      <c r="D87" s="515" t="str">
        <f>SaudiArabia!$E$15</f>
        <v>Riyadh</v>
      </c>
      <c r="E87" s="515" t="str">
        <f>SaudiArabia!$E$16</f>
        <v>N/A</v>
      </c>
      <c r="F87" s="516" t="str">
        <f>SaudiArabia!$E$14</f>
        <v xml:space="preserve">Al Immam Saud Ibn Abdul Aziz Rd.Riyadh office, Riyadh - Al Nakhil - Building no. 5288 B- Building </v>
      </c>
      <c r="G87" s="515" t="str">
        <f>SaudiArabia!$E$18</f>
        <v>Rental</v>
      </c>
      <c r="H87" s="515" t="str">
        <f>SaudiArabia!$E$11</f>
        <v>SA02</v>
      </c>
      <c r="I87" s="515" t="str">
        <f>SaudiArabia!$E$19</f>
        <v>No</v>
      </c>
      <c r="J87" s="516" t="str">
        <f>SaudiArabia!$E$13</f>
        <v>Single office 1st floor Office B/9</v>
      </c>
      <c r="K87" s="523">
        <f>SaudiArabia!$E$24</f>
        <v>115</v>
      </c>
      <c r="L87" s="515" t="str">
        <f>SaudiArabia!$E$26</f>
        <v>SAR</v>
      </c>
      <c r="M87" s="519">
        <f>SaudiArabia!$E$28</f>
        <v>1300</v>
      </c>
      <c r="N87" s="516" t="str">
        <f>SaudiArabia!$E$29</f>
        <v>N/A</v>
      </c>
      <c r="O87" s="519">
        <f>SaudiArabia!$E$27</f>
        <v>149500</v>
      </c>
      <c r="P87" s="519">
        <f>SaudiArabia!$E$30</f>
        <v>44.082000000000001</v>
      </c>
      <c r="Q87" s="515">
        <f>SaudiArabia!$E$46</f>
        <v>3</v>
      </c>
      <c r="R87" s="515">
        <f>SaudiArabia!$E$50</f>
        <v>7</v>
      </c>
      <c r="S87" s="517">
        <f t="shared" si="6"/>
        <v>2.3333333333333335</v>
      </c>
      <c r="T87" s="518">
        <f t="shared" si="7"/>
        <v>16.428571428571427</v>
      </c>
      <c r="U87" s="519">
        <f t="shared" si="8"/>
        <v>38.333333333333336</v>
      </c>
      <c r="V87" s="515" t="str">
        <f>SaudiArabia!$E$33</f>
        <v>unknown</v>
      </c>
      <c r="W87" s="520">
        <f>SaudiArabia!$E$40</f>
        <v>46180</v>
      </c>
      <c r="X87" s="520">
        <f>SaudiArabia!$E$34</f>
        <v>45998</v>
      </c>
      <c r="Y87" s="516" t="str">
        <f>SaudiArabia!$E$42</f>
        <v>No</v>
      </c>
      <c r="Z87" s="515" t="str">
        <f>SaudiArabia!$E$43</f>
        <v>N/A</v>
      </c>
      <c r="AA87" s="516" t="str">
        <f>SaudiArabia!$E$44</f>
        <v>No</v>
      </c>
      <c r="AB87" s="516" t="str">
        <f>SaudiArabia!$E$9</f>
        <v>Murtadha Abdulmuhsin</v>
      </c>
      <c r="AC87" s="515">
        <f>SaudiArabia!$E$2</f>
        <v>0</v>
      </c>
    </row>
    <row r="88" spans="1:29" ht="28">
      <c r="A88" s="515" t="s">
        <v>234</v>
      </c>
      <c r="B88" s="516" t="str">
        <f>Lebanon!$D$4</f>
        <v>Nextcare</v>
      </c>
      <c r="C88" s="515" t="str">
        <f>Lebanon!$D$17</f>
        <v>Lebanon</v>
      </c>
      <c r="D88" s="515" t="str">
        <f>Lebanon!$D$15</f>
        <v>Beirut</v>
      </c>
      <c r="E88" s="515" t="str">
        <f>Lebanon!$D$16</f>
        <v>NA</v>
      </c>
      <c r="F88" s="516" t="str">
        <f>Lebanon!$D$14</f>
        <v>Nextcare Bldg.,Father Naamtallah Kahale Street, Saloumi, Sin El Fil</v>
      </c>
      <c r="G88" s="515" t="str">
        <f>Lebanon!$D$18</f>
        <v>Rental</v>
      </c>
      <c r="H88" s="515" t="str">
        <f>Lebanon!$D$11</f>
        <v>LE01</v>
      </c>
      <c r="I88" s="515" t="str">
        <f>Lebanon!$D$19</f>
        <v>No</v>
      </c>
      <c r="J88" s="516" t="str">
        <f>Lebanon!$D$13</f>
        <v>Whole Building (GF+5 Floors+Storage)</v>
      </c>
      <c r="K88" s="515">
        <f>Lebanon!$D$24</f>
        <v>1750</v>
      </c>
      <c r="L88" s="515" t="str">
        <f>Lebanon!$D$26</f>
        <v>USD</v>
      </c>
      <c r="M88" s="515">
        <f>Lebanon!$D$28</f>
        <v>77.142857142857139</v>
      </c>
      <c r="N88" s="516" t="str">
        <f>Lebanon!$D$29</f>
        <v>18.5% every 3 years</v>
      </c>
      <c r="O88" s="515">
        <f>Lebanon!$D$27</f>
        <v>135000</v>
      </c>
      <c r="P88" s="515">
        <f>Lebanon!$D$30</f>
        <v>88.571428571428569</v>
      </c>
      <c r="Q88" s="515">
        <f>Lebanon!$D$46</f>
        <v>174</v>
      </c>
      <c r="R88" s="515">
        <f>Lebanon!$D$50</f>
        <v>163</v>
      </c>
      <c r="S88" s="517">
        <f t="shared" si="6"/>
        <v>0.93678160919540232</v>
      </c>
      <c r="T88" s="518">
        <f t="shared" si="7"/>
        <v>10.736196319018404</v>
      </c>
      <c r="U88" s="519">
        <f t="shared" si="8"/>
        <v>10.057471264367816</v>
      </c>
      <c r="V88" s="520">
        <f>Lebanon!$D$33</f>
        <v>46037</v>
      </c>
      <c r="W88" s="520">
        <f>Lebanon!$D$40</f>
        <v>48228</v>
      </c>
      <c r="X88" s="520">
        <f>Lebanon!$D$34</f>
        <v>47133</v>
      </c>
      <c r="Y88" s="516" t="str">
        <f>Lebanon!$D$42</f>
        <v>No</v>
      </c>
      <c r="Z88" s="515" t="str">
        <f>Lebanon!$D$43</f>
        <v>No</v>
      </c>
      <c r="AA88" s="516" t="str">
        <f>Lebanon!$D$44</f>
        <v>No</v>
      </c>
      <c r="AB88" s="516" t="str">
        <f>Lebanon!$D$9</f>
        <v>Youmna Aoun</v>
      </c>
      <c r="AC88" s="520">
        <f>Lebanon!$D$2</f>
        <v>46049</v>
      </c>
    </row>
    <row r="89" spans="1:29" ht="28">
      <c r="A89" s="515" t="s">
        <v>234</v>
      </c>
      <c r="B89" s="516" t="str">
        <f>Lebanon!$E$4</f>
        <v>Nextcare</v>
      </c>
      <c r="C89" s="515" t="str">
        <f>Lebanon!$E$17</f>
        <v>Lebanon</v>
      </c>
      <c r="D89" s="515" t="str">
        <f>Lebanon!$E$15</f>
        <v>Beirut</v>
      </c>
      <c r="E89" s="515" t="str">
        <f>Lebanon!$E$16</f>
        <v>NA</v>
      </c>
      <c r="F89" s="516" t="str">
        <f>Lebanon!$E$14</f>
        <v>Mkaless office, Mkaless 691 Bldg, GF</v>
      </c>
      <c r="G89" s="515" t="str">
        <f>Lebanon!$E$18</f>
        <v>Rental</v>
      </c>
      <c r="H89" s="515" t="str">
        <f>Lebanon!$E$11</f>
        <v>LE02</v>
      </c>
      <c r="I89" s="515" t="str">
        <f>Lebanon!$E$19</f>
        <v>No</v>
      </c>
      <c r="J89" s="516" t="str">
        <f>Lebanon!$E$13</f>
        <v>GF</v>
      </c>
      <c r="K89" s="515">
        <f>Lebanon!$E$24</f>
        <v>500</v>
      </c>
      <c r="L89" s="515" t="str">
        <f>Lebanon!$E$26</f>
        <v>USD</v>
      </c>
      <c r="M89" s="515">
        <f>Lebanon!$E$28</f>
        <v>74.8</v>
      </c>
      <c r="N89" s="516" t="str">
        <f>Lebanon!$E$29</f>
        <v>10% every 3 years</v>
      </c>
      <c r="O89" s="515">
        <f>Lebanon!$E$27</f>
        <v>37400</v>
      </c>
      <c r="P89" s="515">
        <f>Lebanon!$E$30</f>
        <v>180</v>
      </c>
      <c r="Q89" s="515">
        <f>Lebanon!$E$46</f>
        <v>59</v>
      </c>
      <c r="R89" s="515">
        <f>Lebanon!$E$50</f>
        <v>119</v>
      </c>
      <c r="S89" s="517">
        <f t="shared" si="6"/>
        <v>2.0169491525423728</v>
      </c>
      <c r="T89" s="518">
        <f t="shared" si="7"/>
        <v>4.2016806722689077</v>
      </c>
      <c r="U89" s="519">
        <f t="shared" si="8"/>
        <v>8.4745762711864412</v>
      </c>
      <c r="V89" s="520">
        <f>Lebanon!$E$33</f>
        <v>44927</v>
      </c>
      <c r="W89" s="520">
        <f>Lebanon!$E$40</f>
        <v>48213</v>
      </c>
      <c r="X89" s="520" t="str">
        <f>Lebanon!$E$34</f>
        <v>NA</v>
      </c>
      <c r="Y89" s="516" t="str">
        <f>Lebanon!$E$42</f>
        <v>No</v>
      </c>
      <c r="Z89" s="515" t="str">
        <f>Lebanon!$E$43</f>
        <v>No</v>
      </c>
      <c r="AA89" s="516" t="str">
        <f>Lebanon!$E$44</f>
        <v>No</v>
      </c>
      <c r="AB89" s="516" t="str">
        <f>Lebanon!$E$9</f>
        <v>Youmna Aoun</v>
      </c>
      <c r="AC89" s="515">
        <f>Lebanon!$E$2</f>
        <v>0</v>
      </c>
    </row>
    <row r="90" spans="1:29" ht="28">
      <c r="A90" s="515" t="s">
        <v>234</v>
      </c>
      <c r="B90" s="516" t="str">
        <f>Lebanon!$F$4</f>
        <v>Nextcare</v>
      </c>
      <c r="C90" s="515" t="str">
        <f>Lebanon!$F$17</f>
        <v>Lebanon</v>
      </c>
      <c r="D90" s="515" t="str">
        <f>Lebanon!$F$15</f>
        <v>Beirut</v>
      </c>
      <c r="E90" s="515" t="str">
        <f>Lebanon!$F$16</f>
        <v>NA</v>
      </c>
      <c r="F90" s="516" t="str">
        <f>Lebanon!$F$14</f>
        <v>Nextcare Bldg.,Father Naamtallah Kahale Street, Saloumi, Sin El Fil</v>
      </c>
      <c r="G90" s="515" t="str">
        <f>Lebanon!$F$18</f>
        <v>Rental</v>
      </c>
      <c r="H90" s="515" t="str">
        <f>Lebanon!$F$11</f>
        <v>LE01</v>
      </c>
      <c r="I90" s="515" t="str">
        <f>Lebanon!$F$19</f>
        <v>No</v>
      </c>
      <c r="J90" s="516" t="str">
        <f>Lebanon!$F$13</f>
        <v>Plot for Parking</v>
      </c>
      <c r="K90" s="515">
        <f>Lebanon!$F$24</f>
        <v>960</v>
      </c>
      <c r="L90" s="515" t="str">
        <f>Lebanon!$F$26</f>
        <v>USD</v>
      </c>
      <c r="M90" s="515">
        <f>Lebanon!$F$28</f>
        <v>34.375</v>
      </c>
      <c r="N90" s="516" t="str">
        <f>Lebanon!$F$29</f>
        <v>10% every 3 years</v>
      </c>
      <c r="O90" s="515">
        <f>Lebanon!$F$27</f>
        <v>33000</v>
      </c>
      <c r="P90" s="515" t="str">
        <f>Lebanon!$F$30</f>
        <v>NA</v>
      </c>
      <c r="Q90" s="515">
        <f>Lebanon!$F$46</f>
        <v>0</v>
      </c>
      <c r="R90" s="515">
        <f>Lebanon!$F$50</f>
        <v>0</v>
      </c>
      <c r="S90" s="517" t="e">
        <f t="shared" si="6"/>
        <v>#DIV/0!</v>
      </c>
      <c r="T90" s="518" t="e">
        <f t="shared" si="7"/>
        <v>#DIV/0!</v>
      </c>
      <c r="U90" s="519" t="e">
        <f t="shared" si="8"/>
        <v>#DIV/0!</v>
      </c>
      <c r="V90" s="520">
        <f>Lebanon!$F$33</f>
        <v>44448</v>
      </c>
      <c r="W90" s="520">
        <f>Lebanon!$F$40</f>
        <v>48213</v>
      </c>
      <c r="X90" s="520">
        <f>Lebanon!$F$34</f>
        <v>47119</v>
      </c>
      <c r="Y90" s="516" t="str">
        <f>Lebanon!$F$42</f>
        <v>No</v>
      </c>
      <c r="Z90" s="515" t="str">
        <f>Lebanon!$F$43</f>
        <v>NA</v>
      </c>
      <c r="AA90" s="516" t="str">
        <f>Lebanon!$F$44</f>
        <v>NA</v>
      </c>
      <c r="AB90" s="516" t="str">
        <f>Lebanon!$F$9</f>
        <v>Youmna Aoun</v>
      </c>
      <c r="AC90" s="515">
        <f>Lebanon!$F$2</f>
        <v>0</v>
      </c>
    </row>
    <row r="91" spans="1:29" ht="28">
      <c r="A91" s="515" t="s">
        <v>234</v>
      </c>
      <c r="B91" s="516" t="str">
        <f>Lebanon!$G$4</f>
        <v>Nextcare</v>
      </c>
      <c r="C91" s="515" t="str">
        <f>Lebanon!$G$17</f>
        <v>Lebanon</v>
      </c>
      <c r="D91" s="515" t="str">
        <f>Lebanon!$G$15</f>
        <v>Beirut</v>
      </c>
      <c r="E91" s="515" t="str">
        <f>Lebanon!$G$16</f>
        <v>NA</v>
      </c>
      <c r="F91" s="516" t="str">
        <f>Lebanon!$G$14</f>
        <v>Nextcare Bldg.,Father Naamtallah Kahale Street, Saloumi, Sin El Fil</v>
      </c>
      <c r="G91" s="515" t="str">
        <f>Lebanon!$G$18</f>
        <v>Rental</v>
      </c>
      <c r="H91" s="515" t="str">
        <f>Lebanon!$G$11</f>
        <v>LE01</v>
      </c>
      <c r="I91" s="515" t="str">
        <f>Lebanon!$G$19</f>
        <v>No</v>
      </c>
      <c r="J91" s="516" t="str">
        <f>Lebanon!$G$13</f>
        <v>Plot for Parking</v>
      </c>
      <c r="K91" s="515">
        <f>Lebanon!$G$24</f>
        <v>1000</v>
      </c>
      <c r="L91" s="515" t="str">
        <f>Lebanon!$G$26</f>
        <v>USD</v>
      </c>
      <c r="M91" s="515">
        <f>Lebanon!$G$28</f>
        <v>0</v>
      </c>
      <c r="N91" s="516">
        <f>Lebanon!$G$29</f>
        <v>0</v>
      </c>
      <c r="O91" s="515">
        <f>Lebanon!$G$27</f>
        <v>0</v>
      </c>
      <c r="P91" s="515">
        <f>Lebanon!$G$30</f>
        <v>0</v>
      </c>
      <c r="Q91" s="515">
        <f>Lebanon!$G$46</f>
        <v>0</v>
      </c>
      <c r="R91" s="515">
        <f>Lebanon!$G$50</f>
        <v>0</v>
      </c>
      <c r="S91" s="517" t="e">
        <f t="shared" si="6"/>
        <v>#DIV/0!</v>
      </c>
      <c r="T91" s="518" t="e">
        <f t="shared" si="7"/>
        <v>#DIV/0!</v>
      </c>
      <c r="U91" s="519" t="e">
        <f t="shared" si="8"/>
        <v>#DIV/0!</v>
      </c>
      <c r="V91" s="520">
        <f>Lebanon!$G$33</f>
        <v>44345</v>
      </c>
      <c r="W91" s="520">
        <f>Lebanon!$G$40</f>
        <v>48579</v>
      </c>
      <c r="X91" s="520">
        <f>Lebanon!$G$34</f>
        <v>46022</v>
      </c>
      <c r="Y91" s="516" t="str">
        <f>Lebanon!$G$42</f>
        <v>No</v>
      </c>
      <c r="Z91" s="515" t="str">
        <f>Lebanon!$G$43</f>
        <v>NA</v>
      </c>
      <c r="AA91" s="516" t="str">
        <f>Lebanon!$G$44</f>
        <v>NA</v>
      </c>
      <c r="AB91" s="516" t="str">
        <f>Lebanon!$G$9</f>
        <v>Youmna Aoun</v>
      </c>
      <c r="AC91" s="515">
        <f>Lebanon!$G$2</f>
        <v>0</v>
      </c>
    </row>
    <row r="92" spans="1:29" ht="28">
      <c r="A92" s="515" t="s">
        <v>234</v>
      </c>
      <c r="B92" s="516" t="str">
        <f>Libya!$D$4</f>
        <v>Libya</v>
      </c>
      <c r="C92" s="515" t="str">
        <f>Libya!$D$17</f>
        <v>Lybia</v>
      </c>
      <c r="D92" s="515" t="str">
        <f>Libya!$D$15</f>
        <v>Tripoli</v>
      </c>
      <c r="E92" s="515">
        <f>Libya!$D$16</f>
        <v>3722</v>
      </c>
      <c r="F92" s="516" t="str">
        <f>Libya!$D$14</f>
        <v>0011 Madlien Office, 
Al Nofflieen, Taqsim Ben Zaglam</v>
      </c>
      <c r="G92" s="515" t="str">
        <f>Libya!$D$18</f>
        <v>Sublease</v>
      </c>
      <c r="H92" s="515" t="str">
        <f>Libya!$D$11</f>
        <v>LY01</v>
      </c>
      <c r="I92" s="515" t="str">
        <f>Libya!$D$19</f>
        <v>no</v>
      </c>
      <c r="J92" s="516" t="str">
        <f>Libya!$D$13</f>
        <v>First Floor</v>
      </c>
      <c r="K92" s="515">
        <f>Libya!$D$24</f>
        <v>380</v>
      </c>
      <c r="L92" s="515" t="str">
        <f>Libya!$D$26</f>
        <v>EUR</v>
      </c>
      <c r="M92" s="515">
        <f>Libya!$D$28</f>
        <v>1196.9000000000001</v>
      </c>
      <c r="N92" s="516">
        <f>Libya!$D$29</f>
        <v>0</v>
      </c>
      <c r="O92" s="515">
        <f>Libya!$D$27</f>
        <v>72000</v>
      </c>
      <c r="P92" s="515" t="str">
        <f>Libya!$D$30</f>
        <v>230Euro /m</v>
      </c>
      <c r="Q92" s="515">
        <f>Libya!$D$46</f>
        <v>7</v>
      </c>
      <c r="R92" s="515">
        <f>Libya!$D$50</f>
        <v>9</v>
      </c>
      <c r="S92" s="517">
        <f t="shared" si="6"/>
        <v>1.2857142857142858</v>
      </c>
      <c r="T92" s="518">
        <f t="shared" si="7"/>
        <v>42.222222222222221</v>
      </c>
      <c r="U92" s="519">
        <f t="shared" si="8"/>
        <v>54.285714285714285</v>
      </c>
      <c r="V92" s="520">
        <f>Libya!$D$33</f>
        <v>44894</v>
      </c>
      <c r="W92" s="520">
        <f>Libya!$D$40</f>
        <v>47768</v>
      </c>
      <c r="X92" s="515">
        <f>Libya!$D$34</f>
        <v>0</v>
      </c>
      <c r="Y92" s="516" t="str">
        <f>Libya!$D$42</f>
        <v>N/A</v>
      </c>
      <c r="Z92" s="515" t="str">
        <f>Libya!$D$43</f>
        <v>No</v>
      </c>
      <c r="AA92" s="516" t="str">
        <f>Libya!$D$44</f>
        <v>NO</v>
      </c>
      <c r="AB92" s="516">
        <f>Libya!$D$9</f>
        <v>0</v>
      </c>
      <c r="AC92" s="520">
        <f>Libya!$D$2</f>
        <v>45980</v>
      </c>
    </row>
    <row r="93" spans="1:29" ht="42">
      <c r="A93" s="515" t="s">
        <v>153</v>
      </c>
      <c r="B93" s="516" t="str">
        <f>Malaysia!$E$4</f>
        <v>BU Malaysia</v>
      </c>
      <c r="C93" s="515" t="str">
        <f>Malaysia!$E$17</f>
        <v>Malaysia</v>
      </c>
      <c r="D93" s="515" t="str">
        <f>Malaysia!$E$15</f>
        <v>Kuala Lumpur</v>
      </c>
      <c r="E93" s="515">
        <f>Malaysia!$E$16</f>
        <v>50450</v>
      </c>
      <c r="F93" s="516" t="str">
        <f>Malaysia!$E$14</f>
        <v>UOA Centre  ·  No. 19 Jalan Pinang, 50450 Kuala Lumpur  ·  Malaysia (2nd contract)</v>
      </c>
      <c r="G93" s="515" t="str">
        <f>Malaysia!$E$18</f>
        <v>Rental</v>
      </c>
      <c r="H93" s="515" t="str">
        <f>Malaysia!$E$11</f>
        <v>MY01</v>
      </c>
      <c r="I93" s="515" t="str">
        <f>Malaysia!$E$19</f>
        <v>No</v>
      </c>
      <c r="J93" s="516" t="str">
        <f>Malaysia!$E$13</f>
        <v>17th floor Office suite 19-17-1 &amp; 3 &amp; 5</v>
      </c>
      <c r="K93" s="523">
        <f>Malaysia!$E$24</f>
        <v>635.54942300000005</v>
      </c>
      <c r="L93" s="515" t="str">
        <f>Malaysia!$E$26</f>
        <v>MYR</v>
      </c>
      <c r="M93" s="519">
        <f>Malaysia!$E$28</f>
        <v>542.50131857959377</v>
      </c>
      <c r="N93" s="516" t="str">
        <f>Malaysia!$E$29</f>
        <v>no rent increase</v>
      </c>
      <c r="O93" s="515">
        <f>Malaysia!$E$27</f>
        <v>0</v>
      </c>
      <c r="P93" s="515">
        <f>Malaysia!$E$30</f>
        <v>161348.85999999999</v>
      </c>
      <c r="Q93" s="515">
        <f>Malaysia!$E$46</f>
        <v>85</v>
      </c>
      <c r="R93" s="515">
        <f>Malaysia!$E$51</f>
        <v>114</v>
      </c>
      <c r="S93" s="517">
        <f t="shared" si="6"/>
        <v>1.3411764705882352</v>
      </c>
      <c r="T93" s="518">
        <f t="shared" si="7"/>
        <v>5.5749949385964914</v>
      </c>
      <c r="U93" s="519">
        <f t="shared" si="8"/>
        <v>7.4770520352941183</v>
      </c>
      <c r="V93" s="520">
        <f>Malaysia!$E$33</f>
        <v>44562</v>
      </c>
      <c r="W93" s="520">
        <f>Malaysia!$E$40</f>
        <v>46752</v>
      </c>
      <c r="X93" s="520">
        <f>Malaysia!$E$34</f>
        <v>46752</v>
      </c>
      <c r="Y93" s="516" t="str">
        <f>Malaysia!$E$42</f>
        <v>No</v>
      </c>
      <c r="Z93" s="515" t="str">
        <f>Malaysia!$E$43</f>
        <v>No</v>
      </c>
      <c r="AA93" s="516" t="str">
        <f>Malaysia!$E$44</f>
        <v>No</v>
      </c>
      <c r="AB93" s="516">
        <f>Malaysia!$E$9</f>
        <v>0</v>
      </c>
      <c r="AC93" s="520">
        <f>Malaysia!$E$2</f>
        <v>0</v>
      </c>
    </row>
    <row r="94" spans="1:29" ht="28">
      <c r="A94" s="515" t="s">
        <v>153</v>
      </c>
      <c r="B94" s="516" t="str">
        <f>Malaysia!$D$4</f>
        <v>BU Malaysia</v>
      </c>
      <c r="C94" s="515" t="str">
        <f>Malaysia!$D$17</f>
        <v>Malaysia</v>
      </c>
      <c r="D94" s="515" t="str">
        <f>Malaysia!$D$15</f>
        <v>Kuala Lumpur</v>
      </c>
      <c r="E94" s="515">
        <f>Malaysia!$D$16</f>
        <v>50450</v>
      </c>
      <c r="F94" s="516" t="str">
        <f>Malaysia!$D$14</f>
        <v>UOA Centre  ·  No. 19 Jalan Pinang, 50450 Kuala Lumpur  ·  Malaysia</v>
      </c>
      <c r="G94" s="523" t="str">
        <f>Malaysia!$D$18</f>
        <v>Rental</v>
      </c>
      <c r="H94" s="531" t="str">
        <f>Malaysia!$D$11</f>
        <v>MY01</v>
      </c>
      <c r="I94" s="515" t="str">
        <f>Malaysia!$D$19</f>
        <v>No</v>
      </c>
      <c r="J94" s="516" t="str">
        <f>Malaysia!$D$13</f>
        <v>13th floor Office suite 19-13-2</v>
      </c>
      <c r="K94" s="518">
        <f>Malaysia!$D$24</f>
        <v>306.57990000000001</v>
      </c>
      <c r="L94" s="515" t="str">
        <f>Malaysia!$D$26</f>
        <v>MYR</v>
      </c>
      <c r="M94" s="519">
        <f>Malaysia!$D$28</f>
        <v>542.50131857959377</v>
      </c>
      <c r="N94" s="524" t="str">
        <f>Malaysia!$D$29</f>
        <v>no rent increase</v>
      </c>
      <c r="O94" s="519">
        <f>Malaysia!$D$27</f>
        <v>0</v>
      </c>
      <c r="P94" s="522">
        <f>Malaysia!$D$30</f>
        <v>78081.259999999995</v>
      </c>
      <c r="Q94" s="515">
        <f>Malaysia!$D$46</f>
        <v>43</v>
      </c>
      <c r="R94" s="518">
        <f>Malaysia!$D$51</f>
        <v>43</v>
      </c>
      <c r="S94" s="517">
        <f t="shared" si="6"/>
        <v>1</v>
      </c>
      <c r="T94" s="518">
        <f t="shared" si="7"/>
        <v>7.1297651162790698</v>
      </c>
      <c r="U94" s="519">
        <f t="shared" si="8"/>
        <v>7.1297651162790698</v>
      </c>
      <c r="V94" s="520">
        <f>Malaysia!$D$33</f>
        <v>44531</v>
      </c>
      <c r="W94" s="520">
        <f>Malaysia!$D$40</f>
        <v>46752</v>
      </c>
      <c r="X94" s="520">
        <f>Malaysia!$D$34</f>
        <v>46752</v>
      </c>
      <c r="Y94" s="516" t="str">
        <f>Malaysia!$D$42</f>
        <v>No</v>
      </c>
      <c r="Z94" s="515" t="str">
        <f>Malaysia!$D$43</f>
        <v>No</v>
      </c>
      <c r="AA94" s="516" t="str">
        <f>Malaysia!$D$44</f>
        <v>No</v>
      </c>
      <c r="AB94" s="516">
        <f>Malaysia!$D$9</f>
        <v>0</v>
      </c>
      <c r="AC94" s="520">
        <f>Malaysia!$D$2</f>
        <v>0</v>
      </c>
    </row>
    <row r="95" spans="1:29" ht="70">
      <c r="A95" s="515" t="s">
        <v>205</v>
      </c>
      <c r="B95" s="516" t="str">
        <f>Mexico!$F$4</f>
        <v>BU Mexico</v>
      </c>
      <c r="C95" s="515" t="str">
        <f>Mexico!$F$17</f>
        <v>Mexico</v>
      </c>
      <c r="D95" s="515" t="str">
        <f>Mexico!$F$15</f>
        <v>Leon</v>
      </c>
      <c r="E95" s="515">
        <f>Mexico!$F$16</f>
        <v>37510</v>
      </c>
      <c r="F95" s="516" t="str">
        <f>Mexico!$F$14</f>
        <v>Nodus Busines Center, Plaza Stadium, Boulevard Adolfo Lopez Mateos, # 1702, Col. Parque Manzanares, CP 37510 floor 4, León Guanajuato</v>
      </c>
      <c r="G95" s="515" t="str">
        <f>Mexico!$F$18</f>
        <v>Rental</v>
      </c>
      <c r="H95" s="515" t="str">
        <f>Mexico!$F$11</f>
        <v>MX03</v>
      </c>
      <c r="I95" s="515" t="str">
        <f>Mexico!$F$19</f>
        <v>No</v>
      </c>
      <c r="J95" s="516" t="str">
        <f>Mexico!$F$13</f>
        <v xml:space="preserve">4th floor </v>
      </c>
      <c r="K95" s="515">
        <f>Mexico!$F$24</f>
        <v>10</v>
      </c>
      <c r="L95" s="515" t="str">
        <f>Mexico!$F$26</f>
        <v>MXN</v>
      </c>
      <c r="M95" s="515">
        <f>Mexico!$F$28</f>
        <v>2397.6000000000004</v>
      </c>
      <c r="N95" s="516" t="str">
        <f>Mexico!$F$29</f>
        <v>INPC</v>
      </c>
      <c r="O95" s="515">
        <f>Mexico!$F$27</f>
        <v>0</v>
      </c>
      <c r="P95" s="515" t="str">
        <f>Mexico!$F$30</f>
        <v>None</v>
      </c>
      <c r="Q95" s="515">
        <f>Mexico!$F$46</f>
        <v>48</v>
      </c>
      <c r="R95" s="515">
        <f>Mexico!$F$50</f>
        <v>0</v>
      </c>
      <c r="S95" s="517">
        <f t="shared" si="6"/>
        <v>0</v>
      </c>
      <c r="T95" s="518" t="e">
        <f t="shared" si="7"/>
        <v>#DIV/0!</v>
      </c>
      <c r="U95" s="519">
        <f t="shared" si="8"/>
        <v>0.20833333333333334</v>
      </c>
      <c r="V95" s="520">
        <f>Mexico!$F$33</f>
        <v>44927</v>
      </c>
      <c r="W95" s="520">
        <f>Mexico!$F$40</f>
        <v>46387</v>
      </c>
      <c r="X95" s="520">
        <f>Mexico!$F$34</f>
        <v>45291</v>
      </c>
      <c r="Y95" s="516" t="str">
        <f>Mexico!$F$42</f>
        <v>No</v>
      </c>
      <c r="Z95" s="515" t="str">
        <f>Mexico!$F$43</f>
        <v>No</v>
      </c>
      <c r="AA95" s="516" t="str">
        <f>Mexico!$F$44</f>
        <v>No</v>
      </c>
      <c r="AB95" s="516">
        <f>Mexico!$F$9</f>
        <v>0</v>
      </c>
      <c r="AC95" s="515">
        <f>Mexico!$F$2</f>
        <v>0</v>
      </c>
    </row>
    <row r="96" spans="1:29" ht="70">
      <c r="A96" s="515" t="s">
        <v>205</v>
      </c>
      <c r="B96" s="516" t="str">
        <f>Mexico!$E$4</f>
        <v>BU Mexico</v>
      </c>
      <c r="C96" s="515" t="str">
        <f>Mexico!$E$17</f>
        <v>Mexico</v>
      </c>
      <c r="D96" s="515" t="str">
        <f>Mexico!$E$15</f>
        <v>Querétaro</v>
      </c>
      <c r="E96" s="515">
        <f>Mexico!$E$16</f>
        <v>76150</v>
      </c>
      <c r="F96" s="516" t="str">
        <f>Mexico!$E$14</f>
        <v>Avenida Universidad No. 370 (Business center)  Col. La piedad CP. Delegación Municipal Centro Histórico. Santiago de Querétaro, Querétaro. PLAZA UBIKA</v>
      </c>
      <c r="G96" s="515" t="str">
        <f>Mexico!$E$18</f>
        <v>Rental</v>
      </c>
      <c r="H96" s="515" t="str">
        <f>Mexico!$E$11</f>
        <v>MX02</v>
      </c>
      <c r="I96" s="515" t="str">
        <f>Mexico!$E$19</f>
        <v>No</v>
      </c>
      <c r="J96" s="516" t="str">
        <f>Mexico!$E$13</f>
        <v>4th floor (401-404)</v>
      </c>
      <c r="K96" s="515">
        <f>Mexico!$E$24</f>
        <v>857.47</v>
      </c>
      <c r="L96" s="515" t="str">
        <f>Mexico!$E$26</f>
        <v>MXN</v>
      </c>
      <c r="M96" s="515">
        <f>Mexico!$E$28</f>
        <v>2160</v>
      </c>
      <c r="N96" s="516" t="str">
        <f>Mexico!$E$29</f>
        <v>INPC</v>
      </c>
      <c r="O96" s="515">
        <f>Mexico!$E$27</f>
        <v>0</v>
      </c>
      <c r="P96" s="515">
        <f>Mexico!$E$30</f>
        <v>480</v>
      </c>
      <c r="Q96" s="515">
        <f>Mexico!$E$46</f>
        <v>249</v>
      </c>
      <c r="R96" s="515">
        <f>Mexico!$E$50</f>
        <v>120</v>
      </c>
      <c r="S96" s="517">
        <f t="shared" si="6"/>
        <v>0.48192771084337349</v>
      </c>
      <c r="T96" s="518">
        <f t="shared" si="7"/>
        <v>7.1455833333333336</v>
      </c>
      <c r="U96" s="519">
        <f t="shared" si="8"/>
        <v>3.4436546184738956</v>
      </c>
      <c r="V96" s="520">
        <f>Mexico!$E$33</f>
        <v>44636</v>
      </c>
      <c r="W96" s="520">
        <f>Mexico!$E$40</f>
        <v>46461</v>
      </c>
      <c r="X96" s="520">
        <f>Mexico!$E$34</f>
        <v>45731</v>
      </c>
      <c r="Y96" s="516" t="str">
        <f>Mexico!$E$42</f>
        <v>No</v>
      </c>
      <c r="Z96" s="515" t="str">
        <f>Mexico!$E$43</f>
        <v>No</v>
      </c>
      <c r="AA96" s="516" t="str">
        <f>Mexico!$E$44</f>
        <v>No</v>
      </c>
      <c r="AB96" s="516">
        <f>Mexico!$E$9</f>
        <v>0</v>
      </c>
      <c r="AC96" s="515">
        <f>Mexico!$E$2</f>
        <v>0</v>
      </c>
    </row>
    <row r="97" spans="1:29" ht="56">
      <c r="A97" s="515" t="s">
        <v>205</v>
      </c>
      <c r="B97" s="516" t="str">
        <f>Mexico!$D$4</f>
        <v>BU Mexico</v>
      </c>
      <c r="C97" s="515" t="str">
        <f>Mexico!$D$17</f>
        <v>Mexico</v>
      </c>
      <c r="D97" s="515" t="str">
        <f>Mexico!$D$15</f>
        <v>Ciudad de Mexico</v>
      </c>
      <c r="E97" s="515">
        <f>Mexico!$D$16</f>
        <v>3940</v>
      </c>
      <c r="F97" s="516" t="str">
        <f>Mexico!$D$14</f>
        <v>Av. Insurgentes Sur 1602, Crédito Constructor, Benito Juárez, 03940 Ciudad de México, CDMX, México CITIBUILDING</v>
      </c>
      <c r="G97" s="515" t="str">
        <f>Mexico!$D$18</f>
        <v>Rental</v>
      </c>
      <c r="H97" s="515" t="str">
        <f>Mexico!$D$11</f>
        <v>MX01</v>
      </c>
      <c r="I97" s="515" t="str">
        <f>Mexico!$D$19</f>
        <v>No</v>
      </c>
      <c r="J97" s="516" t="str">
        <f>Mexico!$D$13</f>
        <v>8th Floor</v>
      </c>
      <c r="K97" s="515">
        <f>Mexico!$D$24</f>
        <v>1884.66</v>
      </c>
      <c r="L97" s="515" t="str">
        <f>Mexico!$D$26</f>
        <v>MXN</v>
      </c>
      <c r="M97" s="515">
        <f>Mexico!$D$28</f>
        <v>5066.7700000000004</v>
      </c>
      <c r="N97" s="516" t="str">
        <f>Mexico!$D$29</f>
        <v>INPC</v>
      </c>
      <c r="O97" s="515">
        <f>Mexico!$D$27</f>
        <v>9549138.7482000012</v>
      </c>
      <c r="P97" s="515">
        <f>Mexico!$D$30</f>
        <v>354</v>
      </c>
      <c r="Q97" s="515">
        <f>Mexico!$D$46</f>
        <v>957</v>
      </c>
      <c r="R97" s="515">
        <f>Mexico!$D$50</f>
        <v>417</v>
      </c>
      <c r="S97" s="517">
        <f t="shared" si="6"/>
        <v>0.43573667711598746</v>
      </c>
      <c r="T97" s="518">
        <f t="shared" si="7"/>
        <v>4.5195683453237416</v>
      </c>
      <c r="U97" s="519">
        <f t="shared" si="8"/>
        <v>1.9693416927899687</v>
      </c>
      <c r="V97" s="520">
        <f>Mexico!$D$33</f>
        <v>44440</v>
      </c>
      <c r="W97" s="520">
        <f>Mexico!$D$40</f>
        <v>47603</v>
      </c>
      <c r="X97" s="520">
        <f>Mexico!$D$34</f>
        <v>45596</v>
      </c>
      <c r="Y97" s="516" t="str">
        <f>Mexico!$D$42</f>
        <v>No</v>
      </c>
      <c r="Z97" s="515" t="str">
        <f>Mexico!$D$43</f>
        <v>No</v>
      </c>
      <c r="AA97" s="516" t="str">
        <f>Mexico!$D$44</f>
        <v>No</v>
      </c>
      <c r="AB97" s="516">
        <f>Mexico!$D$9</f>
        <v>0</v>
      </c>
      <c r="AC97" s="515" t="str">
        <f>Mexico!$D$2</f>
        <v>31/09/2025</v>
      </c>
    </row>
    <row r="98" spans="1:29" ht="14">
      <c r="A98" s="515" t="s">
        <v>2</v>
      </c>
      <c r="B98" s="516" t="str">
        <f>Netherlands!$D$4</f>
        <v>Netherlands</v>
      </c>
      <c r="C98" s="515" t="str">
        <f>Netherlands!$D$17</f>
        <v>Netherlands</v>
      </c>
      <c r="D98" s="515" t="str">
        <f>Netherlands!$D$15</f>
        <v>Amsterdam</v>
      </c>
      <c r="E98" s="515" t="str">
        <f>Netherlands!$D$16</f>
        <v>1059 VM</v>
      </c>
      <c r="F98" s="516" t="str">
        <f>Netherlands!$D$14</f>
        <v>Poeldijkstraat 4</v>
      </c>
      <c r="G98" s="515" t="str">
        <f>Netherlands!$D$18</f>
        <v>Rental</v>
      </c>
      <c r="H98" s="515" t="str">
        <f>Netherlands!$D$11</f>
        <v>NL01</v>
      </c>
      <c r="I98" s="515" t="str">
        <f>Netherlands!$D$19</f>
        <v>No</v>
      </c>
      <c r="J98" s="516" t="str">
        <f>Netherlands!$D$13</f>
        <v>floors 1A, 3A, 4A</v>
      </c>
      <c r="K98" s="523">
        <f>Netherlands!$D$24</f>
        <v>1821</v>
      </c>
      <c r="L98" s="515" t="str">
        <f>Netherlands!$D$26</f>
        <v>EUR</v>
      </c>
      <c r="M98" s="519">
        <f>Netherlands!$D$28</f>
        <v>189</v>
      </c>
      <c r="N98" s="524">
        <f>Netherlands!$D$29</f>
        <v>2.5000000000000001E-2</v>
      </c>
      <c r="O98" s="515">
        <f>Netherlands!$D$27</f>
        <v>0</v>
      </c>
      <c r="P98" s="515">
        <f>Netherlands!$D$30</f>
        <v>49.42</v>
      </c>
      <c r="Q98" s="515">
        <f>Netherlands!$D$46</f>
        <v>221</v>
      </c>
      <c r="R98" s="515">
        <f>Netherlands!$D$50</f>
        <v>203</v>
      </c>
      <c r="S98" s="517">
        <f t="shared" si="6"/>
        <v>0.91855203619909498</v>
      </c>
      <c r="T98" s="518">
        <f t="shared" si="7"/>
        <v>8.970443349753694</v>
      </c>
      <c r="U98" s="519">
        <f t="shared" si="8"/>
        <v>8.239819004524886</v>
      </c>
      <c r="V98" s="520">
        <f>Netherlands!$D$33</f>
        <v>45047</v>
      </c>
      <c r="W98" s="520">
        <f>Netherlands!$D$40</f>
        <v>46873</v>
      </c>
      <c r="X98" s="520">
        <f>Netherlands!$D$34</f>
        <v>46873</v>
      </c>
      <c r="Y98" s="516" t="str">
        <f>Netherlands!$D$42</f>
        <v>No</v>
      </c>
      <c r="Z98" s="515" t="str">
        <f>Netherlands!$D$43</f>
        <v>tbd</v>
      </c>
      <c r="AA98" s="516" t="str">
        <f>Netherlands!$D$44</f>
        <v>No</v>
      </c>
      <c r="AB98" s="516">
        <f>Netherlands!$D$9</f>
        <v>0</v>
      </c>
      <c r="AC98" s="520">
        <f>Netherlands!$D$2</f>
        <v>45987</v>
      </c>
    </row>
    <row r="99" spans="1:29" ht="14">
      <c r="A99" s="515" t="s">
        <v>153</v>
      </c>
      <c r="B99" s="516" t="str">
        <f>NewZealand!$D$4</f>
        <v>New Zealand</v>
      </c>
      <c r="C99" s="515" t="str">
        <f>NewZealand!$D$17</f>
        <v>New Zealand</v>
      </c>
      <c r="D99" s="515" t="str">
        <f>NewZealand!$D$15</f>
        <v>Auckland</v>
      </c>
      <c r="E99" s="515" t="str">
        <f>NewZealand!$D$16</f>
        <v>0622</v>
      </c>
      <c r="F99" s="516" t="str">
        <f>NewZealand!$D$14</f>
        <v>1 Byron Avenue, Takapuna</v>
      </c>
      <c r="G99" s="515" t="str">
        <f>NewZealand!$D$18</f>
        <v>Rental</v>
      </c>
      <c r="H99" s="515" t="str">
        <f>NewZealand!$D$11</f>
        <v>NZ01</v>
      </c>
      <c r="I99" s="515" t="str">
        <f>NewZealand!$D$19</f>
        <v>No</v>
      </c>
      <c r="J99" s="516" t="str">
        <f>NewZealand!$D$13</f>
        <v>2nd and 3rd floors</v>
      </c>
      <c r="K99" s="515">
        <f>NewZealand!$D$24</f>
        <v>990</v>
      </c>
      <c r="L99" s="515" t="str">
        <f>NewZealand!$D$26</f>
        <v>NZD</v>
      </c>
      <c r="M99" s="515">
        <f>NewZealand!$D$28</f>
        <v>352.96</v>
      </c>
      <c r="N99" s="516" t="str">
        <f>NewZealand!$D$29</f>
        <v>Market indexed</v>
      </c>
      <c r="O99" s="515">
        <f>NewZealand!$D$27</f>
        <v>349430.39999999997</v>
      </c>
      <c r="P99" s="515">
        <f>NewZealand!$D$30</f>
        <v>280.96363636363634</v>
      </c>
      <c r="Q99" s="515">
        <f>NewZealand!$D$46</f>
        <v>88</v>
      </c>
      <c r="R99" s="515">
        <f>NewZealand!$D$50</f>
        <v>98</v>
      </c>
      <c r="S99" s="517">
        <f t="shared" ref="S99:S130" si="9">R99/Q99</f>
        <v>1.1136363636363635</v>
      </c>
      <c r="T99" s="518">
        <f t="shared" ref="T99:T131" si="10">K99/R99</f>
        <v>10.102040816326531</v>
      </c>
      <c r="U99" s="519">
        <f t="shared" ref="U99:U131" si="11">K99/Q99</f>
        <v>11.25</v>
      </c>
      <c r="V99" s="520">
        <f>NewZealand!$D$33</f>
        <v>42583</v>
      </c>
      <c r="W99" s="520">
        <f>NewZealand!$D$40</f>
        <v>47695</v>
      </c>
      <c r="X99" s="520">
        <f>NewZealand!$D$34</f>
        <v>45870</v>
      </c>
      <c r="Y99" s="516" t="str">
        <f>NewZealand!$D$42</f>
        <v>Yes</v>
      </c>
      <c r="Z99" s="515" t="str">
        <f>NewZealand!$D$43</f>
        <v>Yes</v>
      </c>
      <c r="AA99" s="516" t="str">
        <f>NewZealand!$D$44</f>
        <v>No</v>
      </c>
      <c r="AB99" s="516">
        <f>NewZealand!$D$9</f>
        <v>0</v>
      </c>
      <c r="AC99" s="520">
        <f>NewZealand!$D$2</f>
        <v>46030</v>
      </c>
    </row>
    <row r="100" spans="1:29" ht="84">
      <c r="A100" s="515" t="s">
        <v>234</v>
      </c>
      <c r="B100" s="516" t="str">
        <f>Philippines!$D$4</f>
        <v>International Health</v>
      </c>
      <c r="C100" s="515" t="str">
        <f>Philippines!$D$17</f>
        <v>Philippines</v>
      </c>
      <c r="D100" s="515" t="str">
        <f>Philippines!$D$15</f>
        <v>Makati City (Manila)</v>
      </c>
      <c r="E100" s="515">
        <f>Philippines!$D$16</f>
        <v>6754</v>
      </c>
      <c r="F100" s="516" t="str">
        <f>Philippines!$D$14</f>
        <v>9th floor, 
Allied Bank Center, 
6754 Ayala Avenue Corner
Legaspi Street, 
Makati City, 
Philippines</v>
      </c>
      <c r="G100" s="515" t="str">
        <f>Philippines!$D$18</f>
        <v>Rental</v>
      </c>
      <c r="H100" s="515" t="str">
        <f>Philippines!$D$11</f>
        <v>PH01</v>
      </c>
      <c r="I100" s="515" t="str">
        <f>Philippines!$D$19</f>
        <v>Yes</v>
      </c>
      <c r="J100" s="516" t="str">
        <f>Philippines!$D$13</f>
        <v>Whole 9th floor</v>
      </c>
      <c r="K100" s="515">
        <f>Philippines!$D$24</f>
        <v>2572.04</v>
      </c>
      <c r="L100" s="515" t="str">
        <f>Philippines!$D$26</f>
        <v>PHP</v>
      </c>
      <c r="M100" s="515">
        <f>Philippines!$D$28</f>
        <v>957.21</v>
      </c>
      <c r="N100" s="516" t="str">
        <f>Philippines!$D$29</f>
        <v>5 every year</v>
      </c>
      <c r="O100" s="515">
        <f>Philippines!$D$27</f>
        <v>2461982.4084000001</v>
      </c>
      <c r="P100" s="515" t="str">
        <f>Philippines!$D$30</f>
        <v>PHP 220 per square meter per month for the common area and maintenance charges</v>
      </c>
      <c r="Q100" s="515">
        <f>Philippines!$D$46</f>
        <v>261</v>
      </c>
      <c r="R100" s="515">
        <f>Philippines!$D$50</f>
        <v>206</v>
      </c>
      <c r="S100" s="517">
        <f t="shared" si="9"/>
        <v>0.78927203065134099</v>
      </c>
      <c r="T100" s="518">
        <f t="shared" si="10"/>
        <v>12.485631067961165</v>
      </c>
      <c r="U100" s="519">
        <f t="shared" si="11"/>
        <v>9.8545593869731807</v>
      </c>
      <c r="V100" s="520">
        <f>Philippines!$D$33</f>
        <v>46035</v>
      </c>
      <c r="W100" s="515" t="str">
        <f>Philippines!$D$40</f>
        <v>4/12/2026 (As per meeting 1/27/2026, PNB life will extend he contract up until this date. Initilayy, beyond 4/13/2026 , the contract will be named to AZ Partners PH</v>
      </c>
      <c r="X100" s="515" t="str">
        <f>Philippines!$D$34</f>
        <v>anytime</v>
      </c>
      <c r="Y100" s="516" t="str">
        <f>Philippines!$D$42</f>
        <v>No</v>
      </c>
      <c r="Z100" s="515" t="str">
        <f>Philippines!$D$43</f>
        <v>No</v>
      </c>
      <c r="AA100" s="516" t="str">
        <f>Philippines!$D$44</f>
        <v>No</v>
      </c>
      <c r="AB100" s="516" t="str">
        <f>Philippines!$D$9</f>
        <v>Ramil G. Eugenio</v>
      </c>
      <c r="AC100" s="515">
        <f>Philippines!$D$2</f>
        <v>46050</v>
      </c>
    </row>
    <row r="101" spans="1:29" ht="14">
      <c r="A101" s="515" t="s">
        <v>2</v>
      </c>
      <c r="B101" s="516" t="str">
        <f>Poland!$E$4</f>
        <v>BU Poland</v>
      </c>
      <c r="C101" s="515" t="str">
        <f>Poland!$E$17</f>
        <v>Poland</v>
      </c>
      <c r="D101" s="515" t="str">
        <f>Poland!$E$15</f>
        <v>Toruń</v>
      </c>
      <c r="E101" s="515" t="str">
        <f>Poland!$E$16</f>
        <v>87-100</v>
      </c>
      <c r="F101" s="516" t="str">
        <f>Poland!$E$14</f>
        <v>ulica Tadeusza Kościuszki 71</v>
      </c>
      <c r="G101" s="515" t="str">
        <f>Poland!$E$18</f>
        <v>Rental</v>
      </c>
      <c r="H101" s="515" t="str">
        <f>Poland!$E$11</f>
        <v>PL02</v>
      </c>
      <c r="I101" s="515" t="str">
        <f>Poland!$E$19</f>
        <v>No</v>
      </c>
      <c r="J101" s="516" t="str">
        <f>Poland!$E$13</f>
        <v>4th floor</v>
      </c>
      <c r="K101" s="515" t="str">
        <f>Poland!$E$24</f>
        <v xml:space="preserve">795,32 </v>
      </c>
      <c r="L101" s="515" t="str">
        <f>Poland!$E$26</f>
        <v>PLN</v>
      </c>
      <c r="M101" s="515" t="str">
        <f>Poland!$E$28</f>
        <v xml:space="preserve"> 53,50</v>
      </c>
      <c r="N101" s="516" t="str">
        <f>Poland!$E$29</f>
        <v>New building</v>
      </c>
      <c r="O101" s="515">
        <f>Poland!$E$27</f>
        <v>0</v>
      </c>
      <c r="P101" s="515">
        <f>Poland!$E$30</f>
        <v>0</v>
      </c>
      <c r="Q101" s="515">
        <f>Poland!$E$46</f>
        <v>0</v>
      </c>
      <c r="R101" s="515">
        <f>Poland!$E$50</f>
        <v>0</v>
      </c>
      <c r="S101" s="517" t="e">
        <f t="shared" si="9"/>
        <v>#DIV/0!</v>
      </c>
      <c r="T101" s="518" t="e">
        <f t="shared" si="10"/>
        <v>#DIV/0!</v>
      </c>
      <c r="U101" s="519" t="e">
        <f t="shared" si="11"/>
        <v>#DIV/0!</v>
      </c>
      <c r="V101" s="520">
        <f>Poland!$E$33</f>
        <v>45566</v>
      </c>
      <c r="W101" s="520">
        <f>Poland!$E$40</f>
        <v>47483</v>
      </c>
      <c r="X101" s="515" t="str">
        <f>Poland!$E$34</f>
        <v xml:space="preserve">31/12/2029 </v>
      </c>
      <c r="Y101" s="516">
        <f>Poland!$E$42</f>
        <v>0</v>
      </c>
      <c r="Z101" s="515" t="str">
        <f>Poland!$E$43</f>
        <v>no</v>
      </c>
      <c r="AA101" s="516" t="str">
        <f>Poland!$E$44</f>
        <v>no</v>
      </c>
      <c r="AB101" s="516">
        <f>Poland!$E$9</f>
        <v>0</v>
      </c>
      <c r="AC101" s="520">
        <f>Poland!$D$2</f>
        <v>45932</v>
      </c>
    </row>
    <row r="102" spans="1:29" ht="168">
      <c r="A102" s="515" t="s">
        <v>2</v>
      </c>
      <c r="B102" s="516" t="str">
        <f>Poland!$D$4</f>
        <v>BU Poland</v>
      </c>
      <c r="C102" s="515" t="str">
        <f>Poland!$D$17</f>
        <v>Poland</v>
      </c>
      <c r="D102" s="515" t="str">
        <f>Poland!$D$15</f>
        <v>Warsaw</v>
      </c>
      <c r="E102" s="515" t="str">
        <f>Poland!$D$16</f>
        <v>02-672</v>
      </c>
      <c r="F102" s="516" t="str">
        <f>Poland!$D$14</f>
        <v>Konstruktorska 12</v>
      </c>
      <c r="G102" s="515" t="str">
        <f>Poland!$D$18</f>
        <v>Rental</v>
      </c>
      <c r="H102" s="515" t="str">
        <f>Poland!$D$11</f>
        <v>PL01</v>
      </c>
      <c r="I102" s="515" t="str">
        <f>Poland!$D$19</f>
        <v>No</v>
      </c>
      <c r="J102" s="516" t="str">
        <f>Poland!$D$13</f>
        <v>4th floor</v>
      </c>
      <c r="K102" s="515">
        <f>Poland!$D$24</f>
        <v>2357.52</v>
      </c>
      <c r="L102" s="515" t="str">
        <f>Poland!$D$26</f>
        <v>PLN</v>
      </c>
      <c r="M102" s="515">
        <f>Poland!$D$28</f>
        <v>1222.02</v>
      </c>
      <c r="N102" s="516" t="str">
        <f>Poland!$D$29</f>
        <v>In accordance with the provisions of the lease agreement binding us, the building's landlord adjusted the rental rates by adopting the official inflation rate for the euro of 9,2% (EICP) and 8,4% (MUICP) - subject to the official CPI</v>
      </c>
      <c r="O102" s="515">
        <f>Poland!$D$27</f>
        <v>0</v>
      </c>
      <c r="P102" s="515">
        <f>Poland!$D$30</f>
        <v>535420.5</v>
      </c>
      <c r="Q102" s="515">
        <f>Poland!$D$46</f>
        <v>343</v>
      </c>
      <c r="R102" s="515">
        <f>Poland!$D$50</f>
        <v>141</v>
      </c>
      <c r="S102" s="517">
        <f t="shared" si="9"/>
        <v>0.41107871720116618</v>
      </c>
      <c r="T102" s="518">
        <f t="shared" si="10"/>
        <v>16.72</v>
      </c>
      <c r="U102" s="519">
        <f t="shared" si="11"/>
        <v>6.8732361516034981</v>
      </c>
      <c r="V102" s="520">
        <f>Poland!$D$33</f>
        <v>43864</v>
      </c>
      <c r="W102" s="520">
        <f>Poland!$D$40</f>
        <v>46721</v>
      </c>
      <c r="X102" s="520">
        <f>Poland!$D$34</f>
        <v>46721</v>
      </c>
      <c r="Y102" s="516" t="str">
        <f>Poland!$D$42</f>
        <v>Rio Foundation uses 400m² free of charge until 31.12.2023, which got extended until 31.12.2024 - Email Sylwia 07.05.2024</v>
      </c>
      <c r="Z102" s="515" t="str">
        <f>Poland!$D$43</f>
        <v>no</v>
      </c>
      <c r="AA102" s="516" t="str">
        <f>Poland!$D$44</f>
        <v>yes (the company has adopted an ESG strategy in every area of the business )</v>
      </c>
      <c r="AB102" s="516">
        <f>Poland!$D$9</f>
        <v>0</v>
      </c>
      <c r="AC102" s="520">
        <f>Poland!$D$2</f>
        <v>45932</v>
      </c>
    </row>
    <row r="103" spans="1:29" ht="42">
      <c r="A103" s="515" t="s">
        <v>2</v>
      </c>
      <c r="B103" s="516" t="str">
        <f>Portugal!$D$4</f>
        <v>Portugal</v>
      </c>
      <c r="C103" s="515" t="str">
        <f>Portugal!$D$17</f>
        <v>Portugal</v>
      </c>
      <c r="D103" s="515">
        <f>Portugal!$D$15</f>
        <v>0</v>
      </c>
      <c r="E103" s="515">
        <f>Portugal!$D$16</f>
        <v>0</v>
      </c>
      <c r="F103" s="516" t="str">
        <f>Portugal!$D$14</f>
        <v>Edificio Miraflores Premium III, Rua Miguel Serrano, 7, pisos 4 e 5
1495-173 Algés</v>
      </c>
      <c r="G103" s="515" t="str">
        <f>Portugal!$D$18</f>
        <v>Rental</v>
      </c>
      <c r="H103" s="515" t="str">
        <f>Portugal!$D$11</f>
        <v>PT01</v>
      </c>
      <c r="I103" s="515" t="str">
        <f>Portugal!$D$19</f>
        <v>No</v>
      </c>
      <c r="J103" s="516">
        <f>Portugal!$D$13</f>
        <v>0</v>
      </c>
      <c r="K103" s="515">
        <f>Portugal!$D$24</f>
        <v>1251</v>
      </c>
      <c r="L103" s="515" t="str">
        <f>Portugal!$D$26</f>
        <v>EUR</v>
      </c>
      <c r="M103" s="515">
        <f>Portugal!$D$28</f>
        <v>140.39999999999998</v>
      </c>
      <c r="N103" s="516">
        <f>Portugal!$D$29</f>
        <v>0</v>
      </c>
      <c r="O103" s="515">
        <f>Portugal!$D$27</f>
        <v>175640.39999999997</v>
      </c>
      <c r="P103" s="515">
        <f>Portugal!$D$30</f>
        <v>0</v>
      </c>
      <c r="Q103" s="515">
        <f>Portugal!$D$46</f>
        <v>0</v>
      </c>
      <c r="R103" s="515">
        <f>Portugal!$D$50</f>
        <v>168</v>
      </c>
      <c r="S103" s="517" t="e">
        <f t="shared" si="9"/>
        <v>#DIV/0!</v>
      </c>
      <c r="T103" s="518">
        <f t="shared" si="10"/>
        <v>7.4464285714285712</v>
      </c>
      <c r="U103" s="519" t="e">
        <f t="shared" si="11"/>
        <v>#DIV/0!</v>
      </c>
      <c r="V103" s="520">
        <f>Portugal!$D$33</f>
        <v>45961</v>
      </c>
      <c r="W103" s="520">
        <f>Portugal!$D$40</f>
        <v>49613</v>
      </c>
      <c r="X103" s="520">
        <f>Portugal!$D$34</f>
        <v>47787</v>
      </c>
      <c r="Y103" s="516">
        <f>Portugal!$D$42</f>
        <v>0</v>
      </c>
      <c r="Z103" s="515" t="str">
        <f>Portugal!$D$43</f>
        <v>Yes</v>
      </c>
      <c r="AA103" s="516" t="str">
        <f>Portugal!$D$44</f>
        <v>No</v>
      </c>
      <c r="AB103" s="516" t="str">
        <f>Portugal!$D$9</f>
        <v>Alzira Alves</v>
      </c>
      <c r="AC103" s="520">
        <f>Portugal!$D$2</f>
        <v>46063</v>
      </c>
    </row>
    <row r="104" spans="1:29" ht="42">
      <c r="A104" s="515" t="s">
        <v>234</v>
      </c>
      <c r="B104" s="516" t="str">
        <f>Qatar!$E$4</f>
        <v>Nextcare</v>
      </c>
      <c r="C104" s="515" t="str">
        <f>Qatar!$E$17</f>
        <v xml:space="preserve">Qatar  </v>
      </c>
      <c r="D104" s="515" t="str">
        <f>Qatar!$E$15</f>
        <v>Doha</v>
      </c>
      <c r="E104" s="515">
        <f>Qatar!$E$16</f>
        <v>55171</v>
      </c>
      <c r="F104" s="516" t="str">
        <f>Qatar!$E$14</f>
        <v xml:space="preserve">Al Jaidah Square Business Centre 63 Airport Road, Umm Ghuwailina- Zone 27 </v>
      </c>
      <c r="G104" s="515" t="str">
        <f>Qatar!$E$18</f>
        <v>sublease</v>
      </c>
      <c r="H104" s="515" t="str">
        <f>Qatar!$E$11</f>
        <v>QT01</v>
      </c>
      <c r="I104" s="515" t="str">
        <f>Qatar!$E$19</f>
        <v>Yes</v>
      </c>
      <c r="J104" s="516" t="str">
        <f>Qatar!$E$13</f>
        <v>Single office (6th floor) 604 D</v>
      </c>
      <c r="K104" s="515">
        <f>Qatar!$E$24</f>
        <v>128.25</v>
      </c>
      <c r="L104" s="515" t="str">
        <f>Qatar!$E$26</f>
        <v>QAR</v>
      </c>
      <c r="M104" s="515">
        <f>Qatar!$E$28</f>
        <v>1080</v>
      </c>
      <c r="N104" s="516" t="str">
        <f>Qatar!$E$29</f>
        <v>N/A</v>
      </c>
      <c r="O104" s="515">
        <f>Qatar!$E$27</f>
        <v>138510</v>
      </c>
      <c r="P104" s="515">
        <f>Qatar!$E$30</f>
        <v>175.83625730994152</v>
      </c>
      <c r="Q104" s="515">
        <f>Qatar!$E$46</f>
        <v>22</v>
      </c>
      <c r="R104" s="515">
        <f>Qatar!$E$50</f>
        <v>22</v>
      </c>
      <c r="S104" s="517">
        <f t="shared" si="9"/>
        <v>1</v>
      </c>
      <c r="T104" s="518">
        <f t="shared" si="10"/>
        <v>5.8295454545454541</v>
      </c>
      <c r="U104" s="519">
        <f t="shared" si="11"/>
        <v>5.8295454545454541</v>
      </c>
      <c r="V104" s="520">
        <f>Qatar!$E$33</f>
        <v>45809</v>
      </c>
      <c r="W104" s="520">
        <f>Qatar!$E$40</f>
        <v>46173</v>
      </c>
      <c r="X104" s="520">
        <f>Qatar!$E$34</f>
        <v>45809</v>
      </c>
      <c r="Y104" s="516" t="str">
        <f>Qatar!$E$42</f>
        <v>No</v>
      </c>
      <c r="Z104" s="515" t="str">
        <f>Qatar!$E$43</f>
        <v>N/A</v>
      </c>
      <c r="AA104" s="516" t="str">
        <f>Qatar!$E$44</f>
        <v>No</v>
      </c>
      <c r="AB104" s="516" t="str">
        <f>Qatar!$E$9</f>
        <v>Zuheila Miranda / Maria Herrera</v>
      </c>
      <c r="AC104" s="515">
        <f>Qatar!$E$2</f>
        <v>0</v>
      </c>
    </row>
    <row r="105" spans="1:29" ht="28">
      <c r="A105" s="515" t="s">
        <v>234</v>
      </c>
      <c r="B105" s="516" t="str">
        <f>Qatar!$D$4</f>
        <v>International Health</v>
      </c>
      <c r="C105" s="515" t="str">
        <f>Qatar!$D$17</f>
        <v xml:space="preserve">Qatar  </v>
      </c>
      <c r="D105" s="515" t="str">
        <f>Qatar!$D$15</f>
        <v>Doha  </v>
      </c>
      <c r="E105" s="515">
        <f>Qatar!$D$16</f>
        <v>55171</v>
      </c>
      <c r="F105" s="516" t="str">
        <f>Qatar!$D$14</f>
        <v>Allianz Partners Office 604C , Jaidah Square Building 63 Airport Road </v>
      </c>
      <c r="G105" s="515" t="str">
        <f>Qatar!$D$18</f>
        <v>Rental</v>
      </c>
      <c r="H105" s="515" t="str">
        <f>Qatar!$D$11</f>
        <v>QT01</v>
      </c>
      <c r="I105" s="515" t="str">
        <f>Qatar!$D$19</f>
        <v>No</v>
      </c>
      <c r="J105" s="516" t="str">
        <f>Qatar!$D$13</f>
        <v>6th floor</v>
      </c>
      <c r="K105" s="515">
        <f>Qatar!$D$24</f>
        <v>384.75</v>
      </c>
      <c r="L105" s="515" t="str">
        <f>Qatar!$D$26</f>
        <v>QAR</v>
      </c>
      <c r="M105" s="515">
        <f>Qatar!$D$28</f>
        <v>1080</v>
      </c>
      <c r="N105" s="516" t="str">
        <f>Qatar!$D$29</f>
        <v>N/A</v>
      </c>
      <c r="O105" s="515">
        <f>Qatar!$D$27</f>
        <v>415530</v>
      </c>
      <c r="P105" s="515">
        <f>Qatar!$D$30</f>
        <v>175.83625730994152</v>
      </c>
      <c r="Q105" s="515">
        <f>Qatar!$D$46</f>
        <v>16</v>
      </c>
      <c r="R105" s="515">
        <f>Qatar!$D$50</f>
        <v>44</v>
      </c>
      <c r="S105" s="517">
        <f t="shared" si="9"/>
        <v>2.75</v>
      </c>
      <c r="T105" s="518">
        <f t="shared" si="10"/>
        <v>8.7443181818181817</v>
      </c>
      <c r="U105" s="519">
        <f t="shared" si="11"/>
        <v>24.046875</v>
      </c>
      <c r="V105" s="520">
        <f>Qatar!$D$33</f>
        <v>45809</v>
      </c>
      <c r="W105" s="520">
        <f>Qatar!$D$40</f>
        <v>46173</v>
      </c>
      <c r="X105" s="520">
        <f>Qatar!$D$34</f>
        <v>45809</v>
      </c>
      <c r="Y105" s="516" t="str">
        <f>Qatar!$D$42</f>
        <v xml:space="preserve">Yes  </v>
      </c>
      <c r="Z105" s="515" t="str">
        <f>Qatar!$D$43</f>
        <v>No</v>
      </c>
      <c r="AA105" s="516" t="str">
        <f>Qatar!$D$44</f>
        <v>No</v>
      </c>
      <c r="AB105" s="516">
        <f>Qatar!$D$9</f>
        <v>0</v>
      </c>
      <c r="AC105" s="520">
        <f>Qatar!$D$2</f>
        <v>46055</v>
      </c>
    </row>
    <row r="106" spans="1:29" ht="112">
      <c r="A106" s="515" t="s">
        <v>2</v>
      </c>
      <c r="B106" s="516" t="str">
        <f>Romania!$D$4</f>
        <v>BU Austria</v>
      </c>
      <c r="C106" s="515" t="str">
        <f>Romania!$D$17</f>
        <v>Romania</v>
      </c>
      <c r="D106" s="515" t="str">
        <f>Romania!$D$15</f>
        <v>Bucharest</v>
      </c>
      <c r="E106" s="515">
        <f>Romania!$D$16</f>
        <v>20339</v>
      </c>
      <c r="F106" s="516" t="str">
        <f>Romania!$D$14</f>
        <v>Globalworth Campus, C Building · 2-4, Ing. George Constantinescu 
11th floor, 2nd District</v>
      </c>
      <c r="G106" s="523" t="str">
        <f>Romania!$D$18</f>
        <v>Rental</v>
      </c>
      <c r="H106" s="531" t="str">
        <f>Romania!$D$11</f>
        <v>RO01</v>
      </c>
      <c r="I106" s="515" t="str">
        <f>Romania!$D$19</f>
        <v>No</v>
      </c>
      <c r="J106" s="516" t="str">
        <f>Romania!$D$13</f>
        <v>11th floor</v>
      </c>
      <c r="K106" s="518">
        <f>Romania!$D$24</f>
        <v>2343.77</v>
      </c>
      <c r="L106" s="515" t="str">
        <f>Romania!$D$26</f>
        <v>EUR</v>
      </c>
      <c r="M106" s="519">
        <f>Romania!$D$28</f>
        <v>167.76</v>
      </c>
      <c r="N106" s="524" t="str">
        <f>Romania!$D$29</f>
        <v>0 until 2025. At 5 years anniversary, based on market status, if the net difference in the net effective rent per square meter per month between the term of the lease and the market benchmark is above 15% then the rent will be amended, if is less the rent will remain unchanged</v>
      </c>
      <c r="O106" s="519">
        <f>Romania!$D$27</f>
        <v>41553</v>
      </c>
      <c r="P106" s="522">
        <f>Romania!$D$30</f>
        <v>69.960000000000008</v>
      </c>
      <c r="Q106" s="515">
        <f>Romania!$D$46</f>
        <v>200</v>
      </c>
      <c r="R106" s="518" t="str">
        <f>Romania!$D$50</f>
        <v>120 workstations with TC &amp; Monitors
60 Travelers (with laptop)</v>
      </c>
      <c r="S106" s="517" t="e">
        <f t="shared" si="9"/>
        <v>#VALUE!</v>
      </c>
      <c r="T106" s="518" t="e">
        <f t="shared" si="10"/>
        <v>#VALUE!</v>
      </c>
      <c r="U106" s="519">
        <f t="shared" si="11"/>
        <v>11.71885</v>
      </c>
      <c r="V106" s="520">
        <f>Romania!$D$33</f>
        <v>43831</v>
      </c>
      <c r="W106" s="520">
        <f>Romania!$D$40</f>
        <v>47483</v>
      </c>
      <c r="X106" s="520">
        <f>Romania!$D$34</f>
        <v>45657</v>
      </c>
      <c r="Y106" s="516" t="str">
        <f>Romania!$D$42</f>
        <v>No</v>
      </c>
      <c r="Z106" s="515" t="str">
        <f>Romania!$D$43</f>
        <v>YES</v>
      </c>
      <c r="AA106" s="516" t="str">
        <f>Romania!$D$44</f>
        <v>BREEAM</v>
      </c>
      <c r="AB106" s="516">
        <f>Romania!$D$9</f>
        <v>0</v>
      </c>
      <c r="AC106" s="520">
        <f>Romania!$D$2</f>
        <v>45925</v>
      </c>
    </row>
    <row r="107" spans="1:29" ht="28">
      <c r="A107" s="515" t="s">
        <v>153</v>
      </c>
      <c r="B107" s="516" t="str">
        <f>Singapore!$D$4</f>
        <v>BU Singapore</v>
      </c>
      <c r="C107" s="515" t="str">
        <f>Singapore!$D$17</f>
        <v>Singapore</v>
      </c>
      <c r="D107" s="515" t="str">
        <f>Singapore!$D$15</f>
        <v>Singapore</v>
      </c>
      <c r="E107" s="515">
        <f>Singapore!$D$16</f>
        <v>68897</v>
      </c>
      <c r="F107" s="516" t="str">
        <f>Singapore!$D$14</f>
        <v>79 Robinson Road #09-01, Singapore 068897</v>
      </c>
      <c r="G107" s="515" t="str">
        <f>Singapore!$D$18</f>
        <v>Rental</v>
      </c>
      <c r="H107" s="515" t="str">
        <f>Singapore!$D$11</f>
        <v>SG01</v>
      </c>
      <c r="I107" s="515" t="str">
        <f>Singapore!$D$19</f>
        <v>No</v>
      </c>
      <c r="J107" s="516" t="str">
        <f>Singapore!$D$13</f>
        <v>9th floor</v>
      </c>
      <c r="K107" s="523">
        <f>Singapore!$D$24</f>
        <v>411.18889999999999</v>
      </c>
      <c r="L107" s="515" t="str">
        <f>Singapore!$D$26</f>
        <v>SGD</v>
      </c>
      <c r="M107" s="515">
        <f>Singapore!$D$28</f>
        <v>1278.72</v>
      </c>
      <c r="N107" s="532">
        <f>Singapore!$D$29</f>
        <v>0.02</v>
      </c>
      <c r="O107" s="515">
        <f>Singapore!$D$27</f>
        <v>0</v>
      </c>
      <c r="P107" s="523">
        <f>Singapore!$D$30</f>
        <v>63250.09</v>
      </c>
      <c r="Q107" s="515">
        <f>Singapore!$D$46</f>
        <v>50</v>
      </c>
      <c r="R107" s="515">
        <f>Singapore!$D$50</f>
        <v>0</v>
      </c>
      <c r="S107" s="517">
        <f t="shared" si="9"/>
        <v>0</v>
      </c>
      <c r="T107" s="518" t="e">
        <f t="shared" si="10"/>
        <v>#DIV/0!</v>
      </c>
      <c r="U107" s="519">
        <f t="shared" si="11"/>
        <v>8.2237779999999994</v>
      </c>
      <c r="V107" s="520">
        <f>Singapore!$D$33</f>
        <v>44580</v>
      </c>
      <c r="W107" s="520">
        <f>Singapore!$D$40</f>
        <v>46770</v>
      </c>
      <c r="X107" s="520">
        <f>Singapore!$D$34</f>
        <v>46770</v>
      </c>
      <c r="Y107" s="516" t="str">
        <f>Singapore!$D$42</f>
        <v>N/A</v>
      </c>
      <c r="Z107" s="515" t="str">
        <f>Singapore!$D$43</f>
        <v>No</v>
      </c>
      <c r="AA107" s="516" t="str">
        <f>Singapore!$D$44</f>
        <v>No</v>
      </c>
      <c r="AB107" s="516">
        <f>Singapore!$D$9</f>
        <v>0</v>
      </c>
      <c r="AC107" s="520">
        <f>Singapore!$D$2</f>
        <v>0</v>
      </c>
    </row>
    <row r="108" spans="1:29" ht="28">
      <c r="A108" s="515" t="s">
        <v>2</v>
      </c>
      <c r="B108" s="516" t="str">
        <f>Spain!$D$4</f>
        <v>BU Spain</v>
      </c>
      <c r="C108" s="515" t="str">
        <f>Spain!$D$17</f>
        <v>Spain</v>
      </c>
      <c r="D108" s="515" t="str">
        <f>Spain!$D$15</f>
        <v>Madrid</v>
      </c>
      <c r="E108" s="515">
        <f>Spain!$D$16</f>
        <v>28043</v>
      </c>
      <c r="F108" s="516" t="str">
        <f>Spain!$D$14</f>
        <v>Calle Ramirez de Arellano 35</v>
      </c>
      <c r="G108" s="523" t="str">
        <f>Spain!$D$18</f>
        <v>Rental</v>
      </c>
      <c r="H108" s="531" t="str">
        <f>Spain!$D$11</f>
        <v>SP01</v>
      </c>
      <c r="I108" s="515" t="str">
        <f>Spain!$D$19</f>
        <v>Yes</v>
      </c>
      <c r="J108" s="516" t="str">
        <f>Spain!$D$13</f>
        <v>Second floor completly  and Third floor two parts.</v>
      </c>
      <c r="K108" s="518">
        <f>Spain!$D$24</f>
        <v>5511</v>
      </c>
      <c r="L108" s="515" t="str">
        <f>Spain!$D$26</f>
        <v>EUR</v>
      </c>
      <c r="M108" s="519">
        <f>Spain!$D$28</f>
        <v>193.56</v>
      </c>
      <c r="N108" s="524">
        <f>Spain!$D$29</f>
        <v>2.8000000000000001E-2</v>
      </c>
      <c r="O108" s="519">
        <f>Spain!$D$27</f>
        <v>0</v>
      </c>
      <c r="P108" s="522">
        <f>Spain!$D$30</f>
        <v>95.808383233532936</v>
      </c>
      <c r="Q108" s="515">
        <f>Spain!$D$46</f>
        <v>629</v>
      </c>
      <c r="R108" s="518">
        <f>Spain!$D$50</f>
        <v>509</v>
      </c>
      <c r="S108" s="517">
        <f t="shared" si="9"/>
        <v>0.80922098569157397</v>
      </c>
      <c r="T108" s="518">
        <f t="shared" si="10"/>
        <v>10.827111984282908</v>
      </c>
      <c r="U108" s="519">
        <f t="shared" si="11"/>
        <v>8.761526232114468</v>
      </c>
      <c r="V108" s="527" t="str">
        <f>Spain!$D$33</f>
        <v>15/01/2013</v>
      </c>
      <c r="W108" s="520">
        <f>Spain!$D$40</f>
        <v>46401</v>
      </c>
      <c r="X108" s="520">
        <f>Spain!$D$34</f>
        <v>46037</v>
      </c>
      <c r="Y108" s="516" t="str">
        <f>Spain!$D$42</f>
        <v>No</v>
      </c>
      <c r="Z108" s="515" t="str">
        <f>Spain!$D$43</f>
        <v>Yes</v>
      </c>
      <c r="AA108" s="516" t="str">
        <f>Spain!$D$44</f>
        <v>LEED - Gold</v>
      </c>
      <c r="AB108" s="516" t="str">
        <f>Spain!$D$9</f>
        <v>Alzira Alves</v>
      </c>
      <c r="AC108" s="520">
        <f>Spain!$D$2</f>
        <v>45936</v>
      </c>
    </row>
    <row r="109" spans="1:29" ht="14">
      <c r="A109" s="515" t="s">
        <v>2</v>
      </c>
      <c r="B109" s="516" t="str">
        <f>Spain!$F$4</f>
        <v>Multiasistencia</v>
      </c>
      <c r="C109" s="515" t="str">
        <f>Spain!$F$17</f>
        <v>Spain</v>
      </c>
      <c r="D109" s="515" t="str">
        <f>Spain!$F$15</f>
        <v>Barcelona</v>
      </c>
      <c r="E109" s="515" t="str">
        <f>Spain!$F$16</f>
        <v>08009</v>
      </c>
      <c r="F109" s="516" t="str">
        <f>Spain!$F$14</f>
        <v>Roger de Lluria, 50 : Locales A y B</v>
      </c>
      <c r="G109" s="523" t="str">
        <f>Spain!$F$18</f>
        <v>Rental</v>
      </c>
      <c r="H109" s="515" t="str">
        <f>Spain!$F$11</f>
        <v>MA02</v>
      </c>
      <c r="I109" s="515" t="str">
        <f>Spain!$F$19</f>
        <v>No</v>
      </c>
      <c r="J109" s="516" t="str">
        <f>Spain!$F$13</f>
        <v>Partial 3rd Floor</v>
      </c>
      <c r="K109" s="518">
        <f>Spain!$F$24</f>
        <v>425.95</v>
      </c>
      <c r="L109" s="523" t="str">
        <f>Spain!$F$26</f>
        <v>EUR</v>
      </c>
      <c r="M109" s="519">
        <f>Spain!$F$28</f>
        <v>226</v>
      </c>
      <c r="N109" s="524" t="str">
        <f>Spain!$F$29</f>
        <v>IPC March YTD</v>
      </c>
      <c r="O109" s="523">
        <f>Spain!$F$27</f>
        <v>0</v>
      </c>
      <c r="P109" s="522">
        <f>Spain!$F$30</f>
        <v>31.636934527270611</v>
      </c>
      <c r="Q109" s="515">
        <f>Spain!$F$46</f>
        <v>39</v>
      </c>
      <c r="R109" s="515">
        <f>Spain!$F$50</f>
        <v>77</v>
      </c>
      <c r="S109" s="517">
        <f t="shared" si="9"/>
        <v>1.9743589743589745</v>
      </c>
      <c r="T109" s="518">
        <f t="shared" si="10"/>
        <v>5.5318181818181813</v>
      </c>
      <c r="U109" s="519">
        <f t="shared" si="11"/>
        <v>10.921794871794871</v>
      </c>
      <c r="V109" s="520">
        <f>Spain!$F$33</f>
        <v>40269</v>
      </c>
      <c r="W109" s="520">
        <f>Spain!$F$40</f>
        <v>46116</v>
      </c>
      <c r="X109" s="520">
        <f>Spain!$F$34</f>
        <v>45382</v>
      </c>
      <c r="Y109" s="516">
        <f>Spain!$F$42</f>
        <v>0</v>
      </c>
      <c r="Z109" s="515" t="str">
        <f>Spain!$F$43</f>
        <v>YES</v>
      </c>
      <c r="AA109" s="516" t="str">
        <f>Spain!$F$44</f>
        <v>No</v>
      </c>
      <c r="AB109" s="516">
        <f>Spain!$F$9</f>
        <v>0</v>
      </c>
      <c r="AC109" s="515">
        <f>Spain!$F$2</f>
        <v>0</v>
      </c>
    </row>
    <row r="110" spans="1:29" ht="14">
      <c r="A110" s="515" t="s">
        <v>2</v>
      </c>
      <c r="B110" s="516" t="str">
        <f>Spain!$G$4</f>
        <v>Multiasistencia</v>
      </c>
      <c r="C110" s="515" t="str">
        <f>Spain!$G$17</f>
        <v>Spain</v>
      </c>
      <c r="D110" s="515" t="str">
        <f>Spain!$G$15</f>
        <v>Barcelona</v>
      </c>
      <c r="E110" s="515" t="str">
        <f>Spain!$G$16</f>
        <v>08010</v>
      </c>
      <c r="F110" s="516" t="str">
        <f>Spain!$G$14</f>
        <v>Roger de Lluria, 50 : Locales A y B</v>
      </c>
      <c r="G110" s="523" t="str">
        <f>Spain!$G$18</f>
        <v>Rental</v>
      </c>
      <c r="H110" s="515" t="str">
        <f>Spain!$G$11</f>
        <v>MA02</v>
      </c>
      <c r="I110" s="515" t="str">
        <f>Spain!$G$19</f>
        <v>No</v>
      </c>
      <c r="J110" s="516" t="str">
        <f>Spain!$G$13</f>
        <v>Parking</v>
      </c>
      <c r="K110" s="518">
        <f>Spain!$G$24</f>
        <v>0</v>
      </c>
      <c r="L110" s="523">
        <f>Spain!$G$26</f>
        <v>0</v>
      </c>
      <c r="M110" s="519">
        <f>Spain!$G$28</f>
        <v>0</v>
      </c>
      <c r="N110" s="524">
        <f>Spain!$G$29</f>
        <v>0</v>
      </c>
      <c r="O110" s="523">
        <f>Spain!$G$27</f>
        <v>0</v>
      </c>
      <c r="P110" s="522">
        <f>Spain!$G$30</f>
        <v>11.87</v>
      </c>
      <c r="Q110" s="515">
        <f>Spain!$G$46</f>
        <v>0</v>
      </c>
      <c r="R110" s="515">
        <f>Spain!$G$50</f>
        <v>0</v>
      </c>
      <c r="S110" s="517" t="e">
        <f t="shared" si="9"/>
        <v>#DIV/0!</v>
      </c>
      <c r="T110" s="518" t="e">
        <f t="shared" si="10"/>
        <v>#DIV/0!</v>
      </c>
      <c r="U110" s="519" t="e">
        <f t="shared" si="11"/>
        <v>#DIV/0!</v>
      </c>
      <c r="V110" s="520"/>
      <c r="W110" s="520">
        <f>Spain!$G$40</f>
        <v>46116</v>
      </c>
      <c r="X110" s="520">
        <f>Spain!$G$34</f>
        <v>0</v>
      </c>
      <c r="Y110" s="516">
        <f>Spain!$G$42</f>
        <v>0</v>
      </c>
      <c r="Z110" s="515">
        <f>Spain!$G$43</f>
        <v>0</v>
      </c>
      <c r="AA110" s="516">
        <f>Spain!$G$44</f>
        <v>0</v>
      </c>
      <c r="AB110" s="516">
        <f>Spain!$G$9</f>
        <v>0</v>
      </c>
      <c r="AC110" s="515">
        <f>Spain!$G$2</f>
        <v>0</v>
      </c>
    </row>
    <row r="111" spans="1:29" ht="28">
      <c r="A111" s="515" t="s">
        <v>2</v>
      </c>
      <c r="B111" s="516" t="str">
        <f>Spain!$H$4</f>
        <v>Multiasistencia</v>
      </c>
      <c r="C111" s="515" t="str">
        <f>Spain!$H$17</f>
        <v>Spain</v>
      </c>
      <c r="D111" s="515" t="str">
        <f>Spain!$H$15</f>
        <v>Seville</v>
      </c>
      <c r="E111" s="515">
        <f>Spain!$H$16</f>
        <v>41005</v>
      </c>
      <c r="F111" s="516" t="str">
        <f>Spain!$H$14</f>
        <v>Avda.San Francisco Javier nº 15, planta 2ª modulos B y C</v>
      </c>
      <c r="G111" s="523" t="str">
        <f>Spain!$H$18</f>
        <v>Rental</v>
      </c>
      <c r="H111" s="515" t="str">
        <f>Spain!$H$11</f>
        <v>MA03</v>
      </c>
      <c r="I111" s="515" t="str">
        <f>Spain!$H$19</f>
        <v>No</v>
      </c>
      <c r="J111" s="516" t="str">
        <f>Spain!$H$13</f>
        <v>Partial 2nd Floor</v>
      </c>
      <c r="K111" s="518">
        <f>Spain!$H$24</f>
        <v>179.8</v>
      </c>
      <c r="L111" s="523" t="str">
        <f>Spain!$H$26</f>
        <v>EUR</v>
      </c>
      <c r="M111" s="519">
        <f>Spain!$H$28</f>
        <v>148.07999999999998</v>
      </c>
      <c r="N111" s="524" t="str">
        <f>Spain!$H$29</f>
        <v>IPC October YTD</v>
      </c>
      <c r="O111" s="523">
        <f>Spain!$H$27</f>
        <v>0</v>
      </c>
      <c r="P111" s="522">
        <f>Spain!$H$30</f>
        <v>22.11294577430386</v>
      </c>
      <c r="Q111" s="515">
        <f>Spain!$H$46</f>
        <v>64</v>
      </c>
      <c r="R111" s="515">
        <f>Spain!$H$50</f>
        <v>29</v>
      </c>
      <c r="S111" s="517">
        <f t="shared" si="9"/>
        <v>0.453125</v>
      </c>
      <c r="T111" s="518">
        <f t="shared" si="10"/>
        <v>6.2</v>
      </c>
      <c r="U111" s="519">
        <f t="shared" si="11"/>
        <v>2.8093750000000002</v>
      </c>
      <c r="V111" s="520">
        <f>Spain!$H$33</f>
        <v>44484</v>
      </c>
      <c r="W111" s="520">
        <f>Spain!$H$40</f>
        <v>46310</v>
      </c>
      <c r="X111" s="520">
        <f>Spain!$H$34</f>
        <v>45213</v>
      </c>
      <c r="Y111" s="516">
        <f>Spain!$H$42</f>
        <v>0</v>
      </c>
      <c r="Z111" s="515" t="str">
        <f>Spain!$H$43</f>
        <v>YES</v>
      </c>
      <c r="AA111" s="516" t="str">
        <f>Spain!$H$44</f>
        <v>BREEAM</v>
      </c>
      <c r="AB111" s="516">
        <f>Spain!$H$9</f>
        <v>0</v>
      </c>
      <c r="AC111" s="515">
        <f>Spain!$H$2</f>
        <v>0</v>
      </c>
    </row>
    <row r="112" spans="1:29" ht="28">
      <c r="A112" s="515" t="s">
        <v>2</v>
      </c>
      <c r="B112" s="516" t="str">
        <f>Spain!$I$4</f>
        <v>Multiasistencia</v>
      </c>
      <c r="C112" s="515" t="str">
        <f>Spain!$I$17</f>
        <v>Spain</v>
      </c>
      <c r="D112" s="515" t="str">
        <f>Spain!$I$15</f>
        <v>Seville</v>
      </c>
      <c r="E112" s="515">
        <f>Spain!$I$16</f>
        <v>41006</v>
      </c>
      <c r="F112" s="516" t="str">
        <f>Spain!$I$14</f>
        <v>Avda.San Francisco Javier nº 15, planta 2ª modulos B y C</v>
      </c>
      <c r="G112" s="523" t="str">
        <f>Spain!$I$18</f>
        <v>Rental</v>
      </c>
      <c r="H112" s="515" t="str">
        <f>Spain!$I$11</f>
        <v>MA03</v>
      </c>
      <c r="I112" s="515" t="str">
        <f>Spain!$I$19</f>
        <v>No</v>
      </c>
      <c r="J112" s="516" t="str">
        <f>Spain!$I$13</f>
        <v>Parking</v>
      </c>
      <c r="K112" s="518">
        <f>Spain!$I$24</f>
        <v>0</v>
      </c>
      <c r="L112" s="523">
        <f>Spain!$I$26</f>
        <v>0</v>
      </c>
      <c r="M112" s="519">
        <f>Spain!$I$28</f>
        <v>0</v>
      </c>
      <c r="N112" s="524">
        <f>Spain!$I$29</f>
        <v>0</v>
      </c>
      <c r="O112" s="519">
        <f>Spain!$I$27</f>
        <v>0</v>
      </c>
      <c r="P112" s="522">
        <f>Spain!$I$30</f>
        <v>0</v>
      </c>
      <c r="Q112" s="515">
        <f>Spain!$I$46</f>
        <v>0</v>
      </c>
      <c r="R112" s="518">
        <f>Spain!$I$50</f>
        <v>0</v>
      </c>
      <c r="S112" s="517" t="e">
        <f t="shared" si="9"/>
        <v>#DIV/0!</v>
      </c>
      <c r="T112" s="518" t="e">
        <f t="shared" si="10"/>
        <v>#DIV/0!</v>
      </c>
      <c r="U112" s="519" t="e">
        <f t="shared" si="11"/>
        <v>#DIV/0!</v>
      </c>
      <c r="V112" s="520"/>
      <c r="W112" s="520">
        <f>Spain!$I$40</f>
        <v>46310</v>
      </c>
      <c r="X112" s="520">
        <f>Spain!$I$34</f>
        <v>0</v>
      </c>
      <c r="Y112" s="516">
        <f>Spain!$I$42</f>
        <v>0</v>
      </c>
      <c r="Z112" s="515">
        <f>Spain!$I$43</f>
        <v>0</v>
      </c>
      <c r="AA112" s="516">
        <f>Spain!$I$44</f>
        <v>0</v>
      </c>
      <c r="AB112" s="516">
        <f>Spain!$I$9</f>
        <v>0</v>
      </c>
      <c r="AC112" s="520">
        <f>Spain!$I$2</f>
        <v>0</v>
      </c>
    </row>
    <row r="113" spans="1:29" ht="28">
      <c r="A113" s="515" t="s">
        <v>2</v>
      </c>
      <c r="B113" s="516" t="str">
        <f>Spain!$J$4</f>
        <v>Multiasistencia</v>
      </c>
      <c r="C113" s="515" t="str">
        <f>Spain!$J$17</f>
        <v>Spain</v>
      </c>
      <c r="D113" s="515" t="str">
        <f>Spain!$J$15</f>
        <v>Bilbao</v>
      </c>
      <c r="E113" s="515">
        <f>Spain!$J$16</f>
        <v>48001</v>
      </c>
      <c r="F113" s="516" t="str">
        <f>Spain!$J$14</f>
        <v>Calle Barroeta Aldamar 6, 2ªplanta mano DI - Bilbao</v>
      </c>
      <c r="G113" s="523" t="str">
        <f>Spain!$J$18</f>
        <v>Rental</v>
      </c>
      <c r="H113" s="531" t="str">
        <f>Spain!$J$11</f>
        <v>MA04</v>
      </c>
      <c r="I113" s="515" t="str">
        <f>Spain!$J$19</f>
        <v>No</v>
      </c>
      <c r="J113" s="516" t="str">
        <f>Spain!$J$13</f>
        <v>Partial, 2nd floor</v>
      </c>
      <c r="K113" s="518">
        <f>Spain!$J$24</f>
        <v>140</v>
      </c>
      <c r="L113" s="515" t="str">
        <f>Spain!$J$26</f>
        <v>EUR</v>
      </c>
      <c r="M113" s="519">
        <f>Spain!$J$28</f>
        <v>136.68</v>
      </c>
      <c r="N113" s="524" t="str">
        <f>Spain!$J$29</f>
        <v>IPC December YTD</v>
      </c>
      <c r="O113" s="519">
        <f>Spain!$J$27</f>
        <v>0</v>
      </c>
      <c r="P113" s="522">
        <f>Spain!$J$30</f>
        <v>0</v>
      </c>
      <c r="Q113" s="515">
        <f>Spain!$J$46</f>
        <v>17</v>
      </c>
      <c r="R113" s="518">
        <f>Spain!$J$50</f>
        <v>13</v>
      </c>
      <c r="S113" s="517">
        <f t="shared" si="9"/>
        <v>0.76470588235294112</v>
      </c>
      <c r="T113" s="518">
        <f t="shared" si="10"/>
        <v>10.76923076923077</v>
      </c>
      <c r="U113" s="519">
        <f t="shared" si="11"/>
        <v>8.235294117647058</v>
      </c>
      <c r="V113" s="520">
        <f>Spain!$J$33</f>
        <v>44515</v>
      </c>
      <c r="W113" s="520">
        <f>Spain!$J$40</f>
        <v>46341</v>
      </c>
      <c r="X113" s="520">
        <f>Spain!$J$34</f>
        <v>45291</v>
      </c>
      <c r="Y113" s="516">
        <f>Spain!$J$42</f>
        <v>0</v>
      </c>
      <c r="Z113" s="515" t="str">
        <f>Spain!$J$43</f>
        <v>YES</v>
      </c>
      <c r="AA113" s="516" t="str">
        <f>Spain!$J$44</f>
        <v>No</v>
      </c>
      <c r="AB113" s="516">
        <f>Spain!$J$9</f>
        <v>0</v>
      </c>
      <c r="AC113" s="515">
        <f>Spain!$J$2</f>
        <v>0</v>
      </c>
    </row>
    <row r="114" spans="1:29" ht="14">
      <c r="A114" s="515" t="s">
        <v>2</v>
      </c>
      <c r="B114" s="516" t="str">
        <f>Spain!$E$4</f>
        <v>Multiasistencia</v>
      </c>
      <c r="C114" s="515" t="str">
        <f>Spain!$D$17</f>
        <v>Spain</v>
      </c>
      <c r="D114" s="515" t="str">
        <f>Spain!$E$15</f>
        <v>Tres Cantos - Madrid</v>
      </c>
      <c r="E114" s="515">
        <f>Spain!$E$16</f>
        <v>28760</v>
      </c>
      <c r="F114" s="516" t="str">
        <f>Spain!$E$14</f>
        <v xml:space="preserve">Ronda de Poniente, 7 </v>
      </c>
      <c r="G114" s="523" t="str">
        <f>Spain!$E$18</f>
        <v>Rental</v>
      </c>
      <c r="H114" s="515" t="str">
        <f>Spain!$E$11</f>
        <v>MA01</v>
      </c>
      <c r="I114" s="515" t="str">
        <f>Spain!$E$19</f>
        <v>No</v>
      </c>
      <c r="J114" s="516" t="str">
        <f>Spain!$E$13</f>
        <v>Whole Building</v>
      </c>
      <c r="K114" s="518">
        <f>Spain!$E$24</f>
        <v>4725</v>
      </c>
      <c r="L114" s="515" t="str">
        <f>Spain!$E$26</f>
        <v>EUR</v>
      </c>
      <c r="M114" s="519">
        <f>Spain!$E$28</f>
        <v>127</v>
      </c>
      <c r="N114" s="524" t="str">
        <f>Spain!$E$29</f>
        <v>IPC+2,5% max. 5,5%</v>
      </c>
      <c r="O114" s="519">
        <f>Spain!$E$27</f>
        <v>0</v>
      </c>
      <c r="P114" s="522">
        <f>Spain!$E$30</f>
        <v>33.96</v>
      </c>
      <c r="Q114" s="515">
        <f>Spain!$E$46</f>
        <v>854</v>
      </c>
      <c r="R114" s="515">
        <f>Spain!$E$50</f>
        <v>659</v>
      </c>
      <c r="S114" s="517">
        <f t="shared" si="9"/>
        <v>0.77166276346604212</v>
      </c>
      <c r="T114" s="518">
        <f t="shared" si="10"/>
        <v>7.1699544764795142</v>
      </c>
      <c r="U114" s="519">
        <f t="shared" si="11"/>
        <v>5.5327868852459012</v>
      </c>
      <c r="V114" s="520">
        <f>Spain!$E$33</f>
        <v>36097</v>
      </c>
      <c r="W114" s="520">
        <f>Spain!$E$40</f>
        <v>46752</v>
      </c>
      <c r="X114" s="520">
        <f>Spain!$E$34</f>
        <v>45291</v>
      </c>
      <c r="Y114" s="516">
        <f>Spain!$E$42</f>
        <v>0</v>
      </c>
      <c r="Z114" s="515" t="str">
        <f>Spain!$E$43</f>
        <v>YES</v>
      </c>
      <c r="AA114" s="516" t="str">
        <f>Spain!$E$44</f>
        <v>No</v>
      </c>
      <c r="AB114" s="516">
        <f>Spain!$E$9</f>
        <v>0</v>
      </c>
      <c r="AC114" s="520">
        <f>Spain!$E$2</f>
        <v>0</v>
      </c>
    </row>
    <row r="115" spans="1:29" ht="42">
      <c r="A115" s="515" t="s">
        <v>234</v>
      </c>
      <c r="B115" s="516" t="str">
        <f>Oman!$D$4</f>
        <v>Nextcare</v>
      </c>
      <c r="C115" s="515" t="str">
        <f>Oman!$D$17</f>
        <v>Sultanate of Oman</v>
      </c>
      <c r="D115" s="515" t="str">
        <f>Oman!$D$15</f>
        <v>Muscat</v>
      </c>
      <c r="E115" s="515">
        <f>Oman!$D$16</f>
        <v>115</v>
      </c>
      <c r="F115" s="516" t="str">
        <f>Oman!$D$14</f>
        <v xml:space="preserve">Bldg. no. 1022, Way 1013, Block 210,  OLD EY  Building, Qurum PO Box 548, PC115 </v>
      </c>
      <c r="G115" s="515" t="str">
        <f>Oman!$D$18</f>
        <v>Rental</v>
      </c>
      <c r="H115" s="515" t="str">
        <f>Oman!$D$11</f>
        <v>OM01</v>
      </c>
      <c r="I115" s="515" t="str">
        <f>Oman!$D$19</f>
        <v>No</v>
      </c>
      <c r="J115" s="516" t="str">
        <f>Oman!$D$13</f>
        <v>Single office 1st Floor Office no #17</v>
      </c>
      <c r="K115" s="515">
        <f>Oman!$D$24</f>
        <v>310</v>
      </c>
      <c r="L115" s="515" t="str">
        <f>Oman!$D$26</f>
        <v>OMR</v>
      </c>
      <c r="M115" s="515">
        <f>Oman!$D$28</f>
        <v>45.29032258064516</v>
      </c>
      <c r="N115" s="516" t="str">
        <f>Oman!$D$29</f>
        <v>N/A</v>
      </c>
      <c r="O115" s="515">
        <f>Oman!$D$27</f>
        <v>14040</v>
      </c>
      <c r="P115" s="515">
        <f>Oman!$D$30</f>
        <v>3.8391193548387097</v>
      </c>
      <c r="Q115" s="515">
        <f>Oman!$D$46</f>
        <v>14</v>
      </c>
      <c r="R115" s="515">
        <f>Oman!$D$50</f>
        <v>20</v>
      </c>
      <c r="S115" s="517">
        <f t="shared" si="9"/>
        <v>1.4285714285714286</v>
      </c>
      <c r="T115" s="518">
        <f t="shared" si="10"/>
        <v>15.5</v>
      </c>
      <c r="U115" s="519">
        <f t="shared" si="11"/>
        <v>22.142857142857142</v>
      </c>
      <c r="V115" s="520">
        <f>Oman!$D$33</f>
        <v>45047</v>
      </c>
      <c r="W115" s="520">
        <f>Oman!$D$40</f>
        <v>46873</v>
      </c>
      <c r="X115" s="520">
        <f>Oman!$D$34</f>
        <v>46873</v>
      </c>
      <c r="Y115" s="516" t="str">
        <f>Oman!$D$42</f>
        <v>No</v>
      </c>
      <c r="Z115" s="515" t="str">
        <f>Oman!$D$43</f>
        <v>N/A</v>
      </c>
      <c r="AA115" s="516" t="str">
        <f>Oman!$D$44</f>
        <v>No</v>
      </c>
      <c r="AB115" s="516" t="str">
        <f>Oman!$D$9</f>
        <v>Aparna Syed</v>
      </c>
      <c r="AC115" s="520" t="str">
        <f>Oman!$D$2</f>
        <v>26/01/2026</v>
      </c>
    </row>
    <row r="116" spans="1:29" ht="42">
      <c r="A116" s="515" t="s">
        <v>234</v>
      </c>
      <c r="B116" s="516" t="str">
        <f>Oman!$E$4</f>
        <v>Nextcare</v>
      </c>
      <c r="C116" s="515" t="str">
        <f>Oman!$E$17</f>
        <v>Sultanate of Oman</v>
      </c>
      <c r="D116" s="515" t="str">
        <f>Oman!$E$15</f>
        <v>Muscat</v>
      </c>
      <c r="E116" s="515">
        <f>Oman!$E$16</f>
        <v>115</v>
      </c>
      <c r="F116" s="516" t="str">
        <f>Oman!$E$14</f>
        <v xml:space="preserve">Bldg. no. 1022, Way 1013, Block 210,  OLD EY  Building, Qurum PO Box 548, PC115 </v>
      </c>
      <c r="G116" s="515" t="str">
        <f>Oman!$E$18</f>
        <v>Rental</v>
      </c>
      <c r="H116" s="515" t="str">
        <f>Oman!$E$11</f>
        <v>OM01</v>
      </c>
      <c r="I116" s="515" t="str">
        <f>Oman!$E$19</f>
        <v>No</v>
      </c>
      <c r="J116" s="516" t="str">
        <f>Oman!$E$13</f>
        <v>Single office 2nd Floor Office no #21</v>
      </c>
      <c r="K116" s="515">
        <f>Oman!$E$24</f>
        <v>125</v>
      </c>
      <c r="L116" s="515" t="str">
        <f>Oman!$E$26</f>
        <v>OMR</v>
      </c>
      <c r="M116" s="515">
        <f>Oman!$E$28</f>
        <v>50.4</v>
      </c>
      <c r="N116" s="516" t="str">
        <f>Oman!$E$29</f>
        <v>N/A</v>
      </c>
      <c r="O116" s="515">
        <f>Oman!$E$27</f>
        <v>6300</v>
      </c>
      <c r="P116" s="515">
        <f>Oman!$E$30</f>
        <v>1.3038159999999999</v>
      </c>
      <c r="Q116" s="515">
        <f>Oman!$E$46</f>
        <v>11</v>
      </c>
      <c r="R116" s="515">
        <f>Oman!$E$50</f>
        <v>32</v>
      </c>
      <c r="S116" s="517">
        <f t="shared" si="9"/>
        <v>2.9090909090909092</v>
      </c>
      <c r="T116" s="518">
        <f t="shared" si="10"/>
        <v>3.90625</v>
      </c>
      <c r="U116" s="519">
        <f t="shared" si="11"/>
        <v>11.363636363636363</v>
      </c>
      <c r="V116" s="520">
        <f>Oman!$E$33</f>
        <v>45717</v>
      </c>
      <c r="W116" s="520">
        <f>Oman!$E$40</f>
        <v>46873</v>
      </c>
      <c r="X116" s="520">
        <f>Oman!$E$34</f>
        <v>46873</v>
      </c>
      <c r="Y116" s="516" t="str">
        <f>Oman!$E$42</f>
        <v>No</v>
      </c>
      <c r="Z116" s="515" t="str">
        <f>Oman!$E$43</f>
        <v>N/A</v>
      </c>
      <c r="AA116" s="516" t="str">
        <f>Oman!$E$44</f>
        <v>No</v>
      </c>
      <c r="AB116" s="516" t="str">
        <f>Oman!$E$9</f>
        <v>Aparna Syed</v>
      </c>
      <c r="AC116" s="515">
        <f>Oman!$E$2</f>
        <v>0</v>
      </c>
    </row>
    <row r="117" spans="1:29" ht="42">
      <c r="A117" s="515" t="s">
        <v>2</v>
      </c>
      <c r="B117" s="516" t="str">
        <f>Switzerland!$D$4</f>
        <v>BU Switzerland</v>
      </c>
      <c r="C117" s="515" t="str">
        <f>Switzerland!$D$17</f>
        <v>Switzerland</v>
      </c>
      <c r="D117" s="515" t="str">
        <f>Switzerland!$D$15</f>
        <v xml:space="preserve">Wallisellen </v>
      </c>
      <c r="E117" s="515">
        <f>Switzerland!$D$16</f>
        <v>8304</v>
      </c>
      <c r="F117" s="516" t="str">
        <f>Switzerland!$D$14</f>
        <v>Richtiplatz 1, 
8304 Wallisellen
Switzerland</v>
      </c>
      <c r="G117" s="523" t="str">
        <f>Switzerland!$D$18</f>
        <v>Rental</v>
      </c>
      <c r="H117" s="531" t="str">
        <f>Switzerland!$D$11</f>
        <v>CH01</v>
      </c>
      <c r="I117" s="515" t="str">
        <f>Switzerland!$D$19</f>
        <v>Yes</v>
      </c>
      <c r="J117" s="516" t="str">
        <f>Switzerland!$D$13</f>
        <v>A part of the 1st and 2nd floor &amp; parking</v>
      </c>
      <c r="K117" s="518">
        <f>Switzerland!$D$24</f>
        <v>1257</v>
      </c>
      <c r="L117" s="515" t="str">
        <f>Switzerland!$D$26</f>
        <v>CHF</v>
      </c>
      <c r="M117" s="519">
        <f>Switzerland!$D$28</f>
        <v>586</v>
      </c>
      <c r="N117" s="524" t="str">
        <f>Switzerland!$D$29</f>
        <v xml:space="preserve">Depends on National Index of consumer prices </v>
      </c>
      <c r="O117" s="519">
        <f>Switzerland!$D$27</f>
        <v>737020</v>
      </c>
      <c r="P117" s="522" t="str">
        <f>Switzerland!$D$30</f>
        <v>The costs are included in the total rental costs.</v>
      </c>
      <c r="Q117" s="515">
        <f>Switzerland!$D$46</f>
        <v>152</v>
      </c>
      <c r="R117" s="518">
        <f>Switzerland!$D$50</f>
        <v>130</v>
      </c>
      <c r="S117" s="517">
        <f t="shared" si="9"/>
        <v>0.85526315789473684</v>
      </c>
      <c r="T117" s="518">
        <f t="shared" si="10"/>
        <v>9.6692307692307686</v>
      </c>
      <c r="U117" s="519">
        <f t="shared" si="11"/>
        <v>8.2697368421052637</v>
      </c>
      <c r="V117" s="520">
        <f>Switzerland!$D$33</f>
        <v>44105</v>
      </c>
      <c r="W117" s="520">
        <f>Switzerland!$D$40</f>
        <v>47483</v>
      </c>
      <c r="X117" s="520">
        <f>Switzerland!$D$34</f>
        <v>47483</v>
      </c>
      <c r="Y117" s="516" t="str">
        <f>Switzerland!$D$42</f>
        <v>No</v>
      </c>
      <c r="Z117" s="515" t="str">
        <f>Switzerland!$D$43</f>
        <v>Yes</v>
      </c>
      <c r="AA117" s="516" t="str">
        <f>Switzerland!$D$44</f>
        <v>Verein Association Minergie - Certified standard 2009</v>
      </c>
      <c r="AB117" s="516">
        <f>Switzerland!$D$9</f>
        <v>0</v>
      </c>
      <c r="AC117" s="520">
        <f>Switzerland!$D$2</f>
        <v>45938</v>
      </c>
    </row>
    <row r="118" spans="1:29" ht="56">
      <c r="A118" s="515" t="s">
        <v>153</v>
      </c>
      <c r="B118" s="516" t="str">
        <f>Thailand!$D$4</f>
        <v>BU Thailand</v>
      </c>
      <c r="C118" s="515" t="str">
        <f>Thailand!$D$17</f>
        <v>Thailand</v>
      </c>
      <c r="D118" s="515" t="str">
        <f>Thailand!$D$15</f>
        <v>Bangkok</v>
      </c>
      <c r="E118" s="515">
        <f>Thailand!$D$16</f>
        <v>10400</v>
      </c>
      <c r="F118" s="516" t="str">
        <f>Thailand!$D$14</f>
        <v>7th Floor, City Link Tower, 1091/335 Soi Petchburi 35 
New Petchburi Road, Makkasan, Rajathevi, Bangkok 10400 Thailand</v>
      </c>
      <c r="G118" s="523" t="str">
        <f>Thailand!$D$18</f>
        <v>Rental</v>
      </c>
      <c r="H118" s="531" t="str">
        <f>Thailand!$D$11</f>
        <v>TH01</v>
      </c>
      <c r="I118" s="515" t="str">
        <f>Thailand!$D$19</f>
        <v>No</v>
      </c>
      <c r="J118" s="516" t="str">
        <f>Thailand!$D$13</f>
        <v>7 floor</v>
      </c>
      <c r="K118" s="518">
        <f>Thailand!$D$24</f>
        <v>2268</v>
      </c>
      <c r="L118" s="515" t="str">
        <f>Thailand!$D$26</f>
        <v>THB</v>
      </c>
      <c r="M118" s="519">
        <f>Thailand!$D$28</f>
        <v>164</v>
      </c>
      <c r="N118" s="524">
        <f>Thailand!$D$29</f>
        <v>0.06</v>
      </c>
      <c r="O118" s="519">
        <f>Thailand!$D$27</f>
        <v>4463424</v>
      </c>
      <c r="P118" s="517">
        <f>Thailand!$D$30</f>
        <v>246</v>
      </c>
      <c r="Q118" s="515">
        <f>Thailand!$D$46</f>
        <v>420</v>
      </c>
      <c r="R118" s="518">
        <f>Thailand!$D$50</f>
        <v>384</v>
      </c>
      <c r="S118" s="517">
        <f t="shared" si="9"/>
        <v>0.91428571428571426</v>
      </c>
      <c r="T118" s="518">
        <f t="shared" si="10"/>
        <v>5.90625</v>
      </c>
      <c r="U118" s="519">
        <f t="shared" si="11"/>
        <v>5.4</v>
      </c>
      <c r="V118" s="520">
        <f>Thailand!$D$33</f>
        <v>44409</v>
      </c>
      <c r="W118" s="520">
        <f>Thailand!$D$40</f>
        <v>48060</v>
      </c>
      <c r="X118" s="520">
        <f>Thailand!$D$34</f>
        <v>48060</v>
      </c>
      <c r="Y118" s="516" t="str">
        <f>Thailand!$D$42</f>
        <v>No</v>
      </c>
      <c r="Z118" s="515" t="str">
        <f>Thailand!$D$43</f>
        <v>No</v>
      </c>
      <c r="AA118" s="516" t="str">
        <f>Thailand!$D$44</f>
        <v>No</v>
      </c>
      <c r="AB118" s="516">
        <f>Thailand!$D$9</f>
        <v>0</v>
      </c>
      <c r="AC118" s="520">
        <f>Thailand!$D$2</f>
        <v>46058</v>
      </c>
    </row>
    <row r="119" spans="1:29" ht="22" customHeight="1">
      <c r="A119" s="515" t="s">
        <v>153</v>
      </c>
      <c r="B119" s="516" t="str">
        <f>Thailand!$E$4</f>
        <v>BU Thailand</v>
      </c>
      <c r="C119" s="515" t="str">
        <f>Thailand!$D$17</f>
        <v>Thailand</v>
      </c>
      <c r="D119" s="515" t="str">
        <f>Thailand!$E$15</f>
        <v>Bangkok</v>
      </c>
      <c r="E119" s="515">
        <f>Thailand!$E$16</f>
        <v>10260</v>
      </c>
      <c r="F119" s="516" t="str">
        <f>Thailand!$E$14</f>
        <v>825 Bangna-Trad Road, Bangna, Bangna, Bangkok  10260</v>
      </c>
      <c r="G119" s="523" t="str">
        <f>Thailand!$E$18</f>
        <v>Rental</v>
      </c>
      <c r="H119" s="515" t="str">
        <f>Thailand!$E$11</f>
        <v>TH02</v>
      </c>
      <c r="I119" s="515" t="str">
        <f>Thailand!$E$19</f>
        <v>No</v>
      </c>
      <c r="J119" s="516" t="str">
        <f>Thailand!$E$13</f>
        <v>8 floor</v>
      </c>
      <c r="K119" s="518">
        <f>Thailand!$E$24</f>
        <v>320</v>
      </c>
      <c r="L119" s="515" t="str">
        <f>Thailand!$E$26</f>
        <v>THB</v>
      </c>
      <c r="M119" s="519">
        <f>Thailand!$E$28</f>
        <v>100</v>
      </c>
      <c r="N119" s="524">
        <f>Thailand!$E$29</f>
        <v>0</v>
      </c>
      <c r="O119" s="519">
        <f>Thailand!$E$27</f>
        <v>384000</v>
      </c>
      <c r="P119" s="517">
        <f>Thailand!$E$30</f>
        <v>250</v>
      </c>
      <c r="Q119" s="515">
        <f>Thailand!$E$46</f>
        <v>22</v>
      </c>
      <c r="R119" s="515">
        <f>Thailand!$E$50</f>
        <v>54</v>
      </c>
      <c r="S119" s="517">
        <f t="shared" si="9"/>
        <v>2.4545454545454546</v>
      </c>
      <c r="T119" s="518">
        <f t="shared" si="10"/>
        <v>5.9259259259259256</v>
      </c>
      <c r="U119" s="519">
        <f t="shared" si="11"/>
        <v>14.545454545454545</v>
      </c>
      <c r="V119" s="520">
        <f>Thailand!$E$33</f>
        <v>45153</v>
      </c>
      <c r="W119" s="520">
        <f>Thailand!$E$40</f>
        <v>46248</v>
      </c>
      <c r="X119" s="520">
        <f>Thailand!$E$34</f>
        <v>46248</v>
      </c>
      <c r="Y119" s="516" t="str">
        <f>Thailand!$E$42</f>
        <v>No</v>
      </c>
      <c r="Z119" s="515" t="str">
        <f>Thailand!$E$43</f>
        <v>No</v>
      </c>
      <c r="AA119" s="516" t="str">
        <f>Thailand!$E$44</f>
        <v>No</v>
      </c>
      <c r="AB119" s="516">
        <f>Thailand!$E$9</f>
        <v>0</v>
      </c>
      <c r="AC119" s="520">
        <f>Thailand!$E$2</f>
        <v>0</v>
      </c>
    </row>
    <row r="120" spans="1:29" ht="28">
      <c r="A120" s="515" t="s">
        <v>234</v>
      </c>
      <c r="B120" s="516" t="str">
        <f>Tunisia!$G$4</f>
        <v>Nextcare</v>
      </c>
      <c r="C120" s="515" t="str">
        <f>Tunisia!$D$17</f>
        <v>Tunisia</v>
      </c>
      <c r="D120" s="515" t="str">
        <f>Tunisia!$D$15</f>
        <v>Tunis</v>
      </c>
      <c r="E120" s="515">
        <f>Tunisia!$D$16</f>
        <v>1002</v>
      </c>
      <c r="F120" s="516" t="str">
        <f>Tunisia!$D$14</f>
        <v xml:space="preserve">3 Rue du Docteur Burnet, </v>
      </c>
      <c r="G120" s="523" t="str">
        <f>Tunisia!$D$18</f>
        <v>Rental</v>
      </c>
      <c r="H120" s="515" t="str">
        <f>Tunisia!$D$11</f>
        <v>TU01</v>
      </c>
      <c r="I120" s="515" t="str">
        <f>Tunisia!$D$19</f>
        <v>No</v>
      </c>
      <c r="J120" s="516" t="str">
        <f>Tunisia!$D$13</f>
        <v>whole building (basement, ground, 1st and 2nd floors)</v>
      </c>
      <c r="K120" s="518">
        <f>Tunisia!$D$24</f>
        <v>609</v>
      </c>
      <c r="L120" s="515" t="str">
        <f>Tunisia!$D$26</f>
        <v>TND</v>
      </c>
      <c r="M120" s="519">
        <f>Tunisia!$D$28</f>
        <v>443.3497536945813</v>
      </c>
      <c r="N120" s="524" t="str">
        <f>Tunisia!$D$29</f>
        <v>5% annually</v>
      </c>
      <c r="O120" s="519">
        <f>Tunisia!$D$27</f>
        <v>270000</v>
      </c>
      <c r="P120" s="517" t="str">
        <f>Tunisia!$D$30</f>
        <v>N/A</v>
      </c>
      <c r="Q120" s="515">
        <f>Tunisia!$D$46</f>
        <v>104</v>
      </c>
      <c r="R120" s="515">
        <f>Tunisia!$D$50</f>
        <v>89</v>
      </c>
      <c r="S120" s="517">
        <f t="shared" si="9"/>
        <v>0.85576923076923073</v>
      </c>
      <c r="T120" s="518">
        <f t="shared" si="10"/>
        <v>6.8426966292134832</v>
      </c>
      <c r="U120" s="519">
        <f t="shared" si="11"/>
        <v>5.8557692307692308</v>
      </c>
      <c r="V120" s="520">
        <f>Tunisia!$D$33</f>
        <v>45999</v>
      </c>
      <c r="W120" s="520" t="str">
        <f>Tunisia!$D$40</f>
        <v>Undetermined (Automatically Renewed)</v>
      </c>
      <c r="X120" s="520">
        <f>Tunisia!$D$34</f>
        <v>47094</v>
      </c>
      <c r="Y120" s="516" t="str">
        <f>Tunisia!$D$42</f>
        <v>No</v>
      </c>
      <c r="Z120" s="515" t="str">
        <f>Tunisia!$D$43</f>
        <v>N/A</v>
      </c>
      <c r="AA120" s="516" t="str">
        <f>Tunisia!$D$44</f>
        <v>No</v>
      </c>
      <c r="AB120" s="516" t="str">
        <f>Tunisia!$D$9</f>
        <v>Sabrine Boughdiri</v>
      </c>
      <c r="AC120" s="520">
        <f>Tunisia!$D$2</f>
        <v>46055</v>
      </c>
    </row>
    <row r="121" spans="1:29" ht="42">
      <c r="A121" s="515" t="s">
        <v>2</v>
      </c>
      <c r="B121" s="516" t="str">
        <f>Turkey!$D$4</f>
        <v>BU Turkey</v>
      </c>
      <c r="C121" s="515" t="str">
        <f>Turkey!$D$17</f>
        <v>Turkey</v>
      </c>
      <c r="D121" s="515" t="str">
        <f>Turkey!$D$15</f>
        <v>Antalya</v>
      </c>
      <c r="E121" s="515">
        <f>Turkey!$D$16</f>
        <v>0</v>
      </c>
      <c r="F121" s="516" t="str">
        <f>Turkey!$D$14</f>
        <v xml:space="preserve">Uncalı Mahallesi Toroslar Cad. City Life-2 Sitesi N:76 E Blok Daire No:101 I </v>
      </c>
      <c r="G121" s="523" t="str">
        <f>Turkey!$D$18</f>
        <v>Rental</v>
      </c>
      <c r="H121" s="531" t="str">
        <f>Turkey!$D$11</f>
        <v>TR01</v>
      </c>
      <c r="I121" s="515" t="str">
        <f>Turkey!$D$19</f>
        <v>No</v>
      </c>
      <c r="J121" s="516">
        <f>Turkey!$D$13</f>
        <v>0</v>
      </c>
      <c r="K121" s="518">
        <f>Turkey!$D$24</f>
        <v>1450</v>
      </c>
      <c r="L121" s="515" t="str">
        <f>Turkey!$D$26</f>
        <v>TRY</v>
      </c>
      <c r="M121" s="519">
        <f>Turkey!$D$28</f>
        <v>0</v>
      </c>
      <c r="N121" s="524" t="str">
        <f>Turkey!$D$29</f>
        <v xml:space="preserve">
Average annual inflation</v>
      </c>
      <c r="O121" s="519">
        <f>Turkey!$D$27</f>
        <v>240000</v>
      </c>
      <c r="P121" s="517">
        <f>Turkey!$D$30</f>
        <v>2520</v>
      </c>
      <c r="Q121" s="515">
        <f>Turkey!$D$46</f>
        <v>145</v>
      </c>
      <c r="R121" s="518" t="str">
        <f>Turkey!$D$50</f>
        <v>N/A</v>
      </c>
      <c r="S121" s="517" t="e">
        <f t="shared" si="9"/>
        <v>#VALUE!</v>
      </c>
      <c r="T121" s="518" t="e">
        <f t="shared" si="10"/>
        <v>#VALUE!</v>
      </c>
      <c r="U121" s="519">
        <f t="shared" si="11"/>
        <v>10</v>
      </c>
      <c r="V121" s="520">
        <f>Turkey!$D$33</f>
        <v>42767</v>
      </c>
      <c r="W121" s="520">
        <f>Turkey!$D$40</f>
        <v>46539</v>
      </c>
      <c r="X121" s="520">
        <f>Turkey!$D$34</f>
        <v>46539</v>
      </c>
      <c r="Y121" s="516" t="str">
        <f>Turkey!$D$42</f>
        <v>No</v>
      </c>
      <c r="Z121" s="515" t="str">
        <f>Turkey!$D$43</f>
        <v>No</v>
      </c>
      <c r="AA121" s="516" t="str">
        <f>Turkey!$D$44</f>
        <v>No</v>
      </c>
      <c r="AB121" s="516">
        <f>Turkey!$D$9</f>
        <v>0</v>
      </c>
      <c r="AC121" s="520">
        <f>Turkey!$D$2</f>
        <v>45932</v>
      </c>
    </row>
    <row r="122" spans="1:29" ht="28">
      <c r="A122" s="515" t="s">
        <v>2</v>
      </c>
      <c r="B122" s="516" t="str">
        <f>Turkey!$E$4</f>
        <v>BU Turkey</v>
      </c>
      <c r="C122" s="515" t="str">
        <f>Turkey!$D$17</f>
        <v>Turkey</v>
      </c>
      <c r="D122" s="515" t="str">
        <f>Turkey!$E$15</f>
        <v>Istanbul</v>
      </c>
      <c r="E122" s="515">
        <f>Turkey!$E$16</f>
        <v>34662</v>
      </c>
      <c r="F122" s="516" t="str">
        <f>Turkey!$E$14</f>
        <v>Altunizade Mahallesi · Kısıklı Caddesi · No: 47 · 34662 Üsküdar</v>
      </c>
      <c r="G122" s="523" t="str">
        <f>Turkey!$E$18</f>
        <v>Rental</v>
      </c>
      <c r="H122" s="515" t="str">
        <f>Turkey!$E$11</f>
        <v>TR02</v>
      </c>
      <c r="I122" s="515" t="str">
        <f>Turkey!$E$19</f>
        <v>No</v>
      </c>
      <c r="J122" s="516">
        <f>Turkey!$E$13</f>
        <v>0</v>
      </c>
      <c r="K122" s="518">
        <f>Turkey!$E$24</f>
        <v>830</v>
      </c>
      <c r="L122" s="515" t="str">
        <f>Turkey!$E$26</f>
        <v>TRY</v>
      </c>
      <c r="M122" s="519">
        <f>Turkey!$E$28</f>
        <v>0</v>
      </c>
      <c r="N122" s="524" t="str">
        <f>Turkey!$E$29</f>
        <v xml:space="preserve">
Average annual inflation</v>
      </c>
      <c r="O122" s="519">
        <f>Turkey!$E$27</f>
        <v>472950</v>
      </c>
      <c r="P122" s="517">
        <f>Turkey!$E$30</f>
        <v>2520</v>
      </c>
      <c r="Q122" s="515">
        <f>Turkey!$E$46</f>
        <v>125</v>
      </c>
      <c r="R122" s="515" t="str">
        <f>Turkey!$E$50</f>
        <v>N/A</v>
      </c>
      <c r="S122" s="517" t="e">
        <f t="shared" si="9"/>
        <v>#VALUE!</v>
      </c>
      <c r="T122" s="518" t="e">
        <f t="shared" si="10"/>
        <v>#VALUE!</v>
      </c>
      <c r="U122" s="519">
        <f t="shared" si="11"/>
        <v>6.64</v>
      </c>
      <c r="V122" s="520">
        <f>Turkey!$E$33</f>
        <v>43132</v>
      </c>
      <c r="W122" s="520">
        <f>Turkey!$E$40</f>
        <v>46539</v>
      </c>
      <c r="X122" s="520">
        <f>Turkey!$E$34</f>
        <v>46539</v>
      </c>
      <c r="Y122" s="516" t="str">
        <f>Turkey!$E$42</f>
        <v>No</v>
      </c>
      <c r="Z122" s="515" t="str">
        <f>Turkey!$E$43</f>
        <v>No</v>
      </c>
      <c r="AA122" s="516" t="str">
        <f>Turkey!$E$44</f>
        <v>No</v>
      </c>
      <c r="AB122" s="516">
        <f>Turkey!$E$9</f>
        <v>0</v>
      </c>
      <c r="AC122" s="520">
        <f>Turkey!$D$2</f>
        <v>45932</v>
      </c>
    </row>
    <row r="123" spans="1:29" ht="28">
      <c r="A123" s="515" t="s">
        <v>234</v>
      </c>
      <c r="B123" s="516" t="str">
        <f>UnitesArabEmirates!$D$4</f>
        <v>Nextcare</v>
      </c>
      <c r="C123" s="515" t="str">
        <f>UnitesArabEmirates!$D$17</f>
        <v>UAE</v>
      </c>
      <c r="D123" s="515" t="str">
        <f>UnitesArabEmirates!$D$15</f>
        <v>Dubai</v>
      </c>
      <c r="E123" s="515">
        <f>UnitesArabEmirates!$D$16</f>
        <v>80864</v>
      </c>
      <c r="F123" s="516" t="str">
        <f>UnitesArabEmirates!$D$14</f>
        <v>Boulevard Limited Building, EIFFEL - 2 Sheikh Zayed Rd</v>
      </c>
      <c r="G123" s="523" t="str">
        <f>UnitesArabEmirates!$D$18</f>
        <v>Rental</v>
      </c>
      <c r="H123" s="531" t="str">
        <f>UnitesArabEmirates!$D$11</f>
        <v>UA01</v>
      </c>
      <c r="I123" s="515" t="str">
        <f>UnitesArabEmirates!$D$19</f>
        <v>No</v>
      </c>
      <c r="J123" s="516" t="str">
        <f>UnitesArabEmirates!$D$13</f>
        <v>First floor (entire floor)</v>
      </c>
      <c r="K123" s="518">
        <f>UnitesArabEmirates!$D$24</f>
        <v>3625.05</v>
      </c>
      <c r="L123" s="515" t="str">
        <f>UnitesArabEmirates!$D$26</f>
        <v>AED</v>
      </c>
      <c r="M123" s="519">
        <f>UnitesArabEmirates!$D$28</f>
        <v>1028.0255444752486</v>
      </c>
      <c r="N123" s="524" t="str">
        <f>UnitesArabEmirates!$D$29</f>
        <v>6% annual</v>
      </c>
      <c r="O123" s="519">
        <f>UnitesArabEmirates!$D$27</f>
        <v>3726644</v>
      </c>
      <c r="P123" s="522">
        <f>UnitesArabEmirates!$D$30</f>
        <v>117.7269968690087</v>
      </c>
      <c r="Q123" s="515">
        <f>UnitesArabEmirates!$D$46</f>
        <v>927</v>
      </c>
      <c r="R123" s="518">
        <f>UnitesArabEmirates!$D$50</f>
        <v>520</v>
      </c>
      <c r="S123" s="517">
        <f t="shared" si="9"/>
        <v>0.56094929881337652</v>
      </c>
      <c r="T123" s="518">
        <f t="shared" si="10"/>
        <v>6.9712500000000004</v>
      </c>
      <c r="U123" s="519">
        <f t="shared" si="11"/>
        <v>3.9105177993527511</v>
      </c>
      <c r="V123" s="520">
        <f>UnitesArabEmirates!$D$33</f>
        <v>44136</v>
      </c>
      <c r="W123" s="520">
        <f>UnitesArabEmirates!$D$40</f>
        <v>47695</v>
      </c>
      <c r="X123" s="520" t="str">
        <f>UnitesArabEmirates!$D$34</f>
        <v>written notice no later than 6 months before the expiry</v>
      </c>
      <c r="Y123" s="516" t="str">
        <f>UnitesArabEmirates!$D$42</f>
        <v>No</v>
      </c>
      <c r="Z123" s="515" t="str">
        <f>UnitesArabEmirates!$D$43</f>
        <v>N/A</v>
      </c>
      <c r="AA123" s="516" t="str">
        <f>UnitesArabEmirates!$D$44</f>
        <v>No</v>
      </c>
      <c r="AB123" s="516" t="str">
        <f>UnitesArabEmirates!$D$9</f>
        <v xml:space="preserve">Shirin Syed </v>
      </c>
      <c r="AC123" s="520">
        <f>UnitesArabEmirates!$D$2</f>
        <v>45925</v>
      </c>
    </row>
    <row r="124" spans="1:29" ht="56">
      <c r="A124" s="515" t="s">
        <v>234</v>
      </c>
      <c r="B124" s="516" t="str">
        <f>UnitesArabEmirates!$E$4</f>
        <v>Nextcare</v>
      </c>
      <c r="C124" s="515" t="str">
        <f>UnitesArabEmirates!$D$17</f>
        <v>UAE</v>
      </c>
      <c r="D124" s="515" t="str">
        <f>UnitesArabEmirates!$E$15</f>
        <v>Dubai</v>
      </c>
      <c r="E124" s="515">
        <f>UnitesArabEmirates!$E$16</f>
        <v>80864</v>
      </c>
      <c r="F124" s="516" t="str">
        <f>UnitesArabEmirates!$E$14</f>
        <v>Vakson Building 2 Next to Metropolitan Hotel, Sheikh Zayed Road</v>
      </c>
      <c r="G124" s="523" t="str">
        <f>UnitesArabEmirates!$E$18</f>
        <v>Rental</v>
      </c>
      <c r="H124" s="515" t="str">
        <f>UnitesArabEmirates!$E$11</f>
        <v>UA02</v>
      </c>
      <c r="I124" s="515" t="str">
        <f>UnitesArabEmirates!$E$19</f>
        <v>No</v>
      </c>
      <c r="J124" s="516" t="str">
        <f>UnitesArabEmirates!$E$13</f>
        <v>4 offices (second floor) 201 to 204</v>
      </c>
      <c r="K124" s="518">
        <f>UnitesArabEmirates!$E$24</f>
        <v>607.49</v>
      </c>
      <c r="L124" s="515" t="str">
        <f>UnitesArabEmirates!$E$26</f>
        <v>AED</v>
      </c>
      <c r="M124" s="519">
        <f>UnitesArabEmirates!$E$28</f>
        <v>1140.9833906730976</v>
      </c>
      <c r="N124" s="524" t="str">
        <f>UnitesArabEmirates!$E$29</f>
        <v>6% rent increase effective from 2024 through 2027 (covering a period of 3 years), after which the lease contract will require renewal</v>
      </c>
      <c r="O124" s="519">
        <f>UnitesArabEmirates!$E$27</f>
        <v>693136</v>
      </c>
      <c r="P124" s="522">
        <f>UnitesArabEmirates!$E$30</f>
        <v>115.27243246802418</v>
      </c>
      <c r="Q124" s="515">
        <f>UnitesArabEmirates!$E$46</f>
        <v>63</v>
      </c>
      <c r="R124" s="515">
        <f>UnitesArabEmirates!$E$50</f>
        <v>83</v>
      </c>
      <c r="S124" s="517">
        <f t="shared" si="9"/>
        <v>1.3174603174603174</v>
      </c>
      <c r="T124" s="518">
        <f t="shared" si="10"/>
        <v>7.3191566265060244</v>
      </c>
      <c r="U124" s="519">
        <f t="shared" si="11"/>
        <v>9.6426984126984134</v>
      </c>
      <c r="V124" s="520">
        <f>UnitesArabEmirates!$E$33</f>
        <v>44824</v>
      </c>
      <c r="W124" s="520" t="str">
        <f>UnitesArabEmirates!$E$40</f>
        <v xml:space="preserve">No </v>
      </c>
      <c r="X124" s="520" t="str">
        <f>UnitesArabEmirates!$E$34</f>
        <v>3 months notice before vacate</v>
      </c>
      <c r="Y124" s="516" t="str">
        <f>UnitesArabEmirates!$E$42</f>
        <v>No</v>
      </c>
      <c r="Z124" s="515" t="str">
        <f>UnitesArabEmirates!$E$43</f>
        <v>N/A</v>
      </c>
      <c r="AA124" s="516" t="str">
        <f>UnitesArabEmirates!$E$44</f>
        <v>No</v>
      </c>
      <c r="AB124" s="516" t="str">
        <f>UnitesArabEmirates!$E$9</f>
        <v xml:space="preserve">Shirin Syed </v>
      </c>
      <c r="AC124" s="515">
        <f>UnitesArabEmirates!$E$2</f>
        <v>0</v>
      </c>
    </row>
    <row r="125" spans="1:29" ht="56">
      <c r="A125" s="515" t="s">
        <v>234</v>
      </c>
      <c r="B125" s="516" t="str">
        <f>UnitesArabEmirates!$F$4</f>
        <v>Nextcare</v>
      </c>
      <c r="C125" s="515" t="str">
        <f>UnitesArabEmirates!$F$17</f>
        <v>UAE</v>
      </c>
      <c r="D125" s="515" t="str">
        <f>UnitesArabEmirates!$F$15</f>
        <v>Dubai</v>
      </c>
      <c r="E125" s="515">
        <f>UnitesArabEmirates!$F$16</f>
        <v>80864</v>
      </c>
      <c r="F125" s="516" t="str">
        <f>UnitesArabEmirates!$F$14</f>
        <v>Vakson Building 2 Next to Metropolitan Hotel, Sheikh Zayed Road</v>
      </c>
      <c r="G125" s="523" t="str">
        <f>UnitesArabEmirates!$F$18</f>
        <v>Rental</v>
      </c>
      <c r="H125" s="515" t="str">
        <f>UnitesArabEmirates!$F$11</f>
        <v>UA02</v>
      </c>
      <c r="I125" s="515" t="str">
        <f>UnitesArabEmirates!$F$19</f>
        <v>No</v>
      </c>
      <c r="J125" s="516" t="str">
        <f>UnitesArabEmirates!$F$13</f>
        <v>1 office (second floor) - Vakson Extension - 206</v>
      </c>
      <c r="K125" s="518">
        <f>UnitesArabEmirates!$F$24</f>
        <v>124.59</v>
      </c>
      <c r="L125" s="523" t="str">
        <f>UnitesArabEmirates!$F$26</f>
        <v>AED</v>
      </c>
      <c r="M125" s="519">
        <f>UnitesArabEmirates!$F$28</f>
        <v>1291.5964363111004</v>
      </c>
      <c r="N125" s="524" t="str">
        <f>UnitesArabEmirates!$F$29</f>
        <v>Approx. 5.83% rent increase from April 2026 to January 2027. From April 2027 to July 2027, the rent will be AED 70,453</v>
      </c>
      <c r="O125" s="523">
        <f>UnitesArabEmirates!$F$27</f>
        <v>160920</v>
      </c>
      <c r="P125" s="522">
        <f>UnitesArabEmirates!$F$30</f>
        <v>15.568665221927922</v>
      </c>
      <c r="Q125" s="515">
        <f>UnitesArabEmirates!$F$46</f>
        <v>21</v>
      </c>
      <c r="R125" s="515">
        <f>UnitesArabEmirates!$F$50</f>
        <v>22</v>
      </c>
      <c r="S125" s="517">
        <f t="shared" si="9"/>
        <v>1.0476190476190477</v>
      </c>
      <c r="T125" s="518">
        <f t="shared" si="10"/>
        <v>5.6631818181818181</v>
      </c>
      <c r="U125" s="519">
        <f t="shared" si="11"/>
        <v>5.9328571428571433</v>
      </c>
      <c r="V125" s="520">
        <f>UnitesArabEmirates!$F$33</f>
        <v>45007</v>
      </c>
      <c r="W125" s="520">
        <f>UnitesArabEmirates!$F$40</f>
        <v>46649</v>
      </c>
      <c r="X125" s="520" t="str">
        <f>UnitesArabEmirates!$F$34</f>
        <v>3 months notice before vacate</v>
      </c>
      <c r="Y125" s="516" t="str">
        <f>UnitesArabEmirates!$F$42</f>
        <v>No</v>
      </c>
      <c r="Z125" s="515" t="str">
        <f>UnitesArabEmirates!$F$43</f>
        <v>N/A</v>
      </c>
      <c r="AA125" s="516" t="str">
        <f>UnitesArabEmirates!$F$44</f>
        <v>No</v>
      </c>
      <c r="AB125" s="516" t="str">
        <f>UnitesArabEmirates!$F$9</f>
        <v xml:space="preserve">Shirin Syed </v>
      </c>
      <c r="AC125" s="515">
        <f>UnitesArabEmirates!$F$2</f>
        <v>0</v>
      </c>
    </row>
    <row r="126" spans="1:29" ht="42">
      <c r="A126" s="515" t="s">
        <v>234</v>
      </c>
      <c r="B126" s="516" t="str">
        <f>UnitesArabEmirates!$H$4</f>
        <v>Nextcare</v>
      </c>
      <c r="C126" s="515" t="str">
        <f>UnitesArabEmirates!$H$17</f>
        <v>UAE</v>
      </c>
      <c r="D126" s="515" t="str">
        <f>UnitesArabEmirates!$H$15</f>
        <v>JLT, Dubai, UAE</v>
      </c>
      <c r="E126" s="515">
        <f>UnitesArabEmirates!$H$16</f>
        <v>340536</v>
      </c>
      <c r="F126" s="516" t="str">
        <f>UnitesArabEmirates!$H$14</f>
        <v>B1 4207 AND 4208, Mazayya Business Avenue</v>
      </c>
      <c r="G126" s="523" t="str">
        <f>UnitesArabEmirates!$H$18</f>
        <v>Rental</v>
      </c>
      <c r="H126" s="515" t="str">
        <f>UnitesArabEmirates!$H$11</f>
        <v>UA04</v>
      </c>
      <c r="I126" s="515" t="str">
        <f>UnitesArabEmirates!$H$19</f>
        <v>No</v>
      </c>
      <c r="J126" s="516" t="str">
        <f>UnitesArabEmirates!$H$13</f>
        <v xml:space="preserve">This property is rented and we have occupied 2 offices </v>
      </c>
      <c r="K126" s="518">
        <f>UnitesArabEmirates!$H$24</f>
        <v>275.14999999999998</v>
      </c>
      <c r="L126" s="523" t="str">
        <f>UnitesArabEmirates!$H$26</f>
        <v>AED</v>
      </c>
      <c r="M126" s="519">
        <f>UnitesArabEmirates!$H$28</f>
        <v>658.27730328911514</v>
      </c>
      <c r="N126" s="524" t="str">
        <f>UnitesArabEmirates!$H$29</f>
        <v>5% annual increase until Feb 2026, then rent remains until end of lease 2028</v>
      </c>
      <c r="O126" s="523">
        <f>UnitesArabEmirates!$H$27</f>
        <v>181125</v>
      </c>
      <c r="P126" s="522">
        <f>UnitesArabEmirates!$H$30</f>
        <v>0</v>
      </c>
      <c r="Q126" s="515">
        <f>UnitesArabEmirates!$H$46</f>
        <v>21</v>
      </c>
      <c r="R126" s="515">
        <f>UnitesArabEmirates!$H$50</f>
        <v>22</v>
      </c>
      <c r="S126" s="517">
        <f t="shared" si="9"/>
        <v>1.0476190476190477</v>
      </c>
      <c r="T126" s="518">
        <f t="shared" si="10"/>
        <v>12.506818181818181</v>
      </c>
      <c r="U126" s="519">
        <f t="shared" si="11"/>
        <v>13.102380952380951</v>
      </c>
      <c r="V126" s="520">
        <f>UnitesArabEmirates!$H$33</f>
        <v>44986</v>
      </c>
      <c r="W126" s="520">
        <f>UnitesArabEmirates!$H$40</f>
        <v>46811</v>
      </c>
      <c r="X126" s="520" t="str">
        <f>UnitesArabEmirates!$H$34</f>
        <v>3 months notice before vacate</v>
      </c>
      <c r="Y126" s="516" t="str">
        <f>UnitesArabEmirates!$H$42</f>
        <v>No</v>
      </c>
      <c r="Z126" s="515" t="str">
        <f>UnitesArabEmirates!$H$43</f>
        <v>N/A</v>
      </c>
      <c r="AA126" s="516" t="str">
        <f>UnitesArabEmirates!$H$44</f>
        <v>No</v>
      </c>
      <c r="AB126" s="516" t="str">
        <f>UnitesArabEmirates!$H$9</f>
        <v>Mahmood Kuniyil</v>
      </c>
      <c r="AC126" s="515">
        <f>UnitesArabEmirates!$H$2</f>
        <v>0</v>
      </c>
    </row>
    <row r="127" spans="1:29" ht="42">
      <c r="A127" s="515" t="s">
        <v>234</v>
      </c>
      <c r="B127" s="516" t="str">
        <f>UnitesArabEmirates!$G$4</f>
        <v>Nextcare</v>
      </c>
      <c r="C127" s="515" t="str">
        <f>UnitesArabEmirates!$G$17</f>
        <v>UAE</v>
      </c>
      <c r="D127" s="515" t="str">
        <f>UnitesArabEmirates!$G$15</f>
        <v xml:space="preserve">Abu Dhabi  </v>
      </c>
      <c r="E127" s="515" t="str">
        <f>UnitesArabEmirates!$G$16</f>
        <v>N/A</v>
      </c>
      <c r="F127" s="516" t="str">
        <f>UnitesArabEmirates!$G$14</f>
        <v>Sakeena Nest Building Al Nahyan Area (mobile street) Close to Burjeel Hospital</v>
      </c>
      <c r="G127" s="523" t="str">
        <f>UnitesArabEmirates!$G$18</f>
        <v>Rental</v>
      </c>
      <c r="H127" s="515" t="str">
        <f>UnitesArabEmirates!$G$11</f>
        <v>UA03</v>
      </c>
      <c r="I127" s="515" t="str">
        <f>UnitesArabEmirates!$G$19</f>
        <v>No</v>
      </c>
      <c r="J127" s="516" t="str">
        <f>UnitesArabEmirates!$G$13</f>
        <v>Single office (Mezzanie floor)</v>
      </c>
      <c r="K127" s="518">
        <f>UnitesArabEmirates!$G$24</f>
        <v>38</v>
      </c>
      <c r="L127" s="523" t="str">
        <f>UnitesArabEmirates!$G$26</f>
        <v>AED</v>
      </c>
      <c r="M127" s="519">
        <f>UnitesArabEmirates!$G$28</f>
        <v>921.0526315789474</v>
      </c>
      <c r="N127" s="524" t="str">
        <f>UnitesArabEmirates!$G$29</f>
        <v>0% - annual contract</v>
      </c>
      <c r="O127" s="523">
        <f>UnitesArabEmirates!$G$27</f>
        <v>35000</v>
      </c>
      <c r="P127" s="522">
        <f>UnitesArabEmirates!$G$30</f>
        <v>203.37157894736842</v>
      </c>
      <c r="Q127" s="515">
        <f>UnitesArabEmirates!$G$46</f>
        <v>3</v>
      </c>
      <c r="R127" s="515">
        <f>UnitesArabEmirates!$G$50</f>
        <v>7</v>
      </c>
      <c r="S127" s="517">
        <f t="shared" si="9"/>
        <v>2.3333333333333335</v>
      </c>
      <c r="T127" s="518">
        <f t="shared" si="10"/>
        <v>5.4285714285714288</v>
      </c>
      <c r="U127" s="519">
        <f t="shared" si="11"/>
        <v>12.666666666666666</v>
      </c>
      <c r="V127" s="520">
        <f>UnitesArabEmirates!$G$33</f>
        <v>45566</v>
      </c>
      <c r="W127" s="520">
        <f>UnitesArabEmirates!$G$40</f>
        <v>46295</v>
      </c>
      <c r="X127" s="520" t="str">
        <f>UnitesArabEmirates!$G$34</f>
        <v>2 months notice prior to the end of the 6th month of the lease period</v>
      </c>
      <c r="Y127" s="516" t="str">
        <f>UnitesArabEmirates!$G$42</f>
        <v>No</v>
      </c>
      <c r="Z127" s="515" t="str">
        <f>UnitesArabEmirates!$G$43</f>
        <v>N/A</v>
      </c>
      <c r="AA127" s="516" t="str">
        <f>UnitesArabEmirates!$G$44</f>
        <v>No</v>
      </c>
      <c r="AB127" s="516" t="str">
        <f>UnitesArabEmirates!$G$9</f>
        <v xml:space="preserve">Shirin Syed </v>
      </c>
      <c r="AC127" s="515">
        <f>UnitesArabEmirates!$G$2</f>
        <v>0</v>
      </c>
    </row>
    <row r="128" spans="1:29" ht="28">
      <c r="A128" s="515" t="s">
        <v>2</v>
      </c>
      <c r="B128" s="516" t="str">
        <f>UK!$E$4</f>
        <v>BU United Kingdom</v>
      </c>
      <c r="C128" s="515" t="str">
        <f>UK!$D$17</f>
        <v>United Kingdom</v>
      </c>
      <c r="D128" s="515" t="str">
        <f>UK!$E$15</f>
        <v>Birmingham</v>
      </c>
      <c r="E128" s="515" t="str">
        <f>UK!$E$16</f>
        <v>B5 4UA</v>
      </c>
      <c r="F128" s="516" t="str">
        <f>UK!$E$14</f>
        <v>7 Hill Street, Centre City</v>
      </c>
      <c r="G128" s="523" t="str">
        <f>UK!$E$18</f>
        <v>Rental</v>
      </c>
      <c r="H128" s="515" t="str">
        <f>UK!$E$11</f>
        <v>UK02</v>
      </c>
      <c r="I128" s="515" t="str">
        <f>UK!$E$19</f>
        <v>No</v>
      </c>
      <c r="J128" s="516" t="str">
        <f>UK!$E$13</f>
        <v>Half of 3rd floor</v>
      </c>
      <c r="K128" s="518">
        <f>UK!$E$24</f>
        <v>703</v>
      </c>
      <c r="L128" s="515" t="str">
        <f>UK!$E$26</f>
        <v>GBP</v>
      </c>
      <c r="M128" s="519">
        <f>UK!$E$28</f>
        <v>683.27652916073976</v>
      </c>
      <c r="N128" s="524" t="str">
        <f>UK!$E$29</f>
        <v>n/a</v>
      </c>
      <c r="O128" s="519">
        <f>UK!$E$27</f>
        <v>480343.4</v>
      </c>
      <c r="P128" s="522">
        <f>UK!$E$30</f>
        <v>306.94051209103839</v>
      </c>
      <c r="Q128" s="515">
        <f>UK!$E$46</f>
        <v>47</v>
      </c>
      <c r="R128" s="515">
        <f>UK!$E$50</f>
        <v>47</v>
      </c>
      <c r="S128" s="517">
        <f t="shared" si="9"/>
        <v>1</v>
      </c>
      <c r="T128" s="518">
        <f t="shared" si="10"/>
        <v>14.957446808510639</v>
      </c>
      <c r="U128" s="519">
        <f t="shared" si="11"/>
        <v>14.957446808510639</v>
      </c>
      <c r="V128" s="520" t="str">
        <f>UK!$E$33</f>
        <v>18/11/2024</v>
      </c>
      <c r="W128" s="520">
        <f>UK!$E$40</f>
        <v>46709</v>
      </c>
      <c r="X128" s="520" t="str">
        <f>UK!$E$34</f>
        <v>monthly</v>
      </c>
      <c r="Y128" s="516" t="str">
        <f>UK!$E$42</f>
        <v>No</v>
      </c>
      <c r="Z128" s="515" t="str">
        <f>UK!$E$43</f>
        <v>n/a</v>
      </c>
      <c r="AA128" s="516" t="str">
        <f>UK!$E$44</f>
        <v>No</v>
      </c>
      <c r="AB128" s="516">
        <f>UK!$E$9</f>
        <v>0</v>
      </c>
      <c r="AC128" s="520">
        <f>UK!$D$2</f>
        <v>45931</v>
      </c>
    </row>
    <row r="129" spans="1:29" ht="28">
      <c r="A129" s="515" t="s">
        <v>2</v>
      </c>
      <c r="B129" s="516" t="str">
        <f>UK!$D$4</f>
        <v>BU United Kingdom</v>
      </c>
      <c r="C129" s="515" t="str">
        <f>UK!$D$17</f>
        <v>United Kingdom</v>
      </c>
      <c r="D129" s="515" t="str">
        <f>UK!$D$15</f>
        <v>Croydon</v>
      </c>
      <c r="E129" s="515" t="str">
        <f>UK!$D$16</f>
        <v>CR9 6HD</v>
      </c>
      <c r="F129" s="516" t="str">
        <f>UK!$D$14</f>
        <v>102 George Street</v>
      </c>
      <c r="G129" s="523" t="str">
        <f>UK!$D$18</f>
        <v>Rental</v>
      </c>
      <c r="H129" s="531" t="str">
        <f>UK!$D$11</f>
        <v>UK01</v>
      </c>
      <c r="I129" s="515" t="str">
        <f>UK!$D$19</f>
        <v>No</v>
      </c>
      <c r="J129" s="516" t="str">
        <f>UK!$D$13</f>
        <v>Whole Buidling</v>
      </c>
      <c r="K129" s="518">
        <f>UK!$D$24</f>
        <v>4937.7944500000003</v>
      </c>
      <c r="L129" s="515" t="str">
        <f>UK!$D$26</f>
        <v>GBP</v>
      </c>
      <c r="M129" s="519">
        <f>UK!$D$28</f>
        <v>312.15355268585552</v>
      </c>
      <c r="N129" s="524" t="str">
        <f>UK!$D$29</f>
        <v>Rent review November 2026</v>
      </c>
      <c r="O129" s="519">
        <f>UK!$D$27</f>
        <v>1541350.08</v>
      </c>
      <c r="P129" s="522">
        <f>UK!$D$30</f>
        <v>230.57723676610311</v>
      </c>
      <c r="Q129" s="515">
        <f>UK!$D$46</f>
        <v>395</v>
      </c>
      <c r="R129" s="518">
        <f>UK!$D$50</f>
        <v>321</v>
      </c>
      <c r="S129" s="517">
        <f t="shared" si="9"/>
        <v>0.81265822784810127</v>
      </c>
      <c r="T129" s="518">
        <f t="shared" si="10"/>
        <v>15.382537227414332</v>
      </c>
      <c r="U129" s="519">
        <f t="shared" si="11"/>
        <v>12.500745443037976</v>
      </c>
      <c r="V129" s="520" t="str">
        <f>UK!$D$33</f>
        <v>14/11/2021</v>
      </c>
      <c r="W129" s="520">
        <f>UK!$D$40</f>
        <v>48165</v>
      </c>
      <c r="X129" s="520" t="str">
        <f>UK!$D$34</f>
        <v>13/11/2031</v>
      </c>
      <c r="Y129" s="516" t="str">
        <f>UK!$D$42</f>
        <v>No</v>
      </c>
      <c r="Z129" s="515" t="str">
        <f>UK!$D$43</f>
        <v>yes</v>
      </c>
      <c r="AA129" s="516" t="str">
        <f>UK!$D$44</f>
        <v>No</v>
      </c>
      <c r="AB129" s="516">
        <f>UK!$D$9</f>
        <v>0</v>
      </c>
      <c r="AC129" s="520">
        <f>UK!$D$2</f>
        <v>45931</v>
      </c>
    </row>
    <row r="130" spans="1:29" ht="14">
      <c r="A130" s="515" t="s">
        <v>205</v>
      </c>
      <c r="B130" s="516" t="str">
        <f>US!$D$4</f>
        <v>BU USA</v>
      </c>
      <c r="C130" s="515" t="str">
        <f>US!$D$17</f>
        <v>USA</v>
      </c>
      <c r="D130" s="515" t="str">
        <f>US!$D$15</f>
        <v>Richmond, VA</v>
      </c>
      <c r="E130" s="515">
        <f>US!$D$16</f>
        <v>23233</v>
      </c>
      <c r="F130" s="516" t="str">
        <f>US!$D$14</f>
        <v>9950 Mayland Drive</v>
      </c>
      <c r="G130" s="523" t="str">
        <f>US!$D$18</f>
        <v>Rental</v>
      </c>
      <c r="H130" s="531" t="str">
        <f>US!$D$11</f>
        <v>US01</v>
      </c>
      <c r="I130" s="515" t="str">
        <f>US!$D$19</f>
        <v>No</v>
      </c>
      <c r="J130" s="516" t="str">
        <f>US!$D$13</f>
        <v>4th and 5th floor</v>
      </c>
      <c r="K130" s="518">
        <f>US!$D$24</f>
        <v>11171.957361999999</v>
      </c>
      <c r="L130" s="515" t="str">
        <f>US!$D$26</f>
        <v>USD</v>
      </c>
      <c r="M130" s="519">
        <f>US!$D$28</f>
        <v>258</v>
      </c>
      <c r="N130" s="524">
        <f>US!$D$29</f>
        <v>0.03</v>
      </c>
      <c r="O130" s="519">
        <f>US!$D$27</f>
        <v>0</v>
      </c>
      <c r="P130" s="522" t="str">
        <f>US!$D$30</f>
        <v>tbd</v>
      </c>
      <c r="Q130" s="515">
        <f>US!$D$46</f>
        <v>518</v>
      </c>
      <c r="R130" s="518">
        <f>US!$D$50</f>
        <v>561</v>
      </c>
      <c r="S130" s="517">
        <f t="shared" si="9"/>
        <v>1.083011583011583</v>
      </c>
      <c r="T130" s="518">
        <f t="shared" si="10"/>
        <v>19.914362499108734</v>
      </c>
      <c r="U130" s="519">
        <f t="shared" si="11"/>
        <v>21.567485254826252</v>
      </c>
      <c r="V130" s="520">
        <f>US!$D$33</f>
        <v>45108</v>
      </c>
      <c r="W130" s="520">
        <f>US!$D$40</f>
        <v>49095</v>
      </c>
      <c r="X130" s="520">
        <f>US!$D$34</f>
        <v>47999</v>
      </c>
      <c r="Y130" s="516" t="str">
        <f>US!$D$42</f>
        <v>No</v>
      </c>
      <c r="Z130" s="515" t="str">
        <f>US!$D$43</f>
        <v>No, RECs are purchased to offset usage</v>
      </c>
      <c r="AA130" s="516" t="str">
        <f>US!$D$44</f>
        <v>No</v>
      </c>
      <c r="AB130" s="516">
        <f>US!$D$9</f>
        <v>0</v>
      </c>
      <c r="AC130" s="520">
        <f>US!$D$2</f>
        <v>45961</v>
      </c>
    </row>
    <row r="131" spans="1:29" ht="28">
      <c r="A131" s="515" t="s">
        <v>205</v>
      </c>
      <c r="B131" s="516" t="str">
        <f>US!$E$4</f>
        <v>BU USA</v>
      </c>
      <c r="C131" s="515" t="str">
        <f>US!$D$17</f>
        <v>USA</v>
      </c>
      <c r="D131" s="515" t="str">
        <f>US!$E$15</f>
        <v>Lakeland, FL</v>
      </c>
      <c r="E131" s="515">
        <f>US!$E$16</f>
        <v>33811</v>
      </c>
      <c r="F131" s="516" t="str">
        <f>US!$E$14</f>
        <v>3111 West Pipken Road</v>
      </c>
      <c r="G131" s="523" t="str">
        <f>US!$E$18</f>
        <v>Rental</v>
      </c>
      <c r="H131" s="515" t="str">
        <f>US!$E$11</f>
        <v>US02</v>
      </c>
      <c r="I131" s="515" t="str">
        <f>US!$E$19</f>
        <v>No</v>
      </c>
      <c r="J131" s="516" t="str">
        <f>US!$E$13</f>
        <v>Training Rooms and 4 Private Offices</v>
      </c>
      <c r="K131" s="518" t="str">
        <f>US!$E$24</f>
        <v>Not renting by square foot but by space</v>
      </c>
      <c r="L131" s="515" t="str">
        <f>US!$E$26</f>
        <v>USD</v>
      </c>
      <c r="M131" s="519">
        <f>US!$E$28</f>
        <v>13350</v>
      </c>
      <c r="N131" s="524" t="str">
        <f>US!$E$29</f>
        <v>N/A</v>
      </c>
      <c r="O131" s="519">
        <f>US!$E$27</f>
        <v>0</v>
      </c>
      <c r="P131" s="522" t="str">
        <f>US!$E$30</f>
        <v>included in monthly rent</v>
      </c>
      <c r="Q131" s="515" t="str">
        <f>US!$E$46</f>
        <v>N/A</v>
      </c>
      <c r="R131" s="515" t="str">
        <f>US!$E$50</f>
        <v>4 furninshed offices and training for up to 30</v>
      </c>
      <c r="S131" s="517" t="e">
        <f t="shared" ref="S131" si="12">R131/Q131</f>
        <v>#VALUE!</v>
      </c>
      <c r="T131" s="518" t="e">
        <f t="shared" si="10"/>
        <v>#VALUE!</v>
      </c>
      <c r="U131" s="519" t="e">
        <f t="shared" si="11"/>
        <v>#VALUE!</v>
      </c>
      <c r="V131" s="520">
        <f>US!$E$33</f>
        <v>44991</v>
      </c>
      <c r="W131" s="520" t="str">
        <f>US!$E$40</f>
        <v>Can be cacelled on a monthly basis</v>
      </c>
      <c r="X131" s="520" t="str">
        <f>US!$E$34</f>
        <v>Month to Month</v>
      </c>
      <c r="Y131" s="516" t="str">
        <f>US!$E$42</f>
        <v>No</v>
      </c>
      <c r="Z131" s="515" t="str">
        <f>US!$E$43</f>
        <v>No</v>
      </c>
      <c r="AA131" s="516" t="str">
        <f>US!$E$44</f>
        <v>No</v>
      </c>
      <c r="AB131" s="516">
        <f>US!$E$9</f>
        <v>0</v>
      </c>
      <c r="AC131" s="520">
        <f>US!$D$2</f>
        <v>45961</v>
      </c>
    </row>
    <row r="135" spans="1:29">
      <c r="G135" s="523"/>
      <c r="H135" s="531"/>
      <c r="K135" s="518"/>
      <c r="M135" s="519"/>
      <c r="N135" s="524"/>
      <c r="O135" s="519"/>
      <c r="P135" s="522"/>
      <c r="R135" s="518"/>
      <c r="S135" s="517"/>
      <c r="T135" s="518"/>
      <c r="U135" s="519"/>
      <c r="V135" s="520"/>
      <c r="W135" s="520"/>
      <c r="X135" s="520"/>
      <c r="AA135" s="516"/>
      <c r="AB135" s="516"/>
      <c r="AC135" s="520"/>
    </row>
  </sheetData>
  <autoFilter ref="A2:AD131" xr:uid="{FC5E4E0A-C520-4916-8867-9AED2D767E55}"/>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AF13-E801-42FD-87F3-2EF6145FFCB0}">
  <sheetPr>
    <tabColor theme="3" tint="0.89999084444715716"/>
  </sheetPr>
  <dimension ref="C2:D2"/>
  <sheetViews>
    <sheetView workbookViewId="0">
      <selection activeCell="G25" sqref="G25"/>
    </sheetView>
  </sheetViews>
  <sheetFormatPr baseColWidth="10" defaultColWidth="11.5" defaultRowHeight="13"/>
  <sheetData>
    <row r="2" spans="3:4">
      <c r="C2" s="470"/>
      <c r="D2" s="47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14656-9263-4597-9757-C70267002724}">
  <sheetPr codeName="Feuil3">
    <tabColor rgb="FF00B050"/>
    <pageSetUpPr fitToPage="1"/>
  </sheetPr>
  <dimension ref="B2:R68"/>
  <sheetViews>
    <sheetView topLeftCell="A51" zoomScale="85" zoomScaleNormal="85" workbookViewId="0">
      <selection activeCell="G25" sqref="G25"/>
    </sheetView>
  </sheetViews>
  <sheetFormatPr baseColWidth="10" defaultColWidth="9.1640625" defaultRowHeight="13"/>
  <cols>
    <col min="1" max="1" width="19.5" style="139" customWidth="1"/>
    <col min="2" max="2" width="24.1640625" style="139" customWidth="1"/>
    <col min="3" max="3" width="23.1640625" style="139" customWidth="1"/>
    <col min="4" max="4" width="31" style="139" customWidth="1"/>
    <col min="5" max="18" width="22.83203125" style="139" customWidth="1"/>
    <col min="19" max="16384" width="9.1640625" style="139"/>
  </cols>
  <sheetData>
    <row r="2" spans="2:18">
      <c r="C2" s="508" t="s">
        <v>323</v>
      </c>
      <c r="D2" s="501"/>
      <c r="E2" s="141"/>
      <c r="F2" s="142"/>
      <c r="G2" s="142"/>
      <c r="H2" s="142"/>
      <c r="I2" s="143"/>
    </row>
    <row r="4" spans="2:18">
      <c r="C4" s="140" t="s">
        <v>324</v>
      </c>
      <c r="D4" s="144" t="s">
        <v>154</v>
      </c>
      <c r="G4" s="145"/>
      <c r="H4" s="145"/>
      <c r="I4" s="146"/>
    </row>
    <row r="5" spans="2:18">
      <c r="C5" s="140" t="s">
        <v>319</v>
      </c>
      <c r="D5" s="147" t="s">
        <v>325</v>
      </c>
    </row>
    <row r="6" spans="2:18">
      <c r="B6" s="139" t="s">
        <v>326</v>
      </c>
      <c r="C6" s="588" t="s">
        <v>327</v>
      </c>
      <c r="D6" s="588"/>
      <c r="E6" s="148" t="s">
        <v>328</v>
      </c>
      <c r="F6" s="149"/>
      <c r="G6" s="150"/>
      <c r="H6" s="150"/>
    </row>
    <row r="7" spans="2:18">
      <c r="B7" s="139" t="s">
        <v>326</v>
      </c>
      <c r="C7" s="588" t="s">
        <v>329</v>
      </c>
      <c r="D7" s="588"/>
      <c r="E7" s="148">
        <v>1</v>
      </c>
      <c r="F7" s="149"/>
      <c r="G7" s="150"/>
      <c r="H7" s="150"/>
    </row>
    <row r="9" spans="2:18">
      <c r="C9" s="151" t="s">
        <v>330</v>
      </c>
      <c r="D9" s="147" t="s">
        <v>325</v>
      </c>
      <c r="E9" s="153"/>
      <c r="F9" s="153"/>
      <c r="G9" s="153"/>
      <c r="H9" s="153"/>
      <c r="I9" s="153"/>
      <c r="J9" s="153"/>
      <c r="K9" s="153"/>
      <c r="L9" s="153"/>
      <c r="M9" s="153"/>
      <c r="N9" s="153"/>
      <c r="O9" s="153"/>
      <c r="P9" s="153"/>
      <c r="Q9" s="153"/>
      <c r="R9" s="153"/>
    </row>
    <row r="10" spans="2:18" ht="28">
      <c r="C10" s="154" t="s">
        <v>331</v>
      </c>
      <c r="D10" s="155" t="s">
        <v>332</v>
      </c>
      <c r="E10" s="156" t="s">
        <v>333</v>
      </c>
      <c r="F10" s="156" t="s">
        <v>334</v>
      </c>
      <c r="G10" s="156" t="s">
        <v>335</v>
      </c>
      <c r="H10" s="156" t="s">
        <v>336</v>
      </c>
      <c r="I10" s="156" t="s">
        <v>337</v>
      </c>
      <c r="J10" s="156" t="s">
        <v>338</v>
      </c>
      <c r="K10" s="156" t="s">
        <v>339</v>
      </c>
      <c r="L10" s="156" t="s">
        <v>340</v>
      </c>
      <c r="M10" s="156" t="s">
        <v>341</v>
      </c>
      <c r="N10" s="156" t="s">
        <v>342</v>
      </c>
      <c r="O10" s="156" t="s">
        <v>343</v>
      </c>
      <c r="P10" s="156" t="s">
        <v>344</v>
      </c>
      <c r="Q10" s="156" t="s">
        <v>345</v>
      </c>
      <c r="R10" s="156" t="s">
        <v>346</v>
      </c>
    </row>
    <row r="11" spans="2:18" ht="14">
      <c r="C11" s="157" t="s">
        <v>299</v>
      </c>
      <c r="D11" s="158" t="s">
        <v>347</v>
      </c>
      <c r="E11" s="158" t="s">
        <v>347</v>
      </c>
      <c r="F11" s="158"/>
      <c r="G11" s="158"/>
      <c r="H11" s="158"/>
      <c r="I11" s="158"/>
      <c r="J11" s="158"/>
      <c r="K11" s="158"/>
      <c r="L11" s="158"/>
      <c r="M11" s="158"/>
      <c r="N11" s="156"/>
      <c r="O11" s="156"/>
      <c r="P11" s="156"/>
      <c r="Q11" s="156"/>
      <c r="R11" s="156"/>
    </row>
    <row r="12" spans="2:18">
      <c r="C12" s="159"/>
      <c r="D12" s="160">
        <v>44</v>
      </c>
      <c r="E12" s="160">
        <v>44</v>
      </c>
      <c r="F12" s="160"/>
      <c r="G12" s="160"/>
      <c r="H12" s="160"/>
      <c r="I12" s="160"/>
      <c r="J12" s="161"/>
      <c r="K12" s="161"/>
      <c r="L12" s="161"/>
      <c r="M12" s="161"/>
      <c r="N12" s="161"/>
      <c r="O12" s="161"/>
      <c r="P12" s="161"/>
      <c r="Q12" s="161"/>
      <c r="R12" s="161"/>
    </row>
    <row r="13" spans="2:18" ht="24">
      <c r="B13" s="7" t="s">
        <v>348</v>
      </c>
      <c r="C13" s="8" t="s">
        <v>349</v>
      </c>
      <c r="D13" s="162" t="s">
        <v>350</v>
      </c>
      <c r="E13" s="162" t="s">
        <v>351</v>
      </c>
      <c r="F13" s="162"/>
      <c r="G13" s="162"/>
      <c r="H13" s="162"/>
      <c r="I13" s="162"/>
      <c r="J13" s="162"/>
      <c r="K13" s="162"/>
      <c r="L13" s="162"/>
      <c r="M13" s="162"/>
      <c r="N13" s="162"/>
      <c r="O13" s="162"/>
      <c r="P13" s="162"/>
      <c r="Q13" s="162"/>
      <c r="R13" s="162"/>
    </row>
    <row r="14" spans="2:18" ht="14">
      <c r="B14" s="7" t="s">
        <v>352</v>
      </c>
      <c r="C14" s="8" t="s">
        <v>297</v>
      </c>
      <c r="D14" s="162" t="s">
        <v>158</v>
      </c>
      <c r="E14" s="162" t="s">
        <v>156</v>
      </c>
      <c r="F14" s="162"/>
      <c r="G14" s="162"/>
      <c r="H14" s="162"/>
      <c r="I14" s="162"/>
      <c r="J14" s="162"/>
      <c r="K14" s="162"/>
      <c r="L14" s="162"/>
      <c r="M14" s="162"/>
      <c r="N14" s="162"/>
      <c r="O14" s="162"/>
      <c r="P14" s="162"/>
      <c r="Q14" s="162"/>
      <c r="R14" s="162"/>
    </row>
    <row r="15" spans="2:18" ht="24">
      <c r="B15" s="7" t="s">
        <v>353</v>
      </c>
      <c r="C15" s="8" t="s">
        <v>354</v>
      </c>
      <c r="D15" s="162" t="s">
        <v>157</v>
      </c>
      <c r="E15" s="162" t="s">
        <v>157</v>
      </c>
      <c r="F15" s="162"/>
      <c r="G15" s="162"/>
      <c r="H15" s="162"/>
      <c r="I15" s="162"/>
      <c r="J15" s="162"/>
      <c r="K15" s="162"/>
      <c r="L15" s="162"/>
      <c r="M15" s="162"/>
      <c r="N15" s="162"/>
      <c r="O15" s="162"/>
      <c r="P15" s="162"/>
      <c r="Q15" s="162"/>
      <c r="R15" s="162"/>
    </row>
    <row r="16" spans="2:18" ht="14">
      <c r="B16" s="7" t="s">
        <v>355</v>
      </c>
      <c r="C16" s="8" t="s">
        <v>356</v>
      </c>
      <c r="D16" s="162">
        <v>4000</v>
      </c>
      <c r="E16" s="162">
        <v>4000</v>
      </c>
      <c r="F16" s="162"/>
      <c r="G16" s="162"/>
      <c r="H16" s="162"/>
      <c r="I16" s="162"/>
      <c r="J16" s="162"/>
      <c r="K16" s="162"/>
      <c r="L16" s="162"/>
      <c r="M16" s="162"/>
      <c r="N16" s="162"/>
      <c r="O16" s="162"/>
      <c r="P16" s="162"/>
      <c r="Q16" s="162"/>
      <c r="R16" s="162"/>
    </row>
    <row r="17" spans="2:18" ht="14">
      <c r="B17" s="7" t="s">
        <v>357</v>
      </c>
      <c r="C17" s="8" t="s">
        <v>294</v>
      </c>
      <c r="D17" s="162" t="s">
        <v>155</v>
      </c>
      <c r="E17" s="162" t="s">
        <v>155</v>
      </c>
      <c r="F17" s="162"/>
      <c r="G17" s="162"/>
      <c r="H17" s="162"/>
      <c r="I17" s="162"/>
      <c r="J17" s="162"/>
      <c r="K17" s="162"/>
      <c r="L17" s="162"/>
      <c r="M17" s="162"/>
      <c r="N17" s="162"/>
      <c r="O17" s="162"/>
      <c r="P17" s="162"/>
      <c r="Q17" s="162"/>
      <c r="R17" s="162"/>
    </row>
    <row r="18" spans="2:18" ht="14">
      <c r="B18" s="9" t="s">
        <v>358</v>
      </c>
      <c r="C18" s="10" t="s">
        <v>359</v>
      </c>
      <c r="D18" s="162" t="s">
        <v>360</v>
      </c>
      <c r="E18" s="162" t="s">
        <v>360</v>
      </c>
      <c r="F18" s="162"/>
      <c r="G18" s="162"/>
      <c r="H18" s="162"/>
      <c r="I18" s="162"/>
      <c r="J18" s="162"/>
      <c r="K18" s="162"/>
      <c r="L18" s="162"/>
      <c r="M18" s="162"/>
      <c r="N18" s="162"/>
      <c r="O18" s="162"/>
      <c r="P18" s="162"/>
      <c r="Q18" s="162"/>
      <c r="R18" s="162"/>
    </row>
    <row r="19" spans="2:18" ht="28">
      <c r="B19" s="9" t="s">
        <v>361</v>
      </c>
      <c r="C19" s="10" t="s">
        <v>362</v>
      </c>
      <c r="D19" s="162" t="s">
        <v>328</v>
      </c>
      <c r="E19" s="162" t="s">
        <v>328</v>
      </c>
      <c r="F19" s="162"/>
      <c r="G19" s="162"/>
      <c r="H19" s="162"/>
      <c r="I19" s="162"/>
      <c r="J19" s="162"/>
      <c r="K19" s="162"/>
      <c r="L19" s="162"/>
      <c r="M19" s="162"/>
      <c r="N19" s="162"/>
      <c r="O19" s="162"/>
      <c r="P19" s="162"/>
      <c r="Q19" s="162"/>
      <c r="R19" s="162"/>
    </row>
    <row r="20" spans="2:18" ht="42">
      <c r="B20" s="9" t="s">
        <v>363</v>
      </c>
      <c r="C20" s="10" t="s">
        <v>364</v>
      </c>
      <c r="D20" s="162" t="s">
        <v>328</v>
      </c>
      <c r="E20" s="162" t="s">
        <v>328</v>
      </c>
      <c r="F20" s="162"/>
      <c r="G20" s="162"/>
      <c r="H20" s="162"/>
      <c r="I20" s="162"/>
      <c r="J20" s="162"/>
      <c r="K20" s="162"/>
      <c r="L20" s="162"/>
      <c r="M20" s="162"/>
      <c r="N20" s="162"/>
      <c r="O20" s="162"/>
      <c r="P20" s="162"/>
      <c r="Q20" s="162"/>
      <c r="R20" s="162"/>
    </row>
    <row r="21" spans="2:18" ht="28">
      <c r="B21" s="11" t="s">
        <v>365</v>
      </c>
      <c r="C21" s="12" t="s">
        <v>366</v>
      </c>
      <c r="D21" s="162" t="s">
        <v>367</v>
      </c>
      <c r="E21" s="162" t="s">
        <v>368</v>
      </c>
      <c r="F21" s="162"/>
      <c r="G21" s="162"/>
      <c r="H21" s="162"/>
      <c r="I21" s="162"/>
      <c r="J21" s="162"/>
      <c r="K21" s="162"/>
      <c r="L21" s="162"/>
      <c r="M21" s="162"/>
      <c r="N21" s="162"/>
      <c r="O21" s="162"/>
      <c r="P21" s="162"/>
      <c r="Q21" s="162"/>
      <c r="R21" s="162"/>
    </row>
    <row r="22" spans="2:18" ht="42">
      <c r="B22" s="11" t="s">
        <v>369</v>
      </c>
      <c r="C22" s="12" t="s">
        <v>370</v>
      </c>
      <c r="D22" s="162" t="s">
        <v>371</v>
      </c>
      <c r="E22" s="162" t="s">
        <v>367</v>
      </c>
      <c r="F22" s="162"/>
      <c r="G22" s="162"/>
      <c r="H22" s="162"/>
      <c r="I22" s="162"/>
      <c r="J22" s="162"/>
      <c r="K22" s="162"/>
      <c r="L22" s="162"/>
      <c r="M22" s="162"/>
      <c r="N22" s="162"/>
      <c r="O22" s="162"/>
      <c r="P22" s="162"/>
      <c r="Q22" s="162"/>
      <c r="R22" s="162"/>
    </row>
    <row r="23" spans="2:18" ht="28">
      <c r="B23" s="13" t="s">
        <v>372</v>
      </c>
      <c r="C23" s="14" t="s">
        <v>373</v>
      </c>
      <c r="D23" s="162" t="s">
        <v>374</v>
      </c>
      <c r="E23" s="162" t="s">
        <v>374</v>
      </c>
      <c r="F23" s="162"/>
      <c r="G23" s="162"/>
      <c r="H23" s="162"/>
      <c r="I23" s="162"/>
      <c r="J23" s="162"/>
      <c r="K23" s="162"/>
      <c r="L23" s="162"/>
      <c r="M23" s="162"/>
      <c r="N23" s="162"/>
      <c r="O23" s="162"/>
      <c r="P23" s="162"/>
      <c r="Q23" s="162"/>
      <c r="R23" s="162"/>
    </row>
    <row r="24" spans="2:18" ht="36">
      <c r="B24" s="13" t="s">
        <v>375</v>
      </c>
      <c r="C24" s="14" t="s">
        <v>376</v>
      </c>
      <c r="D24" s="163">
        <v>7993</v>
      </c>
      <c r="E24" s="162">
        <v>3441</v>
      </c>
      <c r="F24" s="164"/>
      <c r="G24" s="164"/>
      <c r="H24" s="164"/>
      <c r="I24" s="164"/>
      <c r="J24" s="164"/>
      <c r="K24" s="164"/>
      <c r="L24" s="164"/>
      <c r="M24" s="164"/>
      <c r="N24" s="164"/>
      <c r="O24" s="164"/>
      <c r="P24" s="164"/>
      <c r="Q24" s="164"/>
      <c r="R24" s="164"/>
    </row>
    <row r="25" spans="2:18" ht="24">
      <c r="B25" s="15" t="s">
        <v>377</v>
      </c>
      <c r="C25" s="16" t="s">
        <v>378</v>
      </c>
      <c r="D25" s="165" t="s">
        <v>379</v>
      </c>
      <c r="E25" s="165" t="s">
        <v>379</v>
      </c>
      <c r="F25" s="162"/>
      <c r="G25" s="162"/>
      <c r="H25" s="162"/>
      <c r="I25" s="162"/>
      <c r="J25" s="162"/>
      <c r="K25" s="162"/>
      <c r="L25" s="162"/>
      <c r="M25" s="162"/>
      <c r="N25" s="162"/>
      <c r="O25" s="162"/>
      <c r="P25" s="162"/>
      <c r="Q25" s="162"/>
      <c r="R25" s="162"/>
    </row>
    <row r="26" spans="2:18" ht="24">
      <c r="B26" s="15" t="s">
        <v>380</v>
      </c>
      <c r="C26" s="16" t="s">
        <v>381</v>
      </c>
      <c r="D26" s="166" t="s">
        <v>382</v>
      </c>
      <c r="E26" s="162" t="s">
        <v>382</v>
      </c>
      <c r="F26" s="164"/>
      <c r="G26" s="162"/>
      <c r="H26" s="162"/>
      <c r="I26" s="162"/>
      <c r="J26" s="162"/>
      <c r="K26" s="162"/>
      <c r="L26" s="162"/>
      <c r="M26" s="162"/>
      <c r="N26" s="162"/>
      <c r="O26" s="162"/>
      <c r="P26" s="162"/>
      <c r="Q26" s="162"/>
      <c r="R26" s="162"/>
    </row>
    <row r="27" spans="2:18" ht="14">
      <c r="B27" s="15"/>
      <c r="C27" s="167" t="s">
        <v>383</v>
      </c>
      <c r="D27" s="166"/>
      <c r="E27" s="162"/>
      <c r="F27" s="164"/>
      <c r="G27" s="162"/>
      <c r="H27" s="162"/>
      <c r="I27" s="162"/>
      <c r="J27" s="162"/>
      <c r="K27" s="162"/>
      <c r="L27" s="162"/>
      <c r="M27" s="162"/>
      <c r="N27" s="162"/>
      <c r="O27" s="162"/>
      <c r="P27" s="162"/>
      <c r="Q27" s="162"/>
      <c r="R27" s="162"/>
    </row>
    <row r="28" spans="2:18" ht="42">
      <c r="B28" s="15" t="s">
        <v>384</v>
      </c>
      <c r="C28" s="16" t="s">
        <v>385</v>
      </c>
      <c r="D28" s="168">
        <v>805.4</v>
      </c>
      <c r="E28" s="166" t="s">
        <v>386</v>
      </c>
      <c r="F28" s="164"/>
      <c r="G28" s="162"/>
      <c r="H28" s="162"/>
      <c r="I28" s="162"/>
      <c r="J28" s="162"/>
      <c r="K28" s="162"/>
      <c r="L28" s="162"/>
      <c r="M28" s="162"/>
      <c r="N28" s="162"/>
      <c r="O28" s="162"/>
      <c r="P28" s="162"/>
      <c r="Q28" s="162"/>
      <c r="R28" s="162"/>
    </row>
    <row r="29" spans="2:18" ht="36">
      <c r="B29" s="15" t="s">
        <v>387</v>
      </c>
      <c r="C29" s="16" t="s">
        <v>388</v>
      </c>
      <c r="D29" s="166" t="s">
        <v>389</v>
      </c>
      <c r="E29" s="166" t="s">
        <v>389</v>
      </c>
      <c r="F29" s="164"/>
      <c r="G29" s="162"/>
      <c r="H29" s="162"/>
      <c r="I29" s="162"/>
      <c r="J29" s="162"/>
      <c r="K29" s="162"/>
      <c r="L29" s="162"/>
      <c r="M29" s="162"/>
      <c r="N29" s="162"/>
      <c r="O29" s="162"/>
      <c r="P29" s="162"/>
      <c r="Q29" s="162"/>
      <c r="R29" s="162"/>
    </row>
    <row r="30" spans="2:18" ht="112">
      <c r="B30" s="13" t="s">
        <v>390</v>
      </c>
      <c r="C30" s="17" t="s">
        <v>391</v>
      </c>
      <c r="D30" s="169">
        <f>619568+111677</f>
        <v>731245</v>
      </c>
      <c r="E30" s="166" t="s">
        <v>392</v>
      </c>
      <c r="F30" s="162"/>
      <c r="G30" s="162"/>
      <c r="H30" s="162"/>
      <c r="I30" s="162"/>
      <c r="J30" s="162"/>
      <c r="K30" s="162"/>
      <c r="L30" s="162"/>
      <c r="M30" s="162"/>
      <c r="N30" s="162"/>
      <c r="O30" s="162"/>
      <c r="P30" s="162"/>
      <c r="Q30" s="162"/>
      <c r="R30" s="162"/>
    </row>
    <row r="31" spans="2:18" ht="14">
      <c r="B31" s="13"/>
      <c r="C31" s="167" t="s">
        <v>393</v>
      </c>
      <c r="D31" s="169"/>
      <c r="E31" s="166"/>
      <c r="F31" s="162"/>
      <c r="G31" s="162"/>
      <c r="H31" s="162"/>
      <c r="I31" s="162"/>
      <c r="J31" s="162"/>
      <c r="K31" s="162"/>
      <c r="L31" s="162"/>
      <c r="M31" s="162"/>
      <c r="N31" s="162"/>
      <c r="O31" s="162"/>
      <c r="P31" s="162"/>
      <c r="Q31" s="162"/>
      <c r="R31" s="162"/>
    </row>
    <row r="32" spans="2:18" ht="42">
      <c r="B32" s="13" t="s">
        <v>394</v>
      </c>
      <c r="C32" s="17" t="s">
        <v>395</v>
      </c>
      <c r="D32" s="162" t="s">
        <v>396</v>
      </c>
      <c r="E32" s="162" t="s">
        <v>396</v>
      </c>
      <c r="F32" s="162"/>
      <c r="G32" s="162"/>
      <c r="H32" s="162"/>
      <c r="I32" s="162"/>
      <c r="J32" s="162"/>
      <c r="K32" s="162"/>
      <c r="L32" s="162"/>
      <c r="M32" s="162"/>
      <c r="N32" s="162"/>
      <c r="O32" s="162"/>
      <c r="P32" s="162"/>
      <c r="Q32" s="162"/>
      <c r="R32" s="162"/>
    </row>
    <row r="33" spans="2:18" ht="14">
      <c r="B33" s="18" t="s">
        <v>397</v>
      </c>
      <c r="C33" s="19" t="s">
        <v>313</v>
      </c>
      <c r="D33" s="170">
        <v>43497</v>
      </c>
      <c r="E33" s="171">
        <v>44743</v>
      </c>
      <c r="F33" s="170"/>
      <c r="G33" s="170"/>
      <c r="H33" s="170"/>
      <c r="I33" s="170"/>
      <c r="J33" s="162"/>
      <c r="K33" s="162"/>
      <c r="L33" s="162"/>
      <c r="M33" s="162"/>
      <c r="N33" s="162"/>
      <c r="O33" s="162"/>
      <c r="P33" s="162"/>
      <c r="Q33" s="162"/>
      <c r="R33" s="162"/>
    </row>
    <row r="34" spans="2:18" ht="14">
      <c r="B34" s="20" t="s">
        <v>398</v>
      </c>
      <c r="C34" s="19" t="s">
        <v>315</v>
      </c>
      <c r="D34" s="170">
        <v>47361</v>
      </c>
      <c r="E34" s="171">
        <v>46568</v>
      </c>
      <c r="F34" s="170"/>
      <c r="G34" s="170"/>
      <c r="H34" s="170"/>
      <c r="I34" s="170"/>
      <c r="J34" s="162"/>
      <c r="K34" s="162"/>
      <c r="L34" s="162"/>
      <c r="M34" s="162"/>
      <c r="N34" s="162"/>
      <c r="O34" s="162"/>
      <c r="P34" s="162"/>
      <c r="Q34" s="162"/>
      <c r="R34" s="162"/>
    </row>
    <row r="35" spans="2:18" ht="24">
      <c r="B35" s="20" t="s">
        <v>399</v>
      </c>
      <c r="C35" s="19" t="s">
        <v>400</v>
      </c>
      <c r="D35" s="162" t="s">
        <v>401</v>
      </c>
      <c r="E35" s="162" t="s">
        <v>401</v>
      </c>
      <c r="F35" s="162"/>
      <c r="G35" s="162"/>
      <c r="H35" s="162"/>
      <c r="I35" s="162"/>
      <c r="J35" s="162"/>
      <c r="K35" s="162"/>
      <c r="L35" s="162"/>
      <c r="M35" s="162"/>
      <c r="N35" s="162"/>
      <c r="O35" s="162"/>
      <c r="P35" s="162"/>
      <c r="Q35" s="162"/>
      <c r="R35" s="162"/>
    </row>
    <row r="36" spans="2:18" ht="28">
      <c r="B36" s="20" t="s">
        <v>402</v>
      </c>
      <c r="C36" s="21" t="s">
        <v>403</v>
      </c>
      <c r="D36" s="172" t="s">
        <v>328</v>
      </c>
      <c r="E36" s="172" t="s">
        <v>328</v>
      </c>
      <c r="F36" s="173"/>
      <c r="G36" s="173"/>
      <c r="H36" s="173"/>
      <c r="I36" s="173"/>
      <c r="J36" s="162"/>
      <c r="K36" s="162"/>
      <c r="L36" s="162"/>
      <c r="M36" s="162"/>
      <c r="N36" s="162"/>
      <c r="O36" s="162"/>
      <c r="P36" s="162"/>
      <c r="Q36" s="162"/>
      <c r="R36" s="162"/>
    </row>
    <row r="37" spans="2:18" ht="36">
      <c r="B37" s="20" t="s">
        <v>404</v>
      </c>
      <c r="C37" s="21" t="s">
        <v>405</v>
      </c>
      <c r="D37" s="172"/>
      <c r="E37" s="172"/>
      <c r="F37" s="173"/>
      <c r="G37" s="173"/>
      <c r="H37" s="173"/>
      <c r="I37" s="173"/>
      <c r="J37" s="162"/>
      <c r="K37" s="162"/>
      <c r="L37" s="162"/>
      <c r="M37" s="162"/>
      <c r="N37" s="162"/>
      <c r="O37" s="162"/>
      <c r="P37" s="162"/>
      <c r="Q37" s="162"/>
      <c r="R37" s="162"/>
    </row>
    <row r="38" spans="2:18" ht="28">
      <c r="B38" s="20" t="s">
        <v>406</v>
      </c>
      <c r="C38" s="21" t="s">
        <v>407</v>
      </c>
      <c r="D38" s="172" t="s">
        <v>328</v>
      </c>
      <c r="E38" s="172" t="s">
        <v>328</v>
      </c>
      <c r="F38" s="173"/>
      <c r="G38" s="173"/>
      <c r="H38" s="173"/>
      <c r="I38" s="173"/>
      <c r="J38" s="162"/>
      <c r="K38" s="162"/>
      <c r="L38" s="162"/>
      <c r="M38" s="162"/>
      <c r="N38" s="162"/>
      <c r="O38" s="162"/>
      <c r="P38" s="162"/>
      <c r="Q38" s="162"/>
      <c r="R38" s="162"/>
    </row>
    <row r="39" spans="2:18" ht="28">
      <c r="B39" s="20" t="s">
        <v>408</v>
      </c>
      <c r="C39" s="21" t="s">
        <v>409</v>
      </c>
      <c r="D39" s="172" t="s">
        <v>410</v>
      </c>
      <c r="E39" s="172" t="s">
        <v>410</v>
      </c>
      <c r="F39" s="173"/>
      <c r="G39" s="173"/>
      <c r="H39" s="173"/>
      <c r="I39" s="173"/>
      <c r="J39" s="162"/>
      <c r="K39" s="162"/>
      <c r="L39" s="162"/>
      <c r="M39" s="162"/>
      <c r="N39" s="162"/>
      <c r="O39" s="162"/>
      <c r="P39" s="162"/>
      <c r="Q39" s="162"/>
      <c r="R39" s="162"/>
    </row>
    <row r="40" spans="2:18" ht="24">
      <c r="B40" s="20" t="s">
        <v>411</v>
      </c>
      <c r="C40" s="21" t="s">
        <v>314</v>
      </c>
      <c r="D40" s="172">
        <v>47361</v>
      </c>
      <c r="E40" s="172">
        <v>46568</v>
      </c>
      <c r="F40" s="173"/>
      <c r="G40" s="173"/>
      <c r="H40" s="173"/>
      <c r="I40" s="173"/>
      <c r="J40" s="162"/>
      <c r="K40" s="162"/>
      <c r="L40" s="162"/>
      <c r="M40" s="162"/>
      <c r="N40" s="162"/>
      <c r="O40" s="162"/>
      <c r="P40" s="162"/>
      <c r="Q40" s="162"/>
      <c r="R40" s="162"/>
    </row>
    <row r="41" spans="2:18" ht="56">
      <c r="B41" s="22" t="s">
        <v>412</v>
      </c>
      <c r="C41" s="23" t="s">
        <v>413</v>
      </c>
      <c r="D41" s="172" t="s">
        <v>414</v>
      </c>
      <c r="E41" s="172"/>
      <c r="F41" s="172"/>
      <c r="G41" s="172"/>
      <c r="H41" s="172"/>
      <c r="I41" s="172"/>
      <c r="J41" s="172"/>
      <c r="K41" s="172"/>
      <c r="L41" s="172"/>
      <c r="M41" s="172"/>
      <c r="N41" s="172"/>
      <c r="O41" s="172"/>
      <c r="P41" s="172"/>
      <c r="Q41" s="172"/>
      <c r="R41" s="172"/>
    </row>
    <row r="42" spans="2:18" ht="56">
      <c r="B42" s="24" t="s">
        <v>415</v>
      </c>
      <c r="C42" s="23" t="s">
        <v>416</v>
      </c>
      <c r="D42" s="174" t="s">
        <v>414</v>
      </c>
      <c r="E42" s="174" t="s">
        <v>417</v>
      </c>
      <c r="F42" s="174"/>
      <c r="G42" s="174"/>
      <c r="H42" s="174"/>
      <c r="I42" s="174"/>
      <c r="J42" s="174"/>
      <c r="K42" s="174"/>
      <c r="L42" s="174"/>
      <c r="M42" s="174"/>
      <c r="N42" s="174"/>
      <c r="O42" s="174"/>
      <c r="P42" s="174"/>
      <c r="Q42" s="174"/>
      <c r="R42" s="174"/>
    </row>
    <row r="43" spans="2:18" ht="42">
      <c r="B43" s="25" t="s">
        <v>418</v>
      </c>
      <c r="C43" s="26" t="s">
        <v>419</v>
      </c>
      <c r="D43" s="162" t="s">
        <v>328</v>
      </c>
      <c r="E43" s="162"/>
      <c r="F43" s="162"/>
      <c r="G43" s="162"/>
      <c r="H43" s="162"/>
      <c r="I43" s="162"/>
      <c r="J43" s="162"/>
      <c r="K43" s="162"/>
      <c r="L43" s="162"/>
      <c r="M43" s="162"/>
      <c r="N43" s="162"/>
      <c r="O43" s="162"/>
      <c r="P43" s="162"/>
      <c r="Q43" s="162"/>
      <c r="R43" s="162"/>
    </row>
    <row r="44" spans="2:18" ht="56">
      <c r="B44" s="25" t="s">
        <v>420</v>
      </c>
      <c r="C44" s="26" t="s">
        <v>421</v>
      </c>
      <c r="D44" s="162" t="s">
        <v>422</v>
      </c>
      <c r="E44" s="162"/>
      <c r="F44" s="162"/>
      <c r="G44" s="162"/>
      <c r="H44" s="162"/>
      <c r="I44" s="162"/>
      <c r="J44" s="162"/>
      <c r="K44" s="162"/>
      <c r="L44" s="162"/>
      <c r="M44" s="162"/>
      <c r="N44" s="162"/>
      <c r="O44" s="162"/>
      <c r="P44" s="162"/>
      <c r="Q44" s="162"/>
      <c r="R44" s="162"/>
    </row>
    <row r="45" spans="2:18">
      <c r="B45" s="175"/>
      <c r="C45" s="175"/>
      <c r="D45" s="175"/>
      <c r="E45" s="175"/>
      <c r="F45" s="175"/>
      <c r="G45" s="175"/>
      <c r="H45" s="175"/>
      <c r="I45" s="175"/>
      <c r="J45" s="175"/>
      <c r="K45" s="175"/>
      <c r="L45" s="175"/>
      <c r="M45" s="175"/>
      <c r="N45" s="175"/>
      <c r="O45" s="175"/>
      <c r="P45" s="175"/>
      <c r="Q45" s="175"/>
      <c r="R45" s="175"/>
    </row>
    <row r="46" spans="2:18" ht="42">
      <c r="B46" s="175"/>
      <c r="C46" s="176" t="s">
        <v>423</v>
      </c>
      <c r="D46" s="162">
        <v>619</v>
      </c>
      <c r="E46" s="162"/>
      <c r="F46" s="162"/>
      <c r="G46" s="162"/>
      <c r="H46" s="162"/>
      <c r="I46" s="162"/>
      <c r="J46" s="162"/>
      <c r="K46" s="162"/>
      <c r="L46" s="162"/>
      <c r="M46" s="162"/>
      <c r="N46" s="162"/>
      <c r="O46" s="162"/>
      <c r="P46" s="162"/>
      <c r="Q46" s="162"/>
      <c r="R46" s="162"/>
    </row>
    <row r="47" spans="2:18" ht="14">
      <c r="B47" s="175"/>
      <c r="C47" s="177" t="s">
        <v>424</v>
      </c>
      <c r="D47" s="162">
        <v>229</v>
      </c>
      <c r="E47" s="162"/>
      <c r="F47" s="162"/>
      <c r="G47" s="162"/>
      <c r="H47" s="162"/>
      <c r="I47" s="162"/>
      <c r="J47" s="162"/>
      <c r="K47" s="162"/>
      <c r="L47" s="162"/>
      <c r="M47" s="162"/>
      <c r="N47" s="162"/>
      <c r="O47" s="162"/>
      <c r="P47" s="162"/>
      <c r="Q47" s="162"/>
      <c r="R47" s="162"/>
    </row>
    <row r="48" spans="2:18" ht="14">
      <c r="B48" s="175"/>
      <c r="C48" s="177" t="s">
        <v>425</v>
      </c>
      <c r="D48" s="162">
        <v>390</v>
      </c>
      <c r="E48" s="162"/>
      <c r="F48" s="162"/>
      <c r="G48" s="162"/>
      <c r="H48" s="162"/>
      <c r="I48" s="162"/>
      <c r="J48" s="162"/>
      <c r="K48" s="162"/>
      <c r="L48" s="162"/>
      <c r="M48" s="162"/>
      <c r="N48" s="162"/>
      <c r="O48" s="162"/>
      <c r="P48" s="162"/>
      <c r="Q48" s="162"/>
      <c r="R48" s="162"/>
    </row>
    <row r="49" spans="2:18">
      <c r="B49" s="175"/>
      <c r="C49" s="178"/>
      <c r="D49" s="179"/>
      <c r="E49" s="179"/>
      <c r="F49" s="179"/>
      <c r="G49" s="179"/>
      <c r="H49" s="179"/>
      <c r="I49" s="179"/>
      <c r="J49" s="179"/>
      <c r="K49" s="179"/>
      <c r="L49" s="179"/>
      <c r="M49" s="179"/>
      <c r="N49" s="179"/>
      <c r="O49" s="179"/>
      <c r="P49" s="179"/>
      <c r="Q49" s="179"/>
      <c r="R49" s="179"/>
    </row>
    <row r="50" spans="2:18" ht="30">
      <c r="B50" s="175"/>
      <c r="C50" s="176" t="s">
        <v>426</v>
      </c>
      <c r="D50" s="162">
        <v>386</v>
      </c>
      <c r="E50" s="162"/>
      <c r="F50" s="162"/>
      <c r="G50" s="162"/>
      <c r="H50" s="162"/>
      <c r="I50" s="162"/>
      <c r="J50" s="162"/>
      <c r="K50" s="162"/>
      <c r="L50" s="162"/>
      <c r="M50" s="162"/>
      <c r="N50" s="162"/>
      <c r="O50" s="162"/>
      <c r="P50" s="162"/>
      <c r="Q50" s="162"/>
      <c r="R50" s="162"/>
    </row>
    <row r="51" spans="2:18" ht="14">
      <c r="B51" s="175"/>
      <c r="C51" s="177" t="s">
        <v>424</v>
      </c>
      <c r="D51" s="162">
        <v>230</v>
      </c>
      <c r="E51" s="162"/>
      <c r="F51" s="162"/>
      <c r="G51" s="162"/>
      <c r="H51" s="162"/>
      <c r="I51" s="162"/>
      <c r="J51" s="162"/>
      <c r="K51" s="162"/>
      <c r="L51" s="162"/>
      <c r="M51" s="162"/>
      <c r="N51" s="162"/>
      <c r="O51" s="162"/>
      <c r="P51" s="162"/>
      <c r="Q51" s="162"/>
      <c r="R51" s="162"/>
    </row>
    <row r="52" spans="2:18" ht="14">
      <c r="B52" s="175"/>
      <c r="C52" s="177" t="s">
        <v>425</v>
      </c>
      <c r="D52" s="162">
        <v>156</v>
      </c>
      <c r="E52" s="162"/>
      <c r="F52" s="162"/>
      <c r="G52" s="162"/>
      <c r="H52" s="162"/>
      <c r="I52" s="162"/>
      <c r="J52" s="162"/>
      <c r="K52" s="162"/>
      <c r="L52" s="162"/>
      <c r="M52" s="162"/>
      <c r="N52" s="162"/>
      <c r="O52" s="162"/>
      <c r="P52" s="162"/>
      <c r="Q52" s="162"/>
      <c r="R52" s="162"/>
    </row>
    <row r="53" spans="2:18">
      <c r="B53" s="175"/>
      <c r="C53" s="180"/>
      <c r="D53" s="179"/>
      <c r="E53" s="179"/>
      <c r="F53" s="179"/>
      <c r="G53" s="179"/>
      <c r="H53" s="179"/>
      <c r="I53" s="179"/>
      <c r="J53" s="179"/>
      <c r="K53" s="179"/>
      <c r="L53" s="179"/>
      <c r="M53" s="179"/>
      <c r="N53" s="179"/>
      <c r="O53" s="179"/>
      <c r="P53" s="179"/>
      <c r="Q53" s="179"/>
      <c r="R53" s="179"/>
    </row>
    <row r="54" spans="2:18" ht="30">
      <c r="B54" s="175"/>
      <c r="C54" s="76" t="s">
        <v>427</v>
      </c>
      <c r="D54" s="162" t="s">
        <v>414</v>
      </c>
      <c r="E54" s="162"/>
      <c r="F54" s="162"/>
      <c r="G54" s="162"/>
      <c r="H54" s="162"/>
      <c r="I54" s="162"/>
      <c r="J54" s="162"/>
      <c r="K54" s="162"/>
      <c r="L54" s="162"/>
      <c r="M54" s="162"/>
      <c r="N54" s="162"/>
      <c r="O54" s="162"/>
      <c r="P54" s="162"/>
      <c r="Q54" s="162"/>
      <c r="R54" s="162"/>
    </row>
    <row r="55" spans="2:18" ht="28">
      <c r="B55" s="175"/>
      <c r="C55" s="176" t="s">
        <v>428</v>
      </c>
      <c r="D55" s="162">
        <v>2</v>
      </c>
      <c r="E55" s="162"/>
      <c r="F55" s="162"/>
      <c r="G55" s="162"/>
      <c r="H55" s="162"/>
      <c r="I55" s="162"/>
      <c r="J55" s="162"/>
      <c r="K55" s="162"/>
      <c r="L55" s="162"/>
      <c r="M55" s="162"/>
      <c r="N55" s="162"/>
      <c r="O55" s="162"/>
      <c r="P55" s="162"/>
      <c r="Q55" s="162"/>
      <c r="R55" s="162"/>
    </row>
    <row r="56" spans="2:18" ht="28">
      <c r="B56" s="175"/>
      <c r="C56" s="176" t="s">
        <v>429</v>
      </c>
      <c r="D56" s="162">
        <v>3</v>
      </c>
      <c r="E56" s="162"/>
      <c r="F56" s="162"/>
      <c r="G56" s="162"/>
      <c r="H56" s="162"/>
      <c r="I56" s="162"/>
      <c r="J56" s="162"/>
      <c r="K56" s="162"/>
      <c r="L56" s="162"/>
      <c r="M56" s="162"/>
      <c r="N56" s="162"/>
      <c r="O56" s="162"/>
      <c r="P56" s="162"/>
      <c r="Q56" s="162"/>
      <c r="R56" s="162"/>
    </row>
    <row r="57" spans="2:18" ht="56">
      <c r="C57" s="181" t="s">
        <v>430</v>
      </c>
      <c r="D57" s="153"/>
      <c r="E57" s="153"/>
      <c r="F57" s="153"/>
      <c r="G57" s="153"/>
      <c r="H57" s="153"/>
      <c r="I57" s="153"/>
      <c r="J57" s="153"/>
      <c r="K57" s="153"/>
      <c r="L57" s="153"/>
      <c r="M57" s="153"/>
      <c r="N57" s="153"/>
      <c r="O57" s="153"/>
      <c r="P57" s="153"/>
      <c r="Q57" s="153"/>
      <c r="R57" s="153"/>
    </row>
    <row r="58" spans="2:18" ht="56">
      <c r="C58" s="181" t="s">
        <v>431</v>
      </c>
      <c r="D58" s="153"/>
      <c r="E58" s="153"/>
      <c r="F58" s="153"/>
      <c r="G58" s="153"/>
      <c r="H58" s="153"/>
      <c r="I58" s="153"/>
      <c r="J58" s="153"/>
      <c r="K58" s="153"/>
      <c r="L58" s="153"/>
      <c r="M58" s="153"/>
      <c r="N58" s="153"/>
      <c r="O58" s="153"/>
      <c r="P58" s="153"/>
      <c r="Q58" s="153"/>
      <c r="R58" s="153"/>
    </row>
    <row r="59" spans="2:18">
      <c r="C59" s="182"/>
    </row>
    <row r="60" spans="2:18" ht="15">
      <c r="D60" s="139" t="s">
        <v>432</v>
      </c>
    </row>
    <row r="61" spans="2:18">
      <c r="D61" s="183" t="s">
        <v>433</v>
      </c>
    </row>
    <row r="62" spans="2:18">
      <c r="D62" s="184" t="s">
        <v>434</v>
      </c>
    </row>
    <row r="63" spans="2:18">
      <c r="D63" s="184" t="s">
        <v>435</v>
      </c>
    </row>
    <row r="64" spans="2:18">
      <c r="D64" s="184" t="s">
        <v>436</v>
      </c>
    </row>
    <row r="65" spans="4:4">
      <c r="D65" s="184" t="s">
        <v>437</v>
      </c>
    </row>
    <row r="66" spans="4:4">
      <c r="D66" s="184" t="s">
        <v>438</v>
      </c>
    </row>
    <row r="68" spans="4:4" ht="15">
      <c r="D68" s="185" t="s">
        <v>439</v>
      </c>
    </row>
  </sheetData>
  <mergeCells count="2">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149"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26 C28:C30 C32">
    <cfRule type="expression" dxfId="148" priority="1">
      <formula>#REF!="Owned"</formula>
    </cfRule>
  </conditionalFormatting>
  <dataValidations count="2">
    <dataValidation type="list" allowBlank="1" showInputMessage="1" showErrorMessage="1" sqref="E6" xr:uid="{AFE212BF-AC8B-4E5B-AADA-79C2129E1BCA}">
      <formula1>"Yes, No"</formula1>
    </dataValidation>
    <dataValidation type="list" allowBlank="1" showInputMessage="1" showErrorMessage="1" sqref="D35:E35" xr:uid="{12E14DC6-200B-4924-9F61-EBDC021C77CF}">
      <formula1>"Y,N"</formula1>
    </dataValidation>
  </dataValidations>
  <hyperlinks>
    <hyperlink ref="D5" r:id="rId1" xr:uid="{4E024938-8541-4E35-9708-7CE1BCC221E0}"/>
    <hyperlink ref="D9" r:id="rId2" xr:uid="{7EE78B79-12B5-46EB-A4E2-921D2A6CD69B}"/>
  </hyperlinks>
  <pageMargins left="0.7" right="0.7" top="0.75" bottom="0.75" header="0.3" footer="0.3"/>
  <pageSetup scale="22" orientation="portrait" horizontalDpi="90" verticalDpi="90" r:id="rId3"/>
  <headerFooter>
    <oddHeader>&amp;C&amp;"Calibri"&amp;10&amp;K000000Internal&amp;1#_x000D_&amp;"Arial"&amp;10&amp;K000000</oddHeader>
  </headerFooter>
  <colBreaks count="1" manualBreakCount="1">
    <brk id="8" max="1048575" man="1"/>
  </colBreaks>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875A-69D5-4FBF-B1E0-C653379FB870}">
  <sheetPr codeName="Feuil4">
    <tabColor rgb="FF00B050"/>
    <pageSetUpPr fitToPage="1"/>
  </sheetPr>
  <dimension ref="B2:R68"/>
  <sheetViews>
    <sheetView topLeftCell="A50" zoomScale="70" zoomScaleNormal="70" workbookViewId="0">
      <selection activeCell="G25" sqref="G25"/>
    </sheetView>
  </sheetViews>
  <sheetFormatPr baseColWidth="10" defaultColWidth="9.1640625" defaultRowHeight="13"/>
  <cols>
    <col min="1" max="1" width="19.5" style="1" customWidth="1"/>
    <col min="2" max="2" width="24.1640625" style="1" customWidth="1"/>
    <col min="3" max="3" width="25.5" style="1" customWidth="1"/>
    <col min="4" max="5" width="26.83203125" style="1" customWidth="1"/>
    <col min="6" max="19" width="22.83203125" style="1" customWidth="1"/>
    <col min="20" max="16384" width="9.1640625" style="1"/>
  </cols>
  <sheetData>
    <row r="2" spans="2:18">
      <c r="C2" s="506" t="s">
        <v>323</v>
      </c>
      <c r="D2" s="100">
        <v>45919</v>
      </c>
      <c r="E2" s="315"/>
      <c r="G2" s="3"/>
      <c r="H2" s="3"/>
      <c r="I2" s="3"/>
      <c r="J2" s="4"/>
    </row>
    <row r="4" spans="2:18">
      <c r="C4" s="316" t="s">
        <v>324</v>
      </c>
      <c r="D4" s="82" t="s">
        <v>9</v>
      </c>
      <c r="E4" s="82" t="s">
        <v>9</v>
      </c>
      <c r="I4" s="83"/>
      <c r="J4" s="5"/>
    </row>
    <row r="6" spans="2:18">
      <c r="B6" s="1" t="s">
        <v>326</v>
      </c>
      <c r="C6" s="589" t="s">
        <v>327</v>
      </c>
      <c r="D6" s="590"/>
      <c r="E6" s="6" t="s">
        <v>414</v>
      </c>
      <c r="F6" s="101"/>
      <c r="G6" s="101"/>
      <c r="H6" s="101"/>
    </row>
    <row r="7" spans="2:18">
      <c r="B7" s="1" t="s">
        <v>326</v>
      </c>
      <c r="C7" s="589" t="s">
        <v>329</v>
      </c>
      <c r="D7" s="590"/>
      <c r="E7" s="6" t="s">
        <v>440</v>
      </c>
      <c r="F7" s="101"/>
      <c r="G7" s="101"/>
      <c r="H7" s="101"/>
    </row>
    <row r="8" spans="2:18">
      <c r="C8" s="113"/>
      <c r="D8" s="113"/>
      <c r="E8" s="42"/>
      <c r="F8" s="101"/>
      <c r="G8" s="101"/>
      <c r="H8" s="101"/>
    </row>
    <row r="9" spans="2:18">
      <c r="C9" s="318" t="s">
        <v>441</v>
      </c>
      <c r="D9" s="67"/>
      <c r="E9" s="67"/>
      <c r="F9" s="67"/>
      <c r="G9" s="67"/>
      <c r="H9" s="67"/>
      <c r="I9" s="67"/>
      <c r="J9" s="67"/>
      <c r="K9" s="67"/>
      <c r="L9" s="67"/>
      <c r="M9" s="67"/>
      <c r="N9" s="67"/>
      <c r="O9" s="67"/>
      <c r="P9" s="67"/>
      <c r="Q9" s="67"/>
    </row>
    <row r="10" spans="2:18" ht="14">
      <c r="C10" s="104" t="s">
        <v>331</v>
      </c>
      <c r="D10" s="319" t="s">
        <v>442</v>
      </c>
      <c r="E10" s="114" t="s">
        <v>443</v>
      </c>
      <c r="F10" s="114" t="s">
        <v>334</v>
      </c>
      <c r="G10" s="114" t="s">
        <v>335</v>
      </c>
      <c r="H10" s="114" t="s">
        <v>336</v>
      </c>
      <c r="I10" s="114" t="s">
        <v>337</v>
      </c>
      <c r="J10" s="114" t="s">
        <v>338</v>
      </c>
      <c r="K10" s="114" t="s">
        <v>339</v>
      </c>
      <c r="L10" s="114" t="s">
        <v>340</v>
      </c>
      <c r="M10" s="114" t="s">
        <v>341</v>
      </c>
      <c r="N10" s="114" t="s">
        <v>342</v>
      </c>
      <c r="O10" s="114" t="s">
        <v>343</v>
      </c>
      <c r="P10" s="114" t="s">
        <v>344</v>
      </c>
      <c r="Q10" s="114" t="s">
        <v>345</v>
      </c>
      <c r="R10" s="114" t="s">
        <v>346</v>
      </c>
    </row>
    <row r="11" spans="2:18" ht="14">
      <c r="C11" s="104" t="s">
        <v>299</v>
      </c>
      <c r="D11" s="84" t="s">
        <v>444</v>
      </c>
      <c r="E11" s="84" t="s">
        <v>444</v>
      </c>
      <c r="F11" s="84"/>
      <c r="G11" s="84"/>
      <c r="H11" s="84"/>
      <c r="I11" s="84"/>
      <c r="J11" s="84"/>
      <c r="K11" s="84"/>
      <c r="L11" s="84"/>
      <c r="M11" s="84"/>
      <c r="N11" s="84"/>
      <c r="O11" s="84"/>
      <c r="P11" s="84"/>
      <c r="Q11" s="84"/>
      <c r="R11" s="84"/>
    </row>
    <row r="12" spans="2:18">
      <c r="C12" s="68"/>
      <c r="D12" s="320"/>
      <c r="E12" s="321"/>
      <c r="F12" s="321"/>
      <c r="G12" s="321"/>
      <c r="H12" s="321"/>
      <c r="I12" s="321"/>
      <c r="J12" s="322"/>
      <c r="K12" s="322"/>
      <c r="L12" s="322"/>
      <c r="M12" s="322"/>
      <c r="N12" s="322"/>
      <c r="O12" s="322"/>
      <c r="P12" s="322"/>
      <c r="Q12" s="322"/>
      <c r="R12" s="322"/>
    </row>
    <row r="13" spans="2:18" ht="24">
      <c r="B13" s="7" t="s">
        <v>348</v>
      </c>
      <c r="C13" s="8" t="s">
        <v>349</v>
      </c>
      <c r="D13" s="118" t="s">
        <v>445</v>
      </c>
      <c r="E13" s="118" t="s">
        <v>445</v>
      </c>
      <c r="F13" s="118"/>
      <c r="G13" s="118"/>
      <c r="H13" s="118"/>
      <c r="I13" s="118"/>
      <c r="J13" s="118"/>
      <c r="K13" s="118"/>
      <c r="L13" s="118"/>
      <c r="M13" s="118"/>
      <c r="N13" s="118"/>
      <c r="O13" s="118"/>
      <c r="P13" s="118"/>
      <c r="Q13" s="118"/>
      <c r="R13" s="118"/>
    </row>
    <row r="14" spans="2:18" ht="14">
      <c r="B14" s="7" t="s">
        <v>352</v>
      </c>
      <c r="C14" s="8" t="s">
        <v>297</v>
      </c>
      <c r="D14" s="85" t="s">
        <v>11</v>
      </c>
      <c r="E14" s="85" t="s">
        <v>11</v>
      </c>
      <c r="F14" s="85"/>
      <c r="G14" s="85"/>
      <c r="H14" s="85"/>
      <c r="I14" s="85"/>
      <c r="J14" s="85"/>
      <c r="K14" s="85"/>
      <c r="L14" s="85"/>
      <c r="M14" s="85"/>
      <c r="N14" s="85"/>
      <c r="O14" s="85"/>
      <c r="P14" s="85"/>
      <c r="Q14" s="85"/>
      <c r="R14" s="85"/>
    </row>
    <row r="15" spans="2:18" ht="24">
      <c r="B15" s="7" t="s">
        <v>353</v>
      </c>
      <c r="C15" s="8" t="s">
        <v>354</v>
      </c>
      <c r="D15" s="85" t="s">
        <v>12</v>
      </c>
      <c r="E15" s="85" t="s">
        <v>12</v>
      </c>
      <c r="F15" s="85"/>
      <c r="G15" s="85"/>
      <c r="H15" s="85"/>
      <c r="I15" s="85"/>
      <c r="J15" s="85"/>
      <c r="K15" s="85"/>
      <c r="L15" s="85"/>
      <c r="M15" s="85"/>
      <c r="N15" s="85"/>
      <c r="O15" s="85"/>
      <c r="P15" s="85"/>
      <c r="Q15" s="85"/>
      <c r="R15" s="85"/>
    </row>
    <row r="16" spans="2:18" ht="14">
      <c r="B16" s="7" t="s">
        <v>355</v>
      </c>
      <c r="C16" s="8" t="s">
        <v>356</v>
      </c>
      <c r="D16" s="85">
        <v>1140</v>
      </c>
      <c r="E16" s="85">
        <v>1140</v>
      </c>
      <c r="F16" s="85"/>
      <c r="G16" s="85"/>
      <c r="H16" s="85"/>
      <c r="I16" s="85"/>
      <c r="J16" s="85"/>
      <c r="K16" s="85"/>
      <c r="L16" s="85"/>
      <c r="M16" s="85"/>
      <c r="N16" s="85"/>
      <c r="O16" s="85"/>
      <c r="P16" s="85"/>
      <c r="Q16" s="85"/>
      <c r="R16" s="85"/>
    </row>
    <row r="17" spans="2:18" ht="14">
      <c r="B17" s="7" t="s">
        <v>357</v>
      </c>
      <c r="C17" s="8" t="s">
        <v>294</v>
      </c>
      <c r="D17" s="85" t="s">
        <v>10</v>
      </c>
      <c r="E17" s="85" t="s">
        <v>10</v>
      </c>
      <c r="F17" s="85"/>
      <c r="G17" s="85"/>
      <c r="H17" s="85"/>
      <c r="I17" s="85"/>
      <c r="J17" s="85"/>
      <c r="K17" s="85"/>
      <c r="L17" s="85"/>
      <c r="M17" s="85"/>
      <c r="N17" s="85"/>
      <c r="O17" s="85"/>
      <c r="P17" s="85"/>
      <c r="Q17" s="85"/>
      <c r="R17" s="85"/>
    </row>
    <row r="18" spans="2:18" ht="14">
      <c r="B18" s="9" t="s">
        <v>358</v>
      </c>
      <c r="C18" s="10" t="s">
        <v>359</v>
      </c>
      <c r="D18" s="85" t="s">
        <v>360</v>
      </c>
      <c r="E18" s="85" t="s">
        <v>446</v>
      </c>
      <c r="F18" s="85"/>
      <c r="G18" s="85"/>
      <c r="H18" s="85"/>
      <c r="I18" s="85"/>
      <c r="J18" s="85"/>
      <c r="K18" s="85"/>
      <c r="L18" s="85"/>
      <c r="M18" s="85"/>
      <c r="N18" s="85"/>
      <c r="O18" s="85"/>
      <c r="P18" s="85"/>
      <c r="Q18" s="85"/>
      <c r="R18" s="85"/>
    </row>
    <row r="19" spans="2:18" ht="28">
      <c r="B19" s="9" t="s">
        <v>361</v>
      </c>
      <c r="C19" s="10" t="s">
        <v>362</v>
      </c>
      <c r="D19" s="85" t="s">
        <v>414</v>
      </c>
      <c r="E19" s="85" t="s">
        <v>414</v>
      </c>
      <c r="F19" s="85"/>
      <c r="G19" s="85"/>
      <c r="H19" s="85"/>
      <c r="I19" s="85"/>
      <c r="J19" s="85"/>
      <c r="K19" s="85"/>
      <c r="L19" s="85"/>
      <c r="M19" s="85"/>
      <c r="N19" s="85"/>
      <c r="O19" s="85"/>
      <c r="P19" s="85"/>
      <c r="Q19" s="85"/>
      <c r="R19" s="85"/>
    </row>
    <row r="20" spans="2:18" ht="42">
      <c r="B20" s="9" t="s">
        <v>363</v>
      </c>
      <c r="C20" s="10" t="s">
        <v>364</v>
      </c>
      <c r="D20" s="85" t="s">
        <v>414</v>
      </c>
      <c r="E20" s="85" t="s">
        <v>414</v>
      </c>
      <c r="F20" s="85"/>
      <c r="G20" s="85"/>
      <c r="H20" s="85"/>
      <c r="I20" s="85"/>
      <c r="J20" s="85"/>
      <c r="K20" s="85"/>
      <c r="L20" s="85"/>
      <c r="M20" s="85"/>
      <c r="N20" s="85"/>
      <c r="O20" s="85"/>
      <c r="P20" s="85"/>
      <c r="Q20" s="85"/>
      <c r="R20" s="85"/>
    </row>
    <row r="21" spans="2:18" ht="14">
      <c r="B21" s="11" t="s">
        <v>365</v>
      </c>
      <c r="C21" s="12" t="s">
        <v>366</v>
      </c>
      <c r="D21" s="85" t="s">
        <v>447</v>
      </c>
      <c r="E21" s="85" t="s">
        <v>447</v>
      </c>
      <c r="F21" s="85"/>
      <c r="G21" s="85"/>
      <c r="H21" s="85"/>
      <c r="I21" s="85"/>
      <c r="J21" s="85"/>
      <c r="K21" s="85"/>
      <c r="L21" s="85"/>
      <c r="M21" s="85"/>
      <c r="N21" s="85"/>
      <c r="O21" s="85"/>
      <c r="P21" s="85"/>
      <c r="Q21" s="85"/>
      <c r="R21" s="85"/>
    </row>
    <row r="22" spans="2:18" ht="24">
      <c r="B22" s="11" t="s">
        <v>369</v>
      </c>
      <c r="C22" s="12" t="s">
        <v>370</v>
      </c>
      <c r="D22" s="85" t="s">
        <v>448</v>
      </c>
      <c r="E22" s="85" t="s">
        <v>448</v>
      </c>
      <c r="F22" s="85"/>
      <c r="G22" s="85"/>
      <c r="H22" s="85"/>
      <c r="I22" s="85"/>
      <c r="J22" s="85"/>
      <c r="K22" s="85"/>
      <c r="L22" s="85"/>
      <c r="M22" s="85"/>
      <c r="N22" s="85"/>
      <c r="O22" s="85"/>
      <c r="P22" s="85"/>
      <c r="Q22" s="85"/>
      <c r="R22" s="85"/>
    </row>
    <row r="23" spans="2:18" ht="14">
      <c r="B23" s="13"/>
      <c r="C23" s="87" t="s">
        <v>374</v>
      </c>
      <c r="D23" s="131" t="s">
        <v>374</v>
      </c>
      <c r="E23" s="131" t="s">
        <v>374</v>
      </c>
      <c r="F23" s="131"/>
      <c r="G23" s="131"/>
      <c r="H23" s="131"/>
      <c r="I23" s="131"/>
      <c r="J23" s="131"/>
      <c r="K23" s="131"/>
      <c r="L23" s="131"/>
      <c r="M23" s="131"/>
      <c r="N23" s="131"/>
      <c r="O23" s="131"/>
      <c r="P23" s="131"/>
      <c r="Q23" s="131"/>
      <c r="R23" s="131"/>
    </row>
    <row r="24" spans="2:18" ht="36">
      <c r="B24" s="13" t="s">
        <v>375</v>
      </c>
      <c r="C24" s="14" t="s">
        <v>376</v>
      </c>
      <c r="D24" s="88">
        <v>890</v>
      </c>
      <c r="E24" s="88">
        <v>150.91</v>
      </c>
      <c r="F24" s="88"/>
      <c r="G24" s="88"/>
      <c r="H24" s="88"/>
      <c r="I24" s="88"/>
      <c r="J24" s="88"/>
      <c r="K24" s="88"/>
      <c r="L24" s="88"/>
      <c r="M24" s="88"/>
      <c r="N24" s="88"/>
      <c r="O24" s="88"/>
      <c r="P24" s="88"/>
      <c r="Q24" s="88"/>
      <c r="R24" s="88"/>
    </row>
    <row r="25" spans="2:18" ht="24">
      <c r="B25" s="15" t="s">
        <v>377</v>
      </c>
      <c r="C25" s="16" t="s">
        <v>378</v>
      </c>
      <c r="D25" s="89">
        <v>20</v>
      </c>
      <c r="E25" s="89"/>
      <c r="F25" s="85"/>
      <c r="G25" s="85"/>
      <c r="H25" s="85"/>
      <c r="I25" s="85"/>
      <c r="J25" s="85"/>
      <c r="K25" s="85"/>
      <c r="L25" s="85"/>
      <c r="M25" s="85"/>
      <c r="N25" s="85"/>
      <c r="O25" s="85"/>
      <c r="P25" s="85"/>
      <c r="Q25" s="85"/>
      <c r="R25" s="85"/>
    </row>
    <row r="26" spans="2:18" ht="24">
      <c r="B26" s="15" t="s">
        <v>380</v>
      </c>
      <c r="C26" s="16" t="s">
        <v>381</v>
      </c>
      <c r="D26" s="89" t="s">
        <v>449</v>
      </c>
      <c r="E26" s="89" t="s">
        <v>449</v>
      </c>
      <c r="F26" s="88"/>
      <c r="G26" s="85"/>
      <c r="H26" s="85"/>
      <c r="I26" s="85"/>
      <c r="J26" s="85"/>
      <c r="K26" s="85"/>
      <c r="L26" s="85"/>
      <c r="M26" s="85"/>
      <c r="N26" s="85"/>
      <c r="O26" s="85"/>
      <c r="P26" s="85"/>
      <c r="Q26" s="85"/>
      <c r="R26" s="85"/>
    </row>
    <row r="27" spans="2:18" ht="14">
      <c r="B27" s="323" t="s">
        <v>383</v>
      </c>
      <c r="C27" s="324" t="s">
        <v>383</v>
      </c>
      <c r="D27" s="89"/>
      <c r="E27" s="89"/>
      <c r="F27" s="88"/>
      <c r="G27" s="85"/>
      <c r="H27" s="85"/>
      <c r="I27" s="85"/>
      <c r="J27" s="85"/>
      <c r="K27" s="85"/>
      <c r="L27" s="85"/>
      <c r="M27" s="85"/>
      <c r="N27" s="85"/>
      <c r="O27" s="85"/>
      <c r="P27" s="85"/>
      <c r="Q27" s="85"/>
      <c r="R27" s="85"/>
    </row>
    <row r="28" spans="2:18" ht="36">
      <c r="B28" s="15" t="s">
        <v>384</v>
      </c>
      <c r="C28" s="16" t="s">
        <v>450</v>
      </c>
      <c r="D28" s="120" t="s">
        <v>451</v>
      </c>
      <c r="E28" s="89"/>
      <c r="F28" s="88"/>
      <c r="G28" s="85"/>
      <c r="H28" s="85"/>
      <c r="I28" s="85"/>
      <c r="J28" s="85"/>
      <c r="K28" s="85"/>
      <c r="L28" s="85"/>
      <c r="M28" s="85"/>
      <c r="N28" s="85"/>
      <c r="O28" s="85"/>
      <c r="P28" s="85"/>
      <c r="Q28" s="85"/>
      <c r="R28" s="85"/>
    </row>
    <row r="29" spans="2:18" ht="36">
      <c r="B29" s="15" t="s">
        <v>387</v>
      </c>
      <c r="C29" s="16" t="s">
        <v>388</v>
      </c>
      <c r="D29" s="89" t="s">
        <v>452</v>
      </c>
      <c r="E29" s="89"/>
      <c r="F29" s="88"/>
      <c r="G29" s="85"/>
      <c r="H29" s="85"/>
      <c r="I29" s="85"/>
      <c r="J29" s="85"/>
      <c r="K29" s="85"/>
      <c r="L29" s="85"/>
      <c r="M29" s="85"/>
      <c r="N29" s="85"/>
      <c r="O29" s="85"/>
      <c r="P29" s="85"/>
      <c r="Q29" s="85"/>
      <c r="R29" s="85"/>
    </row>
    <row r="30" spans="2:18" ht="44">
      <c r="B30" s="13" t="s">
        <v>390</v>
      </c>
      <c r="C30" s="17" t="s">
        <v>453</v>
      </c>
      <c r="D30" s="325">
        <f>(11.85+2.6)*12</f>
        <v>173.39999999999998</v>
      </c>
      <c r="E30" s="120" t="s">
        <v>454</v>
      </c>
      <c r="F30" s="85"/>
      <c r="G30" s="85"/>
      <c r="H30" s="85"/>
      <c r="I30" s="85"/>
      <c r="J30" s="85"/>
      <c r="K30" s="85"/>
      <c r="L30" s="85"/>
      <c r="M30" s="85"/>
      <c r="N30" s="85"/>
      <c r="O30" s="85"/>
      <c r="P30" s="85"/>
      <c r="Q30" s="85"/>
      <c r="R30" s="85"/>
    </row>
    <row r="31" spans="2:18" ht="14">
      <c r="B31" s="326"/>
      <c r="C31" s="327" t="s">
        <v>393</v>
      </c>
      <c r="D31" s="325"/>
      <c r="E31" s="85"/>
      <c r="F31" s="85"/>
      <c r="G31" s="85"/>
      <c r="H31" s="85"/>
      <c r="I31" s="85"/>
      <c r="J31" s="85"/>
      <c r="K31" s="85"/>
      <c r="L31" s="85"/>
      <c r="M31" s="85"/>
      <c r="N31" s="85"/>
      <c r="O31" s="85"/>
      <c r="P31" s="85"/>
      <c r="Q31" s="85"/>
      <c r="R31" s="85"/>
    </row>
    <row r="32" spans="2:18" ht="42">
      <c r="B32" s="13" t="s">
        <v>394</v>
      </c>
      <c r="C32" s="17" t="s">
        <v>395</v>
      </c>
      <c r="D32" s="85" t="s">
        <v>452</v>
      </c>
      <c r="E32" s="85"/>
      <c r="F32" s="85"/>
      <c r="G32" s="85"/>
      <c r="H32" s="85"/>
      <c r="I32" s="85"/>
      <c r="J32" s="85"/>
      <c r="K32" s="85"/>
      <c r="L32" s="85"/>
      <c r="M32" s="85"/>
      <c r="N32" s="85"/>
      <c r="O32" s="85"/>
      <c r="P32" s="85"/>
      <c r="Q32" s="85"/>
      <c r="R32" s="85"/>
    </row>
    <row r="33" spans="2:18" ht="14">
      <c r="B33" s="18" t="s">
        <v>397</v>
      </c>
      <c r="C33" s="19" t="s">
        <v>313</v>
      </c>
      <c r="D33" s="91">
        <v>45261</v>
      </c>
      <c r="E33" s="91">
        <v>45962</v>
      </c>
      <c r="F33" s="91"/>
      <c r="G33" s="91"/>
      <c r="H33" s="91"/>
      <c r="I33" s="91"/>
      <c r="J33" s="85"/>
      <c r="K33" s="85"/>
      <c r="L33" s="85"/>
      <c r="M33" s="85"/>
      <c r="N33" s="85"/>
      <c r="O33" s="85"/>
      <c r="P33" s="85"/>
      <c r="Q33" s="85"/>
      <c r="R33" s="85"/>
    </row>
    <row r="34" spans="2:18" ht="14">
      <c r="B34" s="20" t="s">
        <v>398</v>
      </c>
      <c r="C34" s="19" t="s">
        <v>315</v>
      </c>
      <c r="D34" s="91">
        <v>45444</v>
      </c>
      <c r="E34" s="91"/>
      <c r="F34" s="91"/>
      <c r="G34" s="91"/>
      <c r="H34" s="91"/>
      <c r="I34" s="91"/>
      <c r="J34" s="85"/>
      <c r="K34" s="85"/>
      <c r="L34" s="85"/>
      <c r="M34" s="85"/>
      <c r="N34" s="85"/>
      <c r="O34" s="85"/>
      <c r="P34" s="85"/>
      <c r="Q34" s="85"/>
      <c r="R34" s="85"/>
    </row>
    <row r="35" spans="2:18" ht="24">
      <c r="B35" s="20" t="s">
        <v>399</v>
      </c>
      <c r="C35" s="19" t="s">
        <v>400</v>
      </c>
      <c r="D35" s="91" t="s">
        <v>455</v>
      </c>
      <c r="E35" s="85"/>
      <c r="F35" s="85"/>
      <c r="G35" s="85"/>
      <c r="H35" s="85"/>
      <c r="I35" s="85"/>
      <c r="J35" s="85"/>
      <c r="K35" s="85"/>
      <c r="L35" s="85"/>
      <c r="M35" s="85"/>
      <c r="N35" s="85"/>
      <c r="O35" s="85"/>
      <c r="P35" s="85"/>
      <c r="Q35" s="85"/>
      <c r="R35" s="85"/>
    </row>
    <row r="36" spans="2:18" ht="28">
      <c r="B36" s="20" t="s">
        <v>402</v>
      </c>
      <c r="C36" s="21" t="s">
        <v>403</v>
      </c>
      <c r="D36" s="92" t="s">
        <v>414</v>
      </c>
      <c r="E36" s="92"/>
      <c r="F36" s="93"/>
      <c r="G36" s="93"/>
      <c r="H36" s="93"/>
      <c r="I36" s="93"/>
      <c r="J36" s="85"/>
      <c r="K36" s="85"/>
      <c r="L36" s="85"/>
      <c r="M36" s="85"/>
      <c r="N36" s="85"/>
      <c r="O36" s="85"/>
      <c r="P36" s="85"/>
      <c r="Q36" s="85"/>
      <c r="R36" s="85"/>
    </row>
    <row r="37" spans="2:18" ht="42">
      <c r="B37" s="20" t="s">
        <v>404</v>
      </c>
      <c r="C37" s="21" t="s">
        <v>405</v>
      </c>
      <c r="D37" s="92" t="s">
        <v>456</v>
      </c>
      <c r="E37" s="92"/>
      <c r="F37" s="93"/>
      <c r="G37" s="93"/>
      <c r="H37" s="93"/>
      <c r="I37" s="93"/>
      <c r="J37" s="85"/>
      <c r="K37" s="85"/>
      <c r="L37" s="85"/>
      <c r="M37" s="85"/>
      <c r="N37" s="85"/>
      <c r="O37" s="85"/>
      <c r="P37" s="85"/>
      <c r="Q37" s="85"/>
      <c r="R37" s="85"/>
    </row>
    <row r="38" spans="2:18" ht="28">
      <c r="B38" s="20" t="s">
        <v>406</v>
      </c>
      <c r="C38" s="21" t="s">
        <v>407</v>
      </c>
      <c r="D38" s="93" t="s">
        <v>328</v>
      </c>
      <c r="E38" s="92"/>
      <c r="F38" s="93"/>
      <c r="G38" s="93"/>
      <c r="H38" s="93"/>
      <c r="I38" s="93"/>
      <c r="J38" s="85"/>
      <c r="K38" s="85"/>
      <c r="L38" s="85"/>
      <c r="M38" s="85"/>
      <c r="N38" s="85"/>
      <c r="O38" s="85"/>
      <c r="P38" s="85"/>
      <c r="Q38" s="85"/>
      <c r="R38" s="85"/>
    </row>
    <row r="39" spans="2:18" ht="28">
      <c r="B39" s="20" t="s">
        <v>408</v>
      </c>
      <c r="C39" s="21" t="s">
        <v>409</v>
      </c>
      <c r="D39" s="93" t="s">
        <v>410</v>
      </c>
      <c r="E39" s="92"/>
      <c r="F39" s="93"/>
      <c r="G39" s="93"/>
      <c r="H39" s="93"/>
      <c r="I39" s="93"/>
      <c r="J39" s="85"/>
      <c r="K39" s="85"/>
      <c r="L39" s="85"/>
      <c r="M39" s="85"/>
      <c r="N39" s="85"/>
      <c r="O39" s="85"/>
      <c r="P39" s="85"/>
      <c r="Q39" s="85"/>
      <c r="R39" s="85"/>
    </row>
    <row r="40" spans="2:18" ht="24">
      <c r="B40" s="20" t="s">
        <v>411</v>
      </c>
      <c r="C40" s="21" t="s">
        <v>314</v>
      </c>
      <c r="D40" s="92">
        <v>47635</v>
      </c>
      <c r="E40" s="92">
        <v>46142</v>
      </c>
      <c r="F40" s="93"/>
      <c r="G40" s="93"/>
      <c r="H40" s="93"/>
      <c r="I40" s="93"/>
      <c r="J40" s="85"/>
      <c r="K40" s="85"/>
      <c r="L40" s="85"/>
      <c r="M40" s="85"/>
      <c r="N40" s="85"/>
      <c r="O40" s="85"/>
      <c r="P40" s="85"/>
      <c r="Q40" s="85"/>
      <c r="R40" s="85"/>
    </row>
    <row r="41" spans="2:18" ht="42">
      <c r="B41" s="22" t="s">
        <v>412</v>
      </c>
      <c r="C41" s="23" t="s">
        <v>413</v>
      </c>
      <c r="D41" s="92" t="s">
        <v>328</v>
      </c>
      <c r="E41" s="92"/>
      <c r="F41" s="92"/>
      <c r="G41" s="92"/>
      <c r="H41" s="92"/>
      <c r="I41" s="92"/>
      <c r="J41" s="92"/>
      <c r="K41" s="92"/>
      <c r="L41" s="92"/>
      <c r="M41" s="92"/>
      <c r="N41" s="92"/>
      <c r="O41" s="92"/>
      <c r="P41" s="92"/>
      <c r="Q41" s="92"/>
      <c r="R41" s="92"/>
    </row>
    <row r="42" spans="2:18" ht="56">
      <c r="B42" s="24" t="s">
        <v>457</v>
      </c>
      <c r="C42" s="23" t="s">
        <v>458</v>
      </c>
      <c r="D42" s="95" t="s">
        <v>328</v>
      </c>
      <c r="E42" s="95"/>
      <c r="F42" s="95"/>
      <c r="G42" s="95"/>
      <c r="H42" s="95"/>
      <c r="I42" s="95"/>
      <c r="J42" s="95"/>
      <c r="K42" s="95"/>
      <c r="L42" s="95"/>
      <c r="M42" s="95"/>
      <c r="N42" s="95"/>
      <c r="O42" s="95"/>
      <c r="P42" s="95"/>
      <c r="Q42" s="95"/>
      <c r="R42" s="95"/>
    </row>
    <row r="43" spans="2:18" ht="36">
      <c r="B43" s="25" t="s">
        <v>418</v>
      </c>
      <c r="C43" s="26" t="s">
        <v>419</v>
      </c>
      <c r="D43" s="85" t="s">
        <v>414</v>
      </c>
      <c r="E43" s="85"/>
      <c r="F43" s="85"/>
      <c r="G43" s="85"/>
      <c r="H43" s="85"/>
      <c r="I43" s="85"/>
      <c r="J43" s="85"/>
      <c r="K43" s="85"/>
      <c r="L43" s="85"/>
      <c r="M43" s="85"/>
      <c r="N43" s="85"/>
      <c r="O43" s="85"/>
      <c r="P43" s="85"/>
      <c r="Q43" s="85"/>
      <c r="R43" s="85"/>
    </row>
    <row r="44" spans="2:18" ht="56">
      <c r="B44" s="25" t="s">
        <v>420</v>
      </c>
      <c r="C44" s="26" t="s">
        <v>421</v>
      </c>
      <c r="D44" s="85" t="s">
        <v>328</v>
      </c>
      <c r="E44" s="85"/>
      <c r="F44" s="85"/>
      <c r="G44" s="85"/>
      <c r="H44" s="85"/>
      <c r="I44" s="85"/>
      <c r="J44" s="85"/>
      <c r="K44" s="85"/>
      <c r="L44" s="85"/>
      <c r="M44" s="85"/>
      <c r="N44" s="85"/>
      <c r="O44" s="85"/>
      <c r="P44" s="85"/>
      <c r="Q44" s="85"/>
      <c r="R44" s="85"/>
    </row>
    <row r="45" spans="2:18">
      <c r="B45" s="27"/>
      <c r="C45" s="27"/>
    </row>
    <row r="46" spans="2:18" ht="28">
      <c r="B46" s="27"/>
      <c r="C46" s="28" t="s">
        <v>423</v>
      </c>
      <c r="D46" s="131">
        <v>220</v>
      </c>
      <c r="E46" s="131"/>
      <c r="F46" s="85"/>
      <c r="G46" s="85"/>
      <c r="H46" s="85"/>
      <c r="I46" s="85"/>
      <c r="J46" s="85"/>
      <c r="K46" s="85"/>
      <c r="L46" s="85"/>
      <c r="M46" s="85"/>
      <c r="N46" s="85"/>
      <c r="O46" s="85"/>
      <c r="P46" s="85"/>
      <c r="Q46" s="85"/>
      <c r="R46" s="85"/>
    </row>
    <row r="47" spans="2:18" ht="14">
      <c r="B47" s="27"/>
      <c r="C47" s="29" t="s">
        <v>424</v>
      </c>
      <c r="D47" s="131"/>
      <c r="E47" s="131"/>
      <c r="F47" s="85"/>
      <c r="G47" s="85"/>
      <c r="H47" s="85"/>
      <c r="I47" s="85"/>
      <c r="J47" s="85"/>
      <c r="K47" s="85"/>
      <c r="L47" s="85"/>
      <c r="M47" s="85"/>
      <c r="N47" s="85"/>
      <c r="O47" s="85"/>
      <c r="P47" s="85"/>
      <c r="Q47" s="85"/>
      <c r="R47" s="85"/>
    </row>
    <row r="48" spans="2:18" ht="14">
      <c r="B48" s="27"/>
      <c r="C48" s="29" t="s">
        <v>425</v>
      </c>
      <c r="D48" s="131"/>
      <c r="E48" s="131"/>
      <c r="F48" s="85"/>
      <c r="G48" s="85"/>
      <c r="H48" s="85"/>
      <c r="I48" s="85"/>
      <c r="J48" s="85"/>
      <c r="K48" s="85"/>
      <c r="L48" s="85"/>
      <c r="M48" s="85"/>
      <c r="N48" s="85"/>
      <c r="O48" s="85"/>
      <c r="P48" s="85"/>
      <c r="Q48" s="85"/>
      <c r="R48" s="85"/>
    </row>
    <row r="49" spans="2:18">
      <c r="B49" s="27"/>
      <c r="C49" s="30"/>
      <c r="D49" s="379"/>
      <c r="E49" s="379"/>
      <c r="F49" s="96"/>
      <c r="G49" s="96"/>
      <c r="H49" s="96"/>
      <c r="I49" s="96"/>
      <c r="J49" s="96"/>
      <c r="K49" s="96"/>
      <c r="L49" s="96"/>
      <c r="M49" s="96"/>
      <c r="N49" s="96"/>
      <c r="O49" s="96"/>
      <c r="P49" s="96"/>
      <c r="Q49" s="96"/>
      <c r="R49" s="96"/>
    </row>
    <row r="50" spans="2:18" ht="30">
      <c r="B50" s="27"/>
      <c r="C50" s="28" t="s">
        <v>426</v>
      </c>
      <c r="D50" s="131">
        <v>87</v>
      </c>
      <c r="E50" s="131">
        <v>19</v>
      </c>
      <c r="F50" s="85"/>
      <c r="G50" s="85"/>
      <c r="H50" s="85"/>
      <c r="I50" s="85"/>
      <c r="J50" s="85"/>
      <c r="K50" s="85"/>
      <c r="L50" s="85"/>
      <c r="M50" s="85"/>
      <c r="N50" s="85"/>
      <c r="O50" s="85"/>
      <c r="P50" s="85"/>
      <c r="Q50" s="85"/>
      <c r="R50" s="85"/>
    </row>
    <row r="51" spans="2:18" ht="14">
      <c r="B51" s="27"/>
      <c r="C51" s="29" t="s">
        <v>424</v>
      </c>
      <c r="D51" s="131"/>
      <c r="E51" s="131"/>
      <c r="F51" s="85"/>
      <c r="G51" s="85"/>
      <c r="H51" s="85"/>
      <c r="I51" s="85"/>
      <c r="J51" s="85"/>
      <c r="K51" s="85"/>
      <c r="L51" s="85"/>
      <c r="M51" s="85"/>
      <c r="N51" s="85"/>
      <c r="O51" s="85"/>
      <c r="P51" s="85"/>
      <c r="Q51" s="85"/>
      <c r="R51" s="85"/>
    </row>
    <row r="52" spans="2:18" ht="14">
      <c r="B52" s="27"/>
      <c r="C52" s="29" t="s">
        <v>425</v>
      </c>
      <c r="D52" s="131"/>
      <c r="E52" s="131"/>
      <c r="F52" s="85"/>
      <c r="G52" s="85"/>
      <c r="H52" s="85"/>
      <c r="I52" s="85"/>
      <c r="J52" s="85"/>
      <c r="K52" s="85"/>
      <c r="L52" s="85"/>
      <c r="M52" s="85"/>
      <c r="N52" s="85"/>
      <c r="O52" s="85"/>
      <c r="P52" s="85"/>
      <c r="Q52" s="85"/>
      <c r="R52" s="85"/>
    </row>
    <row r="53" spans="2:18">
      <c r="B53" s="27"/>
      <c r="C53" s="31"/>
      <c r="D53" s="379"/>
      <c r="E53" s="379"/>
      <c r="F53" s="96"/>
      <c r="G53" s="96"/>
      <c r="H53" s="96"/>
      <c r="I53" s="96"/>
      <c r="J53" s="96"/>
      <c r="K53" s="96"/>
      <c r="L53" s="96"/>
      <c r="M53" s="96"/>
      <c r="N53" s="96"/>
      <c r="O53" s="96"/>
      <c r="P53" s="96"/>
      <c r="Q53" s="96"/>
      <c r="R53" s="96"/>
    </row>
    <row r="54" spans="2:18" ht="28">
      <c r="B54" s="27"/>
      <c r="C54" s="28" t="s">
        <v>427</v>
      </c>
      <c r="D54" s="131"/>
      <c r="E54" s="131"/>
      <c r="F54" s="328"/>
      <c r="G54" s="328"/>
      <c r="H54" s="328"/>
      <c r="I54" s="328"/>
      <c r="J54" s="328"/>
      <c r="K54" s="328"/>
      <c r="L54" s="328"/>
      <c r="M54" s="328"/>
      <c r="N54" s="328"/>
      <c r="O54" s="328"/>
      <c r="P54" s="328"/>
      <c r="Q54" s="328"/>
      <c r="R54" s="328"/>
    </row>
    <row r="55" spans="2:18" ht="28">
      <c r="B55" s="27"/>
      <c r="C55" s="28" t="s">
        <v>428</v>
      </c>
      <c r="D55" s="131"/>
      <c r="E55" s="131"/>
      <c r="F55" s="85"/>
      <c r="G55" s="85"/>
      <c r="H55" s="85"/>
      <c r="I55" s="85"/>
      <c r="J55" s="85"/>
      <c r="K55" s="85"/>
      <c r="L55" s="85"/>
      <c r="M55" s="85"/>
      <c r="N55" s="85"/>
      <c r="O55" s="85"/>
      <c r="P55" s="85"/>
      <c r="Q55" s="85"/>
      <c r="R55" s="85"/>
    </row>
    <row r="56" spans="2:18" ht="28">
      <c r="B56" s="27"/>
      <c r="C56" s="330" t="s">
        <v>429</v>
      </c>
      <c r="D56" s="350"/>
      <c r="E56" s="350"/>
      <c r="F56" s="95"/>
      <c r="G56" s="95"/>
      <c r="H56" s="95"/>
      <c r="I56" s="95"/>
      <c r="J56" s="95"/>
      <c r="K56" s="95"/>
      <c r="L56" s="95"/>
      <c r="M56" s="95"/>
      <c r="N56" s="95"/>
      <c r="O56" s="95"/>
      <c r="P56" s="95"/>
      <c r="Q56" s="95"/>
      <c r="R56" s="85"/>
    </row>
    <row r="57" spans="2:18" ht="42">
      <c r="C57" s="331" t="s">
        <v>430</v>
      </c>
      <c r="D57" s="123"/>
      <c r="E57" s="123"/>
      <c r="F57" s="71"/>
      <c r="G57" s="71"/>
      <c r="H57" s="71"/>
      <c r="I57" s="71"/>
      <c r="J57" s="71"/>
      <c r="K57" s="71"/>
      <c r="L57" s="71"/>
      <c r="M57" s="71"/>
      <c r="N57" s="71"/>
      <c r="O57" s="71"/>
      <c r="P57" s="71"/>
      <c r="Q57" s="71"/>
      <c r="R57" s="71"/>
    </row>
    <row r="58" spans="2:18" ht="42">
      <c r="C58" s="331" t="s">
        <v>431</v>
      </c>
      <c r="D58" s="123"/>
      <c r="E58" s="123"/>
      <c r="F58" s="71"/>
      <c r="G58" s="71"/>
      <c r="H58" s="71"/>
      <c r="I58" s="71"/>
      <c r="J58" s="71"/>
      <c r="K58" s="71"/>
      <c r="L58" s="71"/>
      <c r="M58" s="71"/>
      <c r="N58" s="71"/>
      <c r="O58" s="71"/>
      <c r="P58" s="71"/>
      <c r="Q58" s="71"/>
      <c r="R58" s="71"/>
    </row>
    <row r="60" spans="2:18" ht="15">
      <c r="D60" s="1" t="s">
        <v>432</v>
      </c>
    </row>
    <row r="61" spans="2:18">
      <c r="D61" s="97" t="s">
        <v>433</v>
      </c>
      <c r="E61" s="97"/>
    </row>
    <row r="62" spans="2:18">
      <c r="D62" s="98" t="s">
        <v>434</v>
      </c>
      <c r="E62" s="98"/>
    </row>
    <row r="63" spans="2:18">
      <c r="D63" s="98" t="s">
        <v>435</v>
      </c>
      <c r="E63" s="98"/>
    </row>
    <row r="64" spans="2:18">
      <c r="D64" s="98" t="s">
        <v>436</v>
      </c>
      <c r="E64" s="98"/>
    </row>
    <row r="65" spans="4:5">
      <c r="D65" s="98" t="s">
        <v>437</v>
      </c>
      <c r="E65" s="98"/>
    </row>
    <row r="66" spans="4:5">
      <c r="D66" s="98" t="s">
        <v>438</v>
      </c>
      <c r="E66" s="98"/>
    </row>
    <row r="68" spans="4:5" ht="15">
      <c r="D68" s="99" t="s">
        <v>439</v>
      </c>
      <c r="E68" s="99"/>
    </row>
  </sheetData>
  <mergeCells count="2">
    <mergeCell ref="C6:D6"/>
    <mergeCell ref="C7:D7"/>
  </mergeCells>
  <phoneticPr fontId="8" type="noConversion"/>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147" priority="3">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0 B32">
    <cfRule type="colorScale" priority="6">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146" priority="5">
      <formula>#REF!="Owned"</formula>
    </cfRule>
  </conditionalFormatting>
  <conditionalFormatting sqref="C27:C32">
    <cfRule type="expression" dxfId="145" priority="1">
      <formula>#REF!="Owned"</formula>
    </cfRule>
  </conditionalFormatting>
  <dataValidations count="1">
    <dataValidation type="list" allowBlank="1" showInputMessage="1" showErrorMessage="1" sqref="E6" xr:uid="{9E204DFE-581E-4193-BC17-4AFBDDDC1469}">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9" max="1048575"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A2635-918A-46DC-B771-C7AD1B5929F0}">
  <sheetPr codeName="Feuil5">
    <tabColor rgb="FF00B050"/>
  </sheetPr>
  <dimension ref="B2:M58"/>
  <sheetViews>
    <sheetView topLeftCell="A10" zoomScale="70" zoomScaleNormal="70" workbookViewId="0">
      <selection activeCell="E40" sqref="E40"/>
    </sheetView>
  </sheetViews>
  <sheetFormatPr baseColWidth="10" defaultColWidth="11.5" defaultRowHeight="13"/>
  <cols>
    <col min="3" max="13" width="22.83203125" customWidth="1"/>
  </cols>
  <sheetData>
    <row r="2" spans="2:13">
      <c r="C2" s="504" t="s">
        <v>323</v>
      </c>
      <c r="D2" s="502" t="s">
        <v>459</v>
      </c>
      <c r="E2" s="1"/>
      <c r="F2" s="3"/>
      <c r="G2" s="3"/>
      <c r="H2" s="3"/>
      <c r="I2" s="4"/>
      <c r="J2" s="1"/>
      <c r="K2" s="1"/>
      <c r="L2" s="1"/>
      <c r="M2" s="1"/>
    </row>
    <row r="3" spans="2:13">
      <c r="C3" s="1"/>
      <c r="D3" s="1"/>
      <c r="E3" s="1"/>
      <c r="F3" s="1"/>
      <c r="G3" s="1"/>
      <c r="H3" s="1"/>
      <c r="I3" s="1"/>
      <c r="J3" s="1"/>
      <c r="K3" s="1"/>
      <c r="L3" s="1"/>
      <c r="M3" s="1"/>
    </row>
    <row r="4" spans="2:13">
      <c r="C4" s="33" t="s">
        <v>324</v>
      </c>
      <c r="D4" s="415" t="s">
        <v>256</v>
      </c>
      <c r="E4" s="258" t="s">
        <v>256</v>
      </c>
      <c r="I4" s="5"/>
      <c r="J4" s="1"/>
      <c r="K4" s="1"/>
      <c r="L4" s="1"/>
      <c r="M4" s="1"/>
    </row>
    <row r="5" spans="2:13">
      <c r="C5" s="35"/>
      <c r="D5" s="36"/>
      <c r="E5" s="1"/>
      <c r="F5" s="1"/>
      <c r="G5" s="1"/>
      <c r="H5" s="1"/>
      <c r="I5" s="1"/>
      <c r="J5" s="1"/>
      <c r="K5" s="1"/>
      <c r="L5" s="1"/>
      <c r="M5" s="1"/>
    </row>
    <row r="6" spans="2:13">
      <c r="C6" s="589" t="s">
        <v>327</v>
      </c>
      <c r="D6" s="591"/>
      <c r="E6" s="6" t="s">
        <v>414</v>
      </c>
      <c r="F6" s="124"/>
      <c r="G6" s="124"/>
      <c r="H6" s="124"/>
      <c r="J6" s="1"/>
      <c r="K6" s="1"/>
      <c r="L6" s="1"/>
      <c r="M6" s="1"/>
    </row>
    <row r="7" spans="2:13">
      <c r="C7" s="589" t="s">
        <v>329</v>
      </c>
      <c r="D7" s="591"/>
      <c r="E7" s="6">
        <v>23</v>
      </c>
      <c r="F7" s="124"/>
      <c r="G7" s="124"/>
      <c r="H7" s="124"/>
      <c r="J7" s="1"/>
      <c r="K7" s="1"/>
      <c r="L7" s="1"/>
      <c r="M7" s="1"/>
    </row>
    <row r="8" spans="2:13">
      <c r="C8" s="68"/>
      <c r="D8" s="68"/>
      <c r="E8" s="68"/>
      <c r="F8" s="68"/>
      <c r="G8" s="68"/>
      <c r="H8" s="68"/>
      <c r="I8" s="42"/>
      <c r="J8" s="1"/>
      <c r="K8" s="1"/>
      <c r="L8" s="1"/>
      <c r="M8" s="1"/>
    </row>
    <row r="9" spans="2:13">
      <c r="C9" s="69" t="s">
        <v>441</v>
      </c>
      <c r="D9" s="74" t="s">
        <v>460</v>
      </c>
      <c r="E9" s="74" t="s">
        <v>460</v>
      </c>
      <c r="F9" s="67"/>
      <c r="G9" s="67"/>
      <c r="H9" s="67"/>
      <c r="I9" s="67"/>
      <c r="J9" s="67"/>
      <c r="K9" s="67"/>
      <c r="L9" s="67"/>
      <c r="M9" s="67"/>
    </row>
    <row r="10" spans="2:13" ht="14">
      <c r="C10" s="70" t="s">
        <v>331</v>
      </c>
      <c r="D10" s="417" t="s">
        <v>461</v>
      </c>
      <c r="E10" s="417" t="s">
        <v>462</v>
      </c>
      <c r="F10" s="84" t="s">
        <v>463</v>
      </c>
      <c r="G10" s="84" t="s">
        <v>464</v>
      </c>
      <c r="H10" s="84" t="s">
        <v>465</v>
      </c>
      <c r="I10" s="84" t="s">
        <v>466</v>
      </c>
      <c r="J10" s="84" t="s">
        <v>467</v>
      </c>
      <c r="K10" s="84" t="s">
        <v>468</v>
      </c>
      <c r="L10" s="84" t="s">
        <v>469</v>
      </c>
      <c r="M10" s="84" t="s">
        <v>470</v>
      </c>
    </row>
    <row r="11" spans="2:13" ht="14">
      <c r="C11" s="104" t="s">
        <v>299</v>
      </c>
      <c r="D11" s="417" t="s">
        <v>471</v>
      </c>
      <c r="E11" s="417" t="s">
        <v>471</v>
      </c>
      <c r="F11" s="84"/>
      <c r="G11" s="84"/>
      <c r="H11" s="84"/>
      <c r="I11" s="84"/>
      <c r="J11" s="84"/>
      <c r="K11" s="84"/>
      <c r="L11" s="84"/>
      <c r="M11" s="84"/>
    </row>
    <row r="12" spans="2:13" ht="14">
      <c r="C12" s="32"/>
      <c r="D12" s="418"/>
      <c r="E12" s="418"/>
      <c r="F12" s="44"/>
      <c r="G12" s="44"/>
      <c r="H12" s="45"/>
      <c r="I12" s="46"/>
      <c r="J12" s="44"/>
      <c r="K12" s="47"/>
      <c r="L12" s="48"/>
      <c r="M12" s="44"/>
    </row>
    <row r="13" spans="2:13" ht="48">
      <c r="B13" s="7" t="s">
        <v>348</v>
      </c>
      <c r="C13" s="398" t="s">
        <v>349</v>
      </c>
      <c r="D13" s="422" t="s">
        <v>472</v>
      </c>
      <c r="E13" s="422" t="s">
        <v>473</v>
      </c>
      <c r="F13" s="71"/>
      <c r="G13" s="71"/>
      <c r="H13" s="71"/>
      <c r="I13" s="71"/>
      <c r="J13" s="71"/>
      <c r="K13" s="71"/>
      <c r="L13" s="71"/>
      <c r="M13" s="71"/>
    </row>
    <row r="14" spans="2:13" ht="42">
      <c r="B14" s="7" t="s">
        <v>352</v>
      </c>
      <c r="C14" s="398" t="s">
        <v>297</v>
      </c>
      <c r="D14" s="422" t="s">
        <v>263</v>
      </c>
      <c r="E14" s="422" t="s">
        <v>263</v>
      </c>
      <c r="F14" s="71"/>
      <c r="G14" s="71"/>
      <c r="H14" s="71"/>
      <c r="I14" s="71"/>
      <c r="J14" s="71"/>
      <c r="K14" s="71"/>
      <c r="L14" s="71"/>
      <c r="M14" s="71"/>
    </row>
    <row r="15" spans="2:13" ht="36">
      <c r="B15" s="7" t="s">
        <v>353</v>
      </c>
      <c r="C15" s="398" t="s">
        <v>354</v>
      </c>
      <c r="D15" s="422" t="s">
        <v>264</v>
      </c>
      <c r="E15" s="422" t="s">
        <v>264</v>
      </c>
      <c r="F15" s="71"/>
      <c r="G15" s="71"/>
      <c r="H15" s="71"/>
      <c r="I15" s="71"/>
      <c r="J15" s="71"/>
      <c r="K15" s="71"/>
      <c r="L15" s="71"/>
      <c r="M15" s="71"/>
    </row>
    <row r="16" spans="2:13" ht="24">
      <c r="B16" s="7" t="s">
        <v>355</v>
      </c>
      <c r="C16" s="398" t="s">
        <v>356</v>
      </c>
      <c r="D16" s="422" t="s">
        <v>410</v>
      </c>
      <c r="E16" s="422" t="s">
        <v>410</v>
      </c>
      <c r="F16" s="71"/>
      <c r="G16" s="71"/>
      <c r="H16" s="71"/>
      <c r="I16" s="71"/>
      <c r="J16" s="71"/>
      <c r="K16" s="71"/>
      <c r="L16" s="71"/>
      <c r="M16" s="71"/>
    </row>
    <row r="17" spans="2:13" ht="24">
      <c r="B17" s="7" t="s">
        <v>357</v>
      </c>
      <c r="C17" s="398" t="s">
        <v>294</v>
      </c>
      <c r="D17" s="422" t="s">
        <v>262</v>
      </c>
      <c r="E17" s="422" t="s">
        <v>262</v>
      </c>
      <c r="F17" s="71"/>
      <c r="G17" s="71"/>
      <c r="H17" s="71"/>
      <c r="I17" s="71"/>
      <c r="J17" s="71"/>
      <c r="K17" s="71"/>
      <c r="L17" s="71"/>
      <c r="M17" s="71"/>
    </row>
    <row r="18" spans="2:13" ht="14">
      <c r="B18" s="9" t="s">
        <v>358</v>
      </c>
      <c r="C18" s="399" t="s">
        <v>359</v>
      </c>
      <c r="D18" s="422" t="s">
        <v>360</v>
      </c>
      <c r="E18" s="422" t="s">
        <v>360</v>
      </c>
      <c r="F18" s="71"/>
      <c r="G18" s="71"/>
      <c r="H18" s="71"/>
      <c r="I18" s="71"/>
      <c r="J18" s="71"/>
      <c r="K18" s="71"/>
      <c r="L18" s="71"/>
      <c r="M18" s="71"/>
    </row>
    <row r="19" spans="2:13" ht="36">
      <c r="B19" s="9" t="s">
        <v>361</v>
      </c>
      <c r="C19" s="399" t="s">
        <v>362</v>
      </c>
      <c r="D19" s="422" t="s">
        <v>328</v>
      </c>
      <c r="E19" s="422" t="s">
        <v>328</v>
      </c>
      <c r="F19" s="71"/>
      <c r="G19" s="71"/>
      <c r="H19" s="71"/>
      <c r="I19" s="71"/>
      <c r="J19" s="71"/>
      <c r="K19" s="71"/>
      <c r="L19" s="71"/>
      <c r="M19" s="71"/>
    </row>
    <row r="20" spans="2:13" ht="72">
      <c r="B20" s="9" t="s">
        <v>363</v>
      </c>
      <c r="C20" s="399" t="s">
        <v>364</v>
      </c>
      <c r="D20" s="422" t="s">
        <v>328</v>
      </c>
      <c r="E20" s="422" t="s">
        <v>328</v>
      </c>
      <c r="F20" s="71"/>
      <c r="G20" s="71"/>
      <c r="H20" s="71"/>
      <c r="I20" s="71"/>
      <c r="J20" s="71"/>
      <c r="K20" s="71"/>
      <c r="L20" s="71"/>
      <c r="M20" s="71"/>
    </row>
    <row r="21" spans="2:13" ht="42">
      <c r="B21" s="11" t="s">
        <v>365</v>
      </c>
      <c r="C21" s="400" t="s">
        <v>366</v>
      </c>
      <c r="D21" s="422" t="s">
        <v>474</v>
      </c>
      <c r="E21" s="417" t="s">
        <v>475</v>
      </c>
      <c r="F21" s="71"/>
      <c r="G21" s="71"/>
      <c r="H21" s="71"/>
      <c r="I21" s="71"/>
      <c r="J21" s="71"/>
      <c r="K21" s="71"/>
      <c r="L21" s="71"/>
      <c r="M21" s="71"/>
    </row>
    <row r="22" spans="2:13" ht="36">
      <c r="B22" s="11" t="s">
        <v>369</v>
      </c>
      <c r="C22" s="400" t="s">
        <v>370</v>
      </c>
      <c r="D22" s="422" t="s">
        <v>476</v>
      </c>
      <c r="E22" s="417" t="s">
        <v>476</v>
      </c>
      <c r="F22" s="71"/>
      <c r="G22" s="71"/>
      <c r="H22" s="71"/>
      <c r="I22" s="71"/>
      <c r="J22" s="71"/>
      <c r="K22" s="71"/>
      <c r="L22" s="71"/>
      <c r="M22" s="71"/>
    </row>
    <row r="23" spans="2:13" ht="14">
      <c r="B23" s="13" t="s">
        <v>477</v>
      </c>
      <c r="C23" s="401" t="s">
        <v>374</v>
      </c>
      <c r="D23" s="422" t="s">
        <v>374</v>
      </c>
      <c r="E23" s="74" t="s">
        <v>374</v>
      </c>
      <c r="F23" s="71"/>
      <c r="G23" s="71"/>
      <c r="H23" s="71"/>
      <c r="I23" s="71"/>
      <c r="J23" s="71"/>
      <c r="K23" s="71"/>
      <c r="L23" s="71"/>
      <c r="M23" s="71"/>
    </row>
    <row r="24" spans="2:13" ht="60">
      <c r="B24" s="13" t="s">
        <v>375</v>
      </c>
      <c r="C24" s="401" t="s">
        <v>376</v>
      </c>
      <c r="D24" s="423">
        <v>275</v>
      </c>
      <c r="E24" s="425">
        <v>275</v>
      </c>
      <c r="F24" s="71"/>
      <c r="G24" s="71"/>
      <c r="H24" s="71"/>
      <c r="I24" s="71"/>
      <c r="J24" s="71"/>
      <c r="K24" s="71"/>
      <c r="L24" s="71"/>
      <c r="M24" s="71"/>
    </row>
    <row r="25" spans="2:13" ht="60">
      <c r="B25" s="15" t="s">
        <v>377</v>
      </c>
      <c r="C25" s="402" t="s">
        <v>378</v>
      </c>
      <c r="D25" s="422">
        <v>3</v>
      </c>
      <c r="E25" s="74">
        <v>3</v>
      </c>
      <c r="F25" s="71"/>
      <c r="G25" s="71"/>
      <c r="H25" s="71"/>
      <c r="I25" s="71"/>
      <c r="J25" s="71"/>
      <c r="K25" s="71"/>
      <c r="L25" s="71"/>
      <c r="M25" s="71"/>
    </row>
    <row r="26" spans="2:13" ht="60">
      <c r="B26" s="15" t="s">
        <v>380</v>
      </c>
      <c r="C26" s="402" t="s">
        <v>381</v>
      </c>
      <c r="D26" s="422" t="s">
        <v>478</v>
      </c>
      <c r="E26" s="74" t="s">
        <v>478</v>
      </c>
      <c r="F26" s="71"/>
      <c r="G26" s="71"/>
      <c r="H26" s="71"/>
      <c r="I26" s="71"/>
      <c r="J26" s="71"/>
      <c r="K26" s="71"/>
      <c r="L26" s="71"/>
      <c r="M26" s="71"/>
    </row>
    <row r="27" spans="2:13" ht="14">
      <c r="B27" s="40" t="s">
        <v>383</v>
      </c>
      <c r="C27" s="403" t="s">
        <v>383</v>
      </c>
      <c r="D27" s="429">
        <v>10200</v>
      </c>
      <c r="E27" s="429">
        <v>10200</v>
      </c>
      <c r="F27" s="71"/>
      <c r="G27" s="71"/>
      <c r="H27" s="71"/>
      <c r="I27" s="71"/>
      <c r="J27" s="71"/>
      <c r="K27" s="71"/>
      <c r="L27" s="71"/>
      <c r="M27" s="71"/>
    </row>
    <row r="28" spans="2:13" ht="60">
      <c r="B28" s="15" t="s">
        <v>384</v>
      </c>
      <c r="C28" s="402" t="s">
        <v>450</v>
      </c>
      <c r="D28" s="431">
        <f>D27/D24</f>
        <v>37.090909090909093</v>
      </c>
      <c r="E28" s="431">
        <f>E27/E24</f>
        <v>37.090909090909093</v>
      </c>
      <c r="F28" s="71"/>
      <c r="G28" s="71"/>
      <c r="H28" s="71"/>
      <c r="I28" s="71"/>
      <c r="J28" s="71"/>
      <c r="K28" s="71"/>
      <c r="L28" s="71"/>
      <c r="M28" s="71"/>
    </row>
    <row r="29" spans="2:13" ht="72">
      <c r="B29" s="15" t="s">
        <v>387</v>
      </c>
      <c r="C29" s="402" t="s">
        <v>388</v>
      </c>
      <c r="D29" s="422" t="s">
        <v>479</v>
      </c>
      <c r="E29" s="422" t="s">
        <v>479</v>
      </c>
      <c r="F29" s="71"/>
      <c r="G29" s="71"/>
      <c r="H29" s="71"/>
      <c r="I29" s="71"/>
      <c r="J29" s="71"/>
      <c r="K29" s="71"/>
      <c r="L29" s="71"/>
      <c r="M29" s="71"/>
    </row>
    <row r="30" spans="2:13" ht="58">
      <c r="B30" s="13" t="s">
        <v>390</v>
      </c>
      <c r="C30" s="404" t="s">
        <v>453</v>
      </c>
      <c r="D30" s="433">
        <f>D31/D24</f>
        <v>3.1540727272727276</v>
      </c>
      <c r="E30" s="433">
        <f>E31/E24</f>
        <v>0</v>
      </c>
      <c r="F30" s="71"/>
      <c r="G30" s="71"/>
      <c r="H30" s="71"/>
      <c r="I30" s="71"/>
      <c r="J30" s="71"/>
      <c r="K30" s="71"/>
      <c r="L30" s="71"/>
      <c r="M30" s="71"/>
    </row>
    <row r="31" spans="2:13" ht="28">
      <c r="B31" s="13"/>
      <c r="C31" s="405" t="s">
        <v>393</v>
      </c>
      <c r="D31" s="433">
        <v>867.37000000000012</v>
      </c>
      <c r="E31" s="433">
        <v>0</v>
      </c>
      <c r="F31" s="71"/>
      <c r="G31" s="71"/>
      <c r="H31" s="71"/>
      <c r="I31" s="71"/>
      <c r="J31" s="71"/>
      <c r="K31" s="71"/>
      <c r="L31" s="71"/>
      <c r="M31" s="71"/>
    </row>
    <row r="32" spans="2:13" ht="72">
      <c r="B32" s="13" t="s">
        <v>394</v>
      </c>
      <c r="C32" s="404" t="s">
        <v>395</v>
      </c>
      <c r="D32" s="75"/>
      <c r="E32" s="75"/>
      <c r="F32" s="71"/>
      <c r="G32" s="71"/>
      <c r="H32" s="71"/>
      <c r="I32" s="71"/>
      <c r="J32" s="71"/>
      <c r="K32" s="71"/>
      <c r="L32" s="71"/>
      <c r="M32" s="71"/>
    </row>
    <row r="33" spans="2:13" ht="24">
      <c r="B33" s="18" t="s">
        <v>397</v>
      </c>
      <c r="C33" s="406" t="s">
        <v>313</v>
      </c>
      <c r="D33" s="436">
        <v>44713</v>
      </c>
      <c r="E33" s="436">
        <v>44713</v>
      </c>
      <c r="F33" s="71"/>
      <c r="G33" s="71"/>
      <c r="H33" s="71"/>
      <c r="I33" s="71"/>
      <c r="J33" s="71"/>
      <c r="K33" s="71"/>
      <c r="L33" s="71"/>
      <c r="M33" s="71"/>
    </row>
    <row r="34" spans="2:13" ht="36">
      <c r="B34" s="20" t="s">
        <v>398</v>
      </c>
      <c r="C34" s="406" t="s">
        <v>315</v>
      </c>
      <c r="D34" s="436" t="s">
        <v>480</v>
      </c>
      <c r="E34" s="436" t="s">
        <v>480</v>
      </c>
      <c r="F34" s="71"/>
      <c r="G34" s="71"/>
      <c r="H34" s="71"/>
      <c r="I34" s="71"/>
      <c r="J34" s="71"/>
      <c r="K34" s="71"/>
      <c r="L34" s="71"/>
      <c r="M34" s="71"/>
    </row>
    <row r="35" spans="2:13" ht="36">
      <c r="B35" s="20" t="s">
        <v>399</v>
      </c>
      <c r="C35" s="406" t="s">
        <v>400</v>
      </c>
      <c r="D35" s="422" t="s">
        <v>410</v>
      </c>
      <c r="E35" s="422" t="s">
        <v>410</v>
      </c>
      <c r="F35" s="71"/>
      <c r="G35" s="71"/>
      <c r="H35" s="71"/>
      <c r="I35" s="71"/>
      <c r="J35" s="71"/>
      <c r="K35" s="71"/>
      <c r="L35" s="71"/>
      <c r="M35" s="71"/>
    </row>
    <row r="36" spans="2:13" ht="48">
      <c r="B36" s="20" t="s">
        <v>402</v>
      </c>
      <c r="C36" s="21" t="s">
        <v>403</v>
      </c>
      <c r="D36" s="422" t="s">
        <v>414</v>
      </c>
      <c r="E36" s="422" t="s">
        <v>414</v>
      </c>
      <c r="F36" s="71"/>
      <c r="G36" s="71"/>
      <c r="H36" s="71"/>
      <c r="I36" s="71"/>
      <c r="J36" s="71"/>
      <c r="K36" s="71"/>
      <c r="L36" s="71"/>
      <c r="M36" s="71"/>
    </row>
    <row r="37" spans="2:13" ht="72">
      <c r="B37" s="20" t="s">
        <v>404</v>
      </c>
      <c r="C37" s="21" t="s">
        <v>405</v>
      </c>
      <c r="D37" s="422" t="s">
        <v>481</v>
      </c>
      <c r="E37" s="422" t="s">
        <v>481</v>
      </c>
      <c r="F37" s="71"/>
      <c r="G37" s="71"/>
      <c r="H37" s="71"/>
      <c r="I37" s="71"/>
      <c r="J37" s="71"/>
      <c r="K37" s="71"/>
      <c r="L37" s="71"/>
      <c r="M37" s="71"/>
    </row>
    <row r="38" spans="2:13" ht="36">
      <c r="B38" s="20" t="s">
        <v>406</v>
      </c>
      <c r="C38" s="21" t="s">
        <v>407</v>
      </c>
      <c r="D38" s="422" t="s">
        <v>414</v>
      </c>
      <c r="E38" s="422" t="s">
        <v>414</v>
      </c>
      <c r="F38" s="71"/>
      <c r="G38" s="71"/>
      <c r="H38" s="71"/>
      <c r="I38" s="71"/>
      <c r="J38" s="71"/>
      <c r="K38" s="71"/>
      <c r="L38" s="71"/>
      <c r="M38" s="71"/>
    </row>
    <row r="39" spans="2:13" ht="36">
      <c r="B39" s="20" t="s">
        <v>408</v>
      </c>
      <c r="C39" s="21" t="s">
        <v>409</v>
      </c>
      <c r="D39" s="422" t="s">
        <v>482</v>
      </c>
      <c r="E39" s="422" t="s">
        <v>482</v>
      </c>
      <c r="F39" s="71"/>
      <c r="G39" s="71"/>
      <c r="H39" s="71"/>
      <c r="I39" s="71"/>
      <c r="J39" s="71"/>
      <c r="K39" s="71"/>
      <c r="L39" s="71"/>
      <c r="M39" s="71"/>
    </row>
    <row r="40" spans="2:13" ht="48">
      <c r="B40" s="20" t="s">
        <v>411</v>
      </c>
      <c r="C40" s="21" t="s">
        <v>314</v>
      </c>
      <c r="D40" s="436">
        <v>46538</v>
      </c>
      <c r="E40" s="436">
        <v>46538</v>
      </c>
      <c r="F40" s="71"/>
      <c r="G40" s="71"/>
      <c r="H40" s="71"/>
      <c r="I40" s="71"/>
      <c r="J40" s="71"/>
      <c r="K40" s="71"/>
      <c r="L40" s="71"/>
      <c r="M40" s="71"/>
    </row>
    <row r="41" spans="2:13" ht="60">
      <c r="B41" s="22" t="s">
        <v>412</v>
      </c>
      <c r="C41" s="23" t="s">
        <v>413</v>
      </c>
      <c r="D41" s="438" t="s">
        <v>328</v>
      </c>
      <c r="E41" s="438" t="s">
        <v>328</v>
      </c>
      <c r="F41" s="71"/>
      <c r="G41" s="71"/>
      <c r="H41" s="71"/>
      <c r="I41" s="71"/>
      <c r="J41" s="71"/>
      <c r="K41" s="71"/>
      <c r="L41" s="71"/>
      <c r="M41" s="71"/>
    </row>
    <row r="42" spans="2:13" ht="72">
      <c r="B42" s="24" t="s">
        <v>457</v>
      </c>
      <c r="C42" s="23" t="s">
        <v>483</v>
      </c>
      <c r="D42" s="422" t="s">
        <v>328</v>
      </c>
      <c r="E42" s="438" t="s">
        <v>328</v>
      </c>
      <c r="F42" s="71"/>
      <c r="G42" s="71"/>
      <c r="H42" s="71"/>
      <c r="I42" s="71"/>
      <c r="J42" s="71"/>
      <c r="K42" s="71"/>
      <c r="L42" s="71"/>
      <c r="M42" s="71"/>
    </row>
    <row r="43" spans="2:13" ht="84">
      <c r="B43" s="25" t="s">
        <v>418</v>
      </c>
      <c r="C43" s="407" t="s">
        <v>419</v>
      </c>
      <c r="D43" s="422" t="s">
        <v>410</v>
      </c>
      <c r="E43" s="422" t="s">
        <v>410</v>
      </c>
      <c r="F43" s="71"/>
      <c r="G43" s="71"/>
      <c r="H43" s="71"/>
      <c r="I43" s="71"/>
      <c r="J43" s="71"/>
      <c r="K43" s="71"/>
      <c r="L43" s="71"/>
      <c r="M43" s="71"/>
    </row>
    <row r="44" spans="2:13" ht="132">
      <c r="B44" s="25" t="s">
        <v>420</v>
      </c>
      <c r="C44" s="407" t="s">
        <v>421</v>
      </c>
      <c r="D44" s="422" t="s">
        <v>328</v>
      </c>
      <c r="E44" s="438" t="s">
        <v>328</v>
      </c>
      <c r="F44" s="71"/>
      <c r="G44" s="71"/>
      <c r="H44" s="71"/>
      <c r="I44" s="71"/>
      <c r="J44" s="71"/>
      <c r="K44" s="71"/>
      <c r="L44" s="71"/>
      <c r="M44" s="71"/>
    </row>
    <row r="45" spans="2:13" ht="14">
      <c r="B45" s="27"/>
      <c r="C45" s="27"/>
      <c r="D45" s="72"/>
      <c r="E45" s="72"/>
    </row>
    <row r="46" spans="2:13" ht="28">
      <c r="B46" s="27"/>
      <c r="C46" s="28" t="s">
        <v>484</v>
      </c>
      <c r="D46" s="417">
        <v>23</v>
      </c>
      <c r="E46" s="441">
        <v>0</v>
      </c>
      <c r="F46" s="71"/>
      <c r="G46" s="71"/>
      <c r="H46" s="71"/>
      <c r="I46" s="71"/>
      <c r="J46" s="71"/>
      <c r="K46" s="71"/>
      <c r="L46" s="71"/>
      <c r="M46" s="71"/>
    </row>
    <row r="47" spans="2:13" ht="42">
      <c r="B47" s="27"/>
      <c r="C47" s="29" t="s">
        <v>485</v>
      </c>
      <c r="D47" s="417">
        <v>2</v>
      </c>
      <c r="E47" s="441">
        <v>0</v>
      </c>
      <c r="F47" s="71"/>
      <c r="G47" s="71"/>
      <c r="H47" s="71"/>
      <c r="I47" s="71"/>
      <c r="J47" s="71"/>
      <c r="K47" s="71"/>
      <c r="L47" s="71"/>
      <c r="M47" s="71"/>
    </row>
    <row r="48" spans="2:13" ht="42">
      <c r="B48" s="27"/>
      <c r="C48" s="29" t="s">
        <v>486</v>
      </c>
      <c r="D48" s="417">
        <v>21</v>
      </c>
      <c r="E48" s="441">
        <v>0</v>
      </c>
      <c r="F48" s="71"/>
      <c r="G48" s="71"/>
      <c r="H48" s="71"/>
      <c r="I48" s="71"/>
      <c r="J48" s="71"/>
      <c r="K48" s="71"/>
      <c r="L48" s="71"/>
      <c r="M48" s="71"/>
    </row>
    <row r="49" spans="2:13">
      <c r="B49" s="27"/>
      <c r="C49" s="30"/>
      <c r="D49" s="442"/>
      <c r="E49" s="443"/>
    </row>
    <row r="50" spans="2:13" ht="30">
      <c r="B50" s="27"/>
      <c r="C50" s="28" t="s">
        <v>426</v>
      </c>
      <c r="D50" s="417">
        <v>21</v>
      </c>
      <c r="E50" s="441">
        <v>0</v>
      </c>
      <c r="F50" s="71"/>
      <c r="G50" s="71"/>
      <c r="H50" s="71"/>
      <c r="I50" s="71"/>
      <c r="J50" s="71"/>
      <c r="K50" s="71"/>
      <c r="L50" s="71"/>
      <c r="M50" s="71"/>
    </row>
    <row r="51" spans="2:13" ht="28">
      <c r="B51" s="27"/>
      <c r="C51" s="29" t="s">
        <v>487</v>
      </c>
      <c r="D51" s="417">
        <v>5</v>
      </c>
      <c r="E51" s="441">
        <v>0</v>
      </c>
      <c r="F51" s="71"/>
      <c r="G51" s="71"/>
      <c r="H51" s="71"/>
      <c r="I51" s="71"/>
      <c r="J51" s="71"/>
      <c r="K51" s="71"/>
      <c r="L51" s="71"/>
      <c r="M51" s="71"/>
    </row>
    <row r="52" spans="2:13" ht="28">
      <c r="B52" s="27"/>
      <c r="C52" s="29" t="s">
        <v>488</v>
      </c>
      <c r="D52" s="417">
        <v>16</v>
      </c>
      <c r="E52" s="441">
        <v>0</v>
      </c>
      <c r="F52" s="71"/>
      <c r="G52" s="71"/>
      <c r="H52" s="71"/>
      <c r="I52" s="71"/>
      <c r="J52" s="71"/>
      <c r="K52" s="71"/>
      <c r="L52" s="71"/>
      <c r="M52" s="71"/>
    </row>
    <row r="53" spans="2:13">
      <c r="B53" s="27"/>
      <c r="C53" s="31"/>
      <c r="D53" s="442"/>
      <c r="E53" s="443"/>
    </row>
    <row r="54" spans="2:13" ht="28">
      <c r="B54" s="27"/>
      <c r="C54" s="28" t="s">
        <v>427</v>
      </c>
      <c r="D54" s="417" t="s">
        <v>328</v>
      </c>
      <c r="E54" s="417">
        <v>0</v>
      </c>
      <c r="F54" s="71"/>
      <c r="G54" s="71"/>
      <c r="H54" s="71"/>
      <c r="I54" s="71"/>
      <c r="J54" s="71"/>
      <c r="K54" s="71"/>
      <c r="L54" s="71"/>
      <c r="M54" s="71"/>
    </row>
    <row r="55" spans="2:13" ht="28">
      <c r="B55" s="27"/>
      <c r="C55" s="28" t="s">
        <v>489</v>
      </c>
      <c r="D55" s="417">
        <v>3</v>
      </c>
      <c r="E55" s="441">
        <v>0</v>
      </c>
      <c r="F55" s="71"/>
      <c r="G55" s="71"/>
      <c r="H55" s="71"/>
      <c r="I55" s="71"/>
      <c r="J55" s="71"/>
      <c r="K55" s="71"/>
      <c r="L55" s="71"/>
      <c r="M55" s="71"/>
    </row>
    <row r="56" spans="2:13" ht="28">
      <c r="B56" s="27"/>
      <c r="C56" s="28" t="s">
        <v>490</v>
      </c>
      <c r="D56" s="417">
        <v>3</v>
      </c>
      <c r="E56" s="441">
        <v>0</v>
      </c>
      <c r="F56" s="71"/>
      <c r="G56" s="71"/>
      <c r="H56" s="71"/>
      <c r="I56" s="71"/>
      <c r="J56" s="71"/>
      <c r="K56" s="71"/>
      <c r="L56" s="71"/>
      <c r="M56" s="71"/>
    </row>
    <row r="57" spans="2:13" ht="56">
      <c r="B57" s="27"/>
      <c r="C57" s="28" t="s">
        <v>430</v>
      </c>
      <c r="D57" s="422"/>
      <c r="E57" s="75"/>
      <c r="F57" s="71"/>
      <c r="G57" s="71"/>
      <c r="H57" s="71"/>
      <c r="I57" s="71"/>
      <c r="J57" s="71"/>
      <c r="K57" s="71"/>
      <c r="L57" s="71"/>
      <c r="M57" s="71"/>
    </row>
    <row r="58" spans="2:13" ht="56">
      <c r="B58" s="27"/>
      <c r="C58" s="28" t="s">
        <v>431</v>
      </c>
      <c r="D58" s="422"/>
      <c r="E58" s="75"/>
      <c r="F58" s="71"/>
      <c r="G58" s="71"/>
      <c r="H58" s="71"/>
      <c r="I58" s="71"/>
      <c r="J58" s="71"/>
      <c r="K58" s="71"/>
      <c r="L58" s="71"/>
      <c r="M58" s="71"/>
    </row>
  </sheetData>
  <mergeCells count="2">
    <mergeCell ref="C6:D6"/>
    <mergeCell ref="C7:D7"/>
  </mergeCells>
  <conditionalFormatting sqref="B13:B17">
    <cfRule type="colorScale" priority="12">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144" priority="2">
      <formula>#REF!="Owned"</formula>
    </cfRule>
  </conditionalFormatting>
  <conditionalFormatting sqref="B28:B29 B26">
    <cfRule type="colorScale" priority="9">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B25:C26">
    <cfRule type="expression" dxfId="143" priority="4">
      <formula>#REF!="Owned"</formula>
    </cfRule>
  </conditionalFormatting>
  <conditionalFormatting sqref="C27:C32">
    <cfRule type="expression" dxfId="142" priority="1">
      <formula>#REF!="Owned"</formula>
    </cfRule>
  </conditionalFormatting>
  <dataValidations count="1">
    <dataValidation type="list" allowBlank="1" showInputMessage="1" showErrorMessage="1" sqref="E6" xr:uid="{FE67F1AB-178E-43D5-8206-21B6AD4D099F}">
      <formula1>"Yes, No"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7F1E-8C34-4B90-A2BD-4D77AD428D68}">
  <sheetPr codeName="Feuil6">
    <tabColor rgb="FF00B050"/>
  </sheetPr>
  <dimension ref="B2:M58"/>
  <sheetViews>
    <sheetView topLeftCell="A47" zoomScale="70" zoomScaleNormal="70" workbookViewId="0">
      <selection activeCell="D55" sqref="D55"/>
    </sheetView>
  </sheetViews>
  <sheetFormatPr baseColWidth="10" defaultColWidth="11.5" defaultRowHeight="13"/>
  <cols>
    <col min="3" max="3" width="19.5" customWidth="1"/>
    <col min="4" max="4" width="20.5" customWidth="1"/>
    <col min="13" max="13" width="12.5" customWidth="1"/>
  </cols>
  <sheetData>
    <row r="2" spans="2:13">
      <c r="C2" s="504" t="s">
        <v>323</v>
      </c>
      <c r="D2" s="503">
        <v>46070</v>
      </c>
      <c r="E2" s="1"/>
      <c r="F2" s="3"/>
      <c r="G2" s="3"/>
      <c r="H2" s="3"/>
      <c r="I2" s="4"/>
      <c r="J2" s="1"/>
      <c r="K2" s="1"/>
      <c r="L2" s="1"/>
      <c r="M2" s="1"/>
    </row>
    <row r="3" spans="2:13">
      <c r="C3" s="1"/>
      <c r="D3" s="1"/>
      <c r="E3" s="1"/>
      <c r="F3" s="1"/>
      <c r="G3" s="1"/>
      <c r="H3" s="1"/>
      <c r="I3" s="1"/>
      <c r="J3" s="1"/>
      <c r="K3" s="1"/>
      <c r="L3" s="1"/>
      <c r="M3" s="1"/>
    </row>
    <row r="4" spans="2:13">
      <c r="C4" s="33" t="s">
        <v>324</v>
      </c>
      <c r="D4" s="82" t="s">
        <v>241</v>
      </c>
      <c r="E4" s="1"/>
      <c r="I4" s="5"/>
      <c r="J4" s="1"/>
      <c r="K4" s="1"/>
      <c r="L4" s="1"/>
      <c r="M4" s="1"/>
    </row>
    <row r="5" spans="2:13">
      <c r="C5" s="35"/>
      <c r="D5" s="36"/>
      <c r="E5" s="1"/>
      <c r="F5" s="1"/>
      <c r="G5" s="1"/>
      <c r="H5" s="1"/>
      <c r="I5" s="1"/>
      <c r="J5" s="1"/>
      <c r="K5" s="1"/>
      <c r="L5" s="1"/>
      <c r="M5" s="1"/>
    </row>
    <row r="6" spans="2:13" ht="13" customHeight="1">
      <c r="C6" s="589" t="s">
        <v>327</v>
      </c>
      <c r="D6" s="591"/>
      <c r="E6" s="6" t="s">
        <v>328</v>
      </c>
      <c r="G6" s="124"/>
      <c r="H6" s="124"/>
      <c r="J6" s="1"/>
      <c r="K6" s="1"/>
      <c r="L6" s="1"/>
      <c r="M6" s="1"/>
    </row>
    <row r="7" spans="2:13" ht="13" customHeight="1">
      <c r="C7" s="589" t="s">
        <v>329</v>
      </c>
      <c r="D7" s="591"/>
      <c r="E7" s="6">
        <v>1</v>
      </c>
      <c r="G7" s="124"/>
      <c r="H7" s="124"/>
      <c r="J7" s="1"/>
      <c r="K7" s="1"/>
      <c r="L7" s="1"/>
      <c r="M7" s="1"/>
    </row>
    <row r="8" spans="2:13">
      <c r="C8" s="68"/>
      <c r="D8" s="68"/>
      <c r="E8" s="68"/>
      <c r="F8" s="68"/>
      <c r="G8" s="68"/>
      <c r="H8" s="68"/>
      <c r="I8" s="42"/>
      <c r="J8" s="1"/>
      <c r="K8" s="1"/>
      <c r="L8" s="1"/>
      <c r="M8" s="1"/>
    </row>
    <row r="9" spans="2:13">
      <c r="C9" s="69" t="s">
        <v>441</v>
      </c>
      <c r="D9" s="67"/>
      <c r="E9" s="67"/>
      <c r="F9" s="67"/>
      <c r="G9" s="67"/>
      <c r="H9" s="67"/>
      <c r="I9" s="67"/>
      <c r="J9" s="67"/>
      <c r="K9" s="67"/>
      <c r="L9" s="67"/>
      <c r="M9" s="67"/>
    </row>
    <row r="10" spans="2:13" ht="28">
      <c r="C10" s="70" t="s">
        <v>331</v>
      </c>
      <c r="D10" s="84" t="s">
        <v>491</v>
      </c>
      <c r="E10" s="84" t="s">
        <v>492</v>
      </c>
      <c r="F10" s="84" t="s">
        <v>463</v>
      </c>
      <c r="G10" s="84" t="s">
        <v>464</v>
      </c>
      <c r="H10" s="84" t="s">
        <v>465</v>
      </c>
      <c r="I10" s="84" t="s">
        <v>466</v>
      </c>
      <c r="J10" s="84" t="s">
        <v>467</v>
      </c>
      <c r="K10" s="84" t="s">
        <v>468</v>
      </c>
      <c r="L10" s="84" t="s">
        <v>469</v>
      </c>
      <c r="M10" s="84" t="s">
        <v>470</v>
      </c>
    </row>
    <row r="11" spans="2:13" ht="14">
      <c r="C11" s="104" t="s">
        <v>299</v>
      </c>
      <c r="D11" s="84" t="s">
        <v>493</v>
      </c>
      <c r="E11" s="84"/>
      <c r="F11" s="84"/>
      <c r="G11" s="84"/>
      <c r="H11" s="84"/>
      <c r="I11" s="84"/>
      <c r="J11" s="84"/>
      <c r="K11" s="84"/>
      <c r="L11" s="84"/>
      <c r="M11" s="84"/>
    </row>
    <row r="12" spans="2:13">
      <c r="C12" s="32"/>
      <c r="D12" s="105"/>
      <c r="E12" s="44"/>
      <c r="F12" s="44"/>
      <c r="G12" s="44"/>
      <c r="H12" s="45"/>
      <c r="I12" s="46"/>
      <c r="J12" s="44"/>
      <c r="K12" s="47"/>
      <c r="L12" s="48"/>
      <c r="M12" s="44"/>
    </row>
    <row r="13" spans="2:13" ht="48">
      <c r="B13" s="7" t="s">
        <v>348</v>
      </c>
      <c r="C13" s="398" t="s">
        <v>349</v>
      </c>
      <c r="D13" s="85" t="s">
        <v>494</v>
      </c>
      <c r="E13" s="71"/>
      <c r="F13" s="71"/>
      <c r="G13" s="71"/>
      <c r="H13" s="71"/>
      <c r="I13" s="71"/>
      <c r="J13" s="71"/>
      <c r="K13" s="71"/>
      <c r="L13" s="71"/>
      <c r="M13" s="71"/>
    </row>
    <row r="14" spans="2:13" ht="56">
      <c r="B14" s="7" t="s">
        <v>352</v>
      </c>
      <c r="C14" s="398" t="s">
        <v>297</v>
      </c>
      <c r="D14" s="85" t="s">
        <v>243</v>
      </c>
      <c r="E14" s="71"/>
      <c r="F14" s="71"/>
      <c r="G14" s="71"/>
      <c r="H14" s="71"/>
      <c r="I14" s="71"/>
      <c r="J14" s="71"/>
      <c r="K14" s="71"/>
      <c r="L14" s="71"/>
      <c r="M14" s="71"/>
    </row>
    <row r="15" spans="2:13" ht="36">
      <c r="B15" s="7" t="s">
        <v>353</v>
      </c>
      <c r="C15" s="398" t="s">
        <v>354</v>
      </c>
      <c r="D15" s="85" t="s">
        <v>244</v>
      </c>
      <c r="E15" s="71"/>
      <c r="F15" s="71"/>
      <c r="G15" s="71"/>
      <c r="H15" s="71"/>
      <c r="I15" s="71"/>
      <c r="J15" s="71"/>
      <c r="K15" s="71"/>
      <c r="L15" s="71"/>
      <c r="M15" s="71"/>
    </row>
    <row r="16" spans="2:13" ht="24">
      <c r="B16" s="7" t="s">
        <v>355</v>
      </c>
      <c r="C16" s="398" t="s">
        <v>356</v>
      </c>
      <c r="D16" s="85">
        <v>1000</v>
      </c>
      <c r="E16" s="71"/>
      <c r="F16" s="71"/>
      <c r="G16" s="71"/>
      <c r="H16" s="71"/>
      <c r="I16" s="71"/>
      <c r="J16" s="71"/>
      <c r="K16" s="71"/>
      <c r="L16" s="71"/>
      <c r="M16" s="71"/>
    </row>
    <row r="17" spans="2:13" ht="24">
      <c r="B17" s="7" t="s">
        <v>357</v>
      </c>
      <c r="C17" s="398" t="s">
        <v>294</v>
      </c>
      <c r="D17" s="85" t="s">
        <v>242</v>
      </c>
      <c r="E17" s="71"/>
      <c r="F17" s="71"/>
      <c r="G17" s="71"/>
      <c r="H17" s="71"/>
      <c r="I17" s="71"/>
      <c r="J17" s="71"/>
      <c r="K17" s="71"/>
      <c r="L17" s="71"/>
      <c r="M17" s="71"/>
    </row>
    <row r="18" spans="2:13" ht="14">
      <c r="B18" s="9" t="s">
        <v>358</v>
      </c>
      <c r="C18" s="399" t="s">
        <v>359</v>
      </c>
      <c r="D18" s="85" t="s">
        <v>360</v>
      </c>
      <c r="E18" s="71"/>
      <c r="F18" s="71"/>
      <c r="G18" s="71"/>
      <c r="H18" s="71"/>
      <c r="I18" s="71"/>
      <c r="J18" s="71"/>
      <c r="K18" s="71"/>
      <c r="L18" s="71"/>
      <c r="M18" s="71"/>
    </row>
    <row r="19" spans="2:13" ht="42">
      <c r="B19" s="9" t="s">
        <v>361</v>
      </c>
      <c r="C19" s="399" t="s">
        <v>362</v>
      </c>
      <c r="D19" s="85" t="s">
        <v>414</v>
      </c>
      <c r="E19" s="71"/>
      <c r="F19" s="71"/>
      <c r="G19" s="71"/>
      <c r="H19" s="71"/>
      <c r="I19" s="71"/>
      <c r="J19" s="71"/>
      <c r="K19" s="71"/>
      <c r="L19" s="71"/>
      <c r="M19" s="71"/>
    </row>
    <row r="20" spans="2:13" ht="72">
      <c r="B20" s="9" t="s">
        <v>363</v>
      </c>
      <c r="C20" s="399" t="s">
        <v>364</v>
      </c>
      <c r="D20" s="85" t="s">
        <v>414</v>
      </c>
      <c r="E20" s="71"/>
      <c r="F20" s="71"/>
      <c r="G20" s="71"/>
      <c r="H20" s="71"/>
      <c r="I20" s="71"/>
      <c r="J20" s="71"/>
      <c r="K20" s="71"/>
      <c r="L20" s="71"/>
      <c r="M20" s="71"/>
    </row>
    <row r="21" spans="2:13" ht="36">
      <c r="B21" s="11" t="s">
        <v>365</v>
      </c>
      <c r="C21" s="400" t="s">
        <v>366</v>
      </c>
      <c r="D21" s="85" t="s">
        <v>495</v>
      </c>
      <c r="E21" s="71"/>
      <c r="F21" s="71"/>
      <c r="G21" s="71"/>
      <c r="H21" s="71"/>
      <c r="I21" s="71"/>
      <c r="J21" s="71"/>
      <c r="K21" s="71"/>
      <c r="L21" s="71"/>
      <c r="M21" s="71"/>
    </row>
    <row r="22" spans="2:13" ht="36">
      <c r="B22" s="11" t="s">
        <v>369</v>
      </c>
      <c r="C22" s="400" t="s">
        <v>370</v>
      </c>
      <c r="D22" s="85" t="s">
        <v>496</v>
      </c>
      <c r="E22" s="71"/>
      <c r="F22" s="71"/>
      <c r="G22" s="71"/>
      <c r="H22" s="71"/>
      <c r="I22" s="71"/>
      <c r="J22" s="71"/>
      <c r="K22" s="71"/>
      <c r="L22" s="71"/>
      <c r="M22" s="71"/>
    </row>
    <row r="23" spans="2:13" ht="14">
      <c r="B23" s="13" t="s">
        <v>477</v>
      </c>
      <c r="C23" s="401" t="s">
        <v>374</v>
      </c>
      <c r="D23" s="85" t="s">
        <v>374</v>
      </c>
      <c r="E23" s="71"/>
      <c r="F23" s="71"/>
      <c r="G23" s="71"/>
      <c r="H23" s="71"/>
      <c r="I23" s="71"/>
      <c r="J23" s="71"/>
      <c r="K23" s="71"/>
      <c r="L23" s="71"/>
      <c r="M23" s="71"/>
    </row>
    <row r="24" spans="2:13" ht="60">
      <c r="B24" s="13" t="s">
        <v>375</v>
      </c>
      <c r="C24" s="401" t="s">
        <v>376</v>
      </c>
      <c r="D24" s="88">
        <v>1658</v>
      </c>
      <c r="E24" s="71"/>
      <c r="F24" s="71"/>
      <c r="G24" s="71"/>
      <c r="H24" s="71"/>
      <c r="I24" s="71"/>
      <c r="J24" s="71"/>
      <c r="K24" s="71"/>
      <c r="L24" s="71"/>
      <c r="M24" s="71"/>
    </row>
    <row r="25" spans="2:13" ht="60">
      <c r="B25" s="15" t="s">
        <v>377</v>
      </c>
      <c r="C25" s="402" t="s">
        <v>378</v>
      </c>
      <c r="D25" s="85">
        <v>12</v>
      </c>
      <c r="E25" s="71"/>
      <c r="F25" s="71"/>
      <c r="G25" s="71"/>
      <c r="H25" s="71"/>
      <c r="I25" s="71"/>
      <c r="J25" s="71"/>
      <c r="K25" s="71"/>
      <c r="L25" s="71"/>
      <c r="M25" s="71"/>
    </row>
    <row r="26" spans="2:13" ht="60">
      <c r="B26" s="15" t="s">
        <v>380</v>
      </c>
      <c r="C26" s="402" t="s">
        <v>381</v>
      </c>
      <c r="D26" s="85" t="s">
        <v>449</v>
      </c>
      <c r="E26" s="71"/>
      <c r="F26" s="71"/>
      <c r="G26" s="71"/>
      <c r="H26" s="71"/>
      <c r="I26" s="71"/>
      <c r="J26" s="71"/>
      <c r="K26" s="71"/>
      <c r="L26" s="71"/>
      <c r="M26" s="71"/>
    </row>
    <row r="27" spans="2:13" ht="14">
      <c r="B27" s="40" t="s">
        <v>383</v>
      </c>
      <c r="C27" s="403" t="s">
        <v>383</v>
      </c>
      <c r="D27" s="85">
        <f>D28*D24</f>
        <v>618434</v>
      </c>
      <c r="E27" s="71"/>
      <c r="F27" s="71"/>
      <c r="G27" s="71"/>
      <c r="H27" s="71"/>
      <c r="I27" s="71"/>
      <c r="J27" s="71"/>
      <c r="K27" s="71"/>
      <c r="L27" s="71"/>
      <c r="M27" s="71"/>
    </row>
    <row r="28" spans="2:13" ht="60">
      <c r="B28" s="15" t="s">
        <v>384</v>
      </c>
      <c r="C28" s="402" t="s">
        <v>450</v>
      </c>
      <c r="D28" s="90">
        <v>373</v>
      </c>
      <c r="E28" s="71"/>
      <c r="F28" s="71"/>
      <c r="G28" s="71"/>
      <c r="H28" s="71"/>
      <c r="I28" s="71"/>
      <c r="J28" s="71"/>
      <c r="K28" s="71"/>
      <c r="L28" s="71"/>
      <c r="M28" s="71"/>
    </row>
    <row r="29" spans="2:13" ht="72">
      <c r="B29" s="15" t="s">
        <v>387</v>
      </c>
      <c r="C29" s="402" t="s">
        <v>388</v>
      </c>
      <c r="D29" s="85" t="s">
        <v>497</v>
      </c>
      <c r="E29" s="71"/>
      <c r="F29" s="71"/>
      <c r="G29" s="71"/>
      <c r="H29" s="71"/>
      <c r="I29" s="71"/>
      <c r="J29" s="71"/>
      <c r="K29" s="71"/>
      <c r="L29" s="71"/>
      <c r="M29" s="71"/>
    </row>
    <row r="30" spans="2:13" ht="72">
      <c r="B30" s="13" t="s">
        <v>390</v>
      </c>
      <c r="C30" s="404" t="s">
        <v>453</v>
      </c>
      <c r="D30" s="90">
        <v>259</v>
      </c>
      <c r="E30" s="71"/>
      <c r="F30" s="71"/>
      <c r="G30" s="71"/>
      <c r="H30" s="71"/>
      <c r="I30" s="71"/>
      <c r="J30" s="71"/>
      <c r="K30" s="71"/>
      <c r="L30" s="71"/>
      <c r="M30" s="71"/>
    </row>
    <row r="31" spans="2:13" ht="28">
      <c r="B31" s="13"/>
      <c r="C31" s="405" t="s">
        <v>393</v>
      </c>
      <c r="D31" s="90">
        <f>D30*D24</f>
        <v>429422</v>
      </c>
      <c r="E31" s="71"/>
      <c r="F31" s="71"/>
      <c r="G31" s="71"/>
      <c r="H31" s="71"/>
      <c r="I31" s="71"/>
      <c r="J31" s="71"/>
      <c r="K31" s="71"/>
      <c r="L31" s="71"/>
      <c r="M31" s="71"/>
    </row>
    <row r="32" spans="2:13" ht="72">
      <c r="B32" s="13" t="s">
        <v>394</v>
      </c>
      <c r="C32" s="404" t="s">
        <v>395</v>
      </c>
      <c r="D32" s="85" t="s">
        <v>497</v>
      </c>
      <c r="E32" s="71"/>
      <c r="F32" s="71"/>
      <c r="G32" s="71"/>
      <c r="H32" s="71"/>
      <c r="I32" s="71"/>
      <c r="J32" s="71"/>
      <c r="K32" s="71"/>
      <c r="L32" s="71"/>
      <c r="M32" s="71"/>
    </row>
    <row r="33" spans="2:13" ht="24">
      <c r="B33" s="18" t="s">
        <v>397</v>
      </c>
      <c r="C33" s="406" t="s">
        <v>313</v>
      </c>
      <c r="D33" s="91">
        <v>43922</v>
      </c>
      <c r="E33" s="71"/>
      <c r="F33" s="71"/>
      <c r="G33" s="71"/>
      <c r="H33" s="71"/>
      <c r="I33" s="71"/>
      <c r="J33" s="71"/>
      <c r="K33" s="71"/>
      <c r="L33" s="71"/>
      <c r="M33" s="71"/>
    </row>
    <row r="34" spans="2:13" ht="36">
      <c r="B34" s="20" t="s">
        <v>398</v>
      </c>
      <c r="C34" s="406" t="s">
        <v>315</v>
      </c>
      <c r="D34" s="91">
        <v>47208</v>
      </c>
      <c r="E34" s="71"/>
      <c r="F34" s="71"/>
      <c r="G34" s="71"/>
      <c r="H34" s="71"/>
      <c r="I34" s="71"/>
      <c r="J34" s="71"/>
      <c r="K34" s="71"/>
      <c r="L34" s="71"/>
      <c r="M34" s="71"/>
    </row>
    <row r="35" spans="2:13" ht="36">
      <c r="B35" s="20" t="s">
        <v>399</v>
      </c>
      <c r="C35" s="406" t="s">
        <v>400</v>
      </c>
      <c r="D35" s="91">
        <v>47208</v>
      </c>
      <c r="E35" s="71"/>
      <c r="F35" s="71"/>
      <c r="G35" s="71"/>
      <c r="H35" s="71"/>
      <c r="I35" s="71"/>
      <c r="J35" s="71"/>
      <c r="K35" s="71"/>
      <c r="L35" s="71"/>
      <c r="M35" s="71"/>
    </row>
    <row r="36" spans="2:13" ht="48">
      <c r="B36" s="20" t="s">
        <v>402</v>
      </c>
      <c r="C36" s="21" t="s">
        <v>403</v>
      </c>
      <c r="D36" s="85" t="s">
        <v>498</v>
      </c>
      <c r="E36" s="71"/>
      <c r="F36" s="71"/>
      <c r="G36" s="71"/>
      <c r="H36" s="71"/>
      <c r="I36" s="71"/>
      <c r="J36" s="71"/>
      <c r="K36" s="71"/>
      <c r="L36" s="71"/>
      <c r="M36" s="71"/>
    </row>
    <row r="37" spans="2:13" ht="72">
      <c r="B37" s="20" t="s">
        <v>404</v>
      </c>
      <c r="C37" s="21" t="s">
        <v>405</v>
      </c>
      <c r="D37" s="93"/>
      <c r="E37" s="71"/>
      <c r="F37" s="71"/>
      <c r="G37" s="71"/>
      <c r="H37" s="71"/>
      <c r="I37" s="71"/>
      <c r="J37" s="71"/>
      <c r="K37" s="71"/>
      <c r="L37" s="71"/>
      <c r="M37" s="71"/>
    </row>
    <row r="38" spans="2:13" ht="36">
      <c r="B38" s="20" t="s">
        <v>406</v>
      </c>
      <c r="C38" s="21" t="s">
        <v>407</v>
      </c>
      <c r="D38" s="93" t="s">
        <v>328</v>
      </c>
      <c r="E38" s="71"/>
      <c r="F38" s="71"/>
      <c r="G38" s="71"/>
      <c r="H38" s="71"/>
      <c r="I38" s="71"/>
      <c r="J38" s="71"/>
      <c r="K38" s="71"/>
      <c r="L38" s="71"/>
      <c r="M38" s="71"/>
    </row>
    <row r="39" spans="2:13" ht="36">
      <c r="B39" s="20" t="s">
        <v>408</v>
      </c>
      <c r="C39" s="21" t="s">
        <v>409</v>
      </c>
      <c r="D39" s="93" t="s">
        <v>410</v>
      </c>
      <c r="E39" s="71"/>
      <c r="F39" s="71"/>
      <c r="G39" s="71"/>
      <c r="H39" s="71"/>
      <c r="I39" s="71"/>
      <c r="J39" s="71"/>
      <c r="K39" s="71"/>
      <c r="L39" s="71"/>
      <c r="M39" s="71"/>
    </row>
    <row r="40" spans="2:13" ht="48">
      <c r="B40" s="20" t="s">
        <v>411</v>
      </c>
      <c r="C40" s="21" t="s">
        <v>314</v>
      </c>
      <c r="D40" s="93">
        <v>47208</v>
      </c>
      <c r="E40" s="71"/>
      <c r="F40" s="71"/>
      <c r="G40" s="71"/>
      <c r="H40" s="71"/>
      <c r="I40" s="71"/>
      <c r="J40" s="71"/>
      <c r="K40" s="71"/>
      <c r="L40" s="71"/>
      <c r="M40" s="71"/>
    </row>
    <row r="41" spans="2:13" ht="70">
      <c r="B41" s="22" t="s">
        <v>412</v>
      </c>
      <c r="C41" s="23" t="s">
        <v>413</v>
      </c>
      <c r="D41" s="92" t="s">
        <v>498</v>
      </c>
      <c r="E41" s="71"/>
      <c r="F41" s="71"/>
      <c r="G41" s="71"/>
      <c r="H41" s="71"/>
      <c r="I41" s="71"/>
      <c r="J41" s="71"/>
      <c r="K41" s="71"/>
      <c r="L41" s="71"/>
      <c r="M41" s="71"/>
    </row>
    <row r="42" spans="2:13" ht="84">
      <c r="B42" s="24" t="s">
        <v>457</v>
      </c>
      <c r="C42" s="23" t="s">
        <v>483</v>
      </c>
      <c r="D42" s="95" t="s">
        <v>328</v>
      </c>
      <c r="E42" s="71"/>
      <c r="F42" s="71"/>
      <c r="G42" s="71"/>
      <c r="H42" s="71"/>
      <c r="I42" s="71"/>
      <c r="J42" s="71"/>
      <c r="K42" s="71"/>
      <c r="L42" s="71"/>
      <c r="M42" s="71"/>
    </row>
    <row r="43" spans="2:13" ht="84">
      <c r="B43" s="25" t="s">
        <v>418</v>
      </c>
      <c r="C43" s="407" t="s">
        <v>419</v>
      </c>
      <c r="D43" s="85" t="s">
        <v>414</v>
      </c>
      <c r="E43" s="71"/>
      <c r="F43" s="71"/>
      <c r="G43" s="71"/>
      <c r="H43" s="71"/>
      <c r="I43" s="71"/>
      <c r="J43" s="71"/>
      <c r="K43" s="71"/>
      <c r="L43" s="71"/>
      <c r="M43" s="71"/>
    </row>
    <row r="44" spans="2:13" ht="132">
      <c r="B44" s="25" t="s">
        <v>420</v>
      </c>
      <c r="C44" s="407" t="s">
        <v>421</v>
      </c>
      <c r="D44" s="85" t="s">
        <v>499</v>
      </c>
      <c r="E44" s="71"/>
      <c r="F44" s="71"/>
      <c r="G44" s="71"/>
      <c r="H44" s="71"/>
      <c r="I44" s="71"/>
      <c r="J44" s="71"/>
      <c r="K44" s="71"/>
      <c r="L44" s="71"/>
      <c r="M44" s="71"/>
    </row>
    <row r="45" spans="2:13">
      <c r="B45" s="27"/>
      <c r="C45" s="27"/>
      <c r="D45" s="27"/>
    </row>
    <row r="46" spans="2:13" ht="28">
      <c r="B46" s="27"/>
      <c r="C46" s="28" t="s">
        <v>484</v>
      </c>
      <c r="D46" s="85">
        <v>222</v>
      </c>
      <c r="E46" s="71"/>
      <c r="F46" s="71"/>
      <c r="G46" s="71"/>
      <c r="H46" s="71"/>
      <c r="I46" s="71"/>
      <c r="J46" s="71"/>
      <c r="K46" s="71"/>
      <c r="L46" s="71"/>
      <c r="M46" s="71"/>
    </row>
    <row r="47" spans="2:13" ht="42">
      <c r="B47" s="27"/>
      <c r="C47" s="29" t="s">
        <v>485</v>
      </c>
      <c r="D47" s="85">
        <v>18</v>
      </c>
      <c r="E47" s="71"/>
      <c r="F47" s="71"/>
      <c r="G47" s="71"/>
      <c r="H47" s="71"/>
      <c r="I47" s="71"/>
      <c r="J47" s="71"/>
      <c r="K47" s="71"/>
      <c r="L47" s="71"/>
      <c r="M47" s="71"/>
    </row>
    <row r="48" spans="2:13" ht="42">
      <c r="B48" s="27"/>
      <c r="C48" s="29" t="s">
        <v>486</v>
      </c>
      <c r="D48" s="85">
        <v>204</v>
      </c>
      <c r="E48" s="71"/>
      <c r="F48" s="71"/>
      <c r="G48" s="71"/>
      <c r="H48" s="71"/>
      <c r="I48" s="71"/>
      <c r="J48" s="71"/>
      <c r="K48" s="71"/>
      <c r="L48" s="71"/>
      <c r="M48" s="71"/>
    </row>
    <row r="49" spans="2:13">
      <c r="B49" s="27"/>
      <c r="C49" s="30"/>
      <c r="D49" s="96"/>
    </row>
    <row r="50" spans="2:13" ht="44">
      <c r="B50" s="27"/>
      <c r="C50" s="28" t="s">
        <v>426</v>
      </c>
      <c r="D50" s="85">
        <v>142</v>
      </c>
      <c r="E50" s="71" t="s">
        <v>500</v>
      </c>
      <c r="F50" s="71"/>
      <c r="G50" s="71"/>
      <c r="H50" s="71"/>
      <c r="I50" s="71"/>
      <c r="J50" s="71"/>
      <c r="K50" s="71"/>
      <c r="L50" s="71"/>
      <c r="M50" s="71"/>
    </row>
    <row r="51" spans="2:13" ht="28">
      <c r="B51" s="27"/>
      <c r="C51" s="29" t="s">
        <v>487</v>
      </c>
      <c r="D51" s="85">
        <v>128</v>
      </c>
      <c r="E51" s="71"/>
      <c r="F51" s="71"/>
      <c r="G51" s="71"/>
      <c r="H51" s="71"/>
      <c r="I51" s="71"/>
      <c r="J51" s="71"/>
      <c r="K51" s="71"/>
      <c r="L51" s="71"/>
      <c r="M51" s="71"/>
    </row>
    <row r="52" spans="2:13" ht="28">
      <c r="B52" s="27"/>
      <c r="C52" s="29" t="s">
        <v>488</v>
      </c>
      <c r="D52" s="85">
        <v>14</v>
      </c>
      <c r="E52" s="71" t="s">
        <v>501</v>
      </c>
      <c r="F52" s="71"/>
      <c r="G52" s="71"/>
      <c r="H52" s="71"/>
      <c r="I52" s="71"/>
      <c r="J52" s="71"/>
      <c r="K52" s="71"/>
      <c r="L52" s="71"/>
      <c r="M52" s="71"/>
    </row>
    <row r="53" spans="2:13">
      <c r="B53" s="27"/>
      <c r="C53" s="31"/>
      <c r="D53" s="96"/>
    </row>
    <row r="54" spans="2:13" ht="28">
      <c r="B54" s="27"/>
      <c r="C54" s="28" t="s">
        <v>427</v>
      </c>
      <c r="D54" s="85"/>
      <c r="E54" s="71"/>
      <c r="F54" s="71"/>
      <c r="G54" s="71"/>
      <c r="H54" s="71"/>
      <c r="I54" s="71"/>
      <c r="J54" s="71"/>
      <c r="K54" s="71"/>
      <c r="L54" s="71"/>
      <c r="M54" s="71"/>
    </row>
    <row r="55" spans="2:13" ht="42">
      <c r="B55" s="27"/>
      <c r="C55" s="28" t="s">
        <v>489</v>
      </c>
      <c r="D55" s="85" t="s">
        <v>502</v>
      </c>
      <c r="E55" s="71"/>
      <c r="F55" s="71"/>
      <c r="G55" s="71"/>
      <c r="H55" s="71"/>
      <c r="I55" s="71"/>
      <c r="J55" s="71"/>
      <c r="K55" s="71"/>
      <c r="L55" s="71"/>
      <c r="M55" s="71"/>
    </row>
    <row r="56" spans="2:13" ht="42">
      <c r="B56" s="27"/>
      <c r="C56" s="28" t="s">
        <v>490</v>
      </c>
      <c r="D56" s="85" t="s">
        <v>502</v>
      </c>
      <c r="E56" s="71"/>
      <c r="F56" s="71"/>
      <c r="G56" s="71"/>
      <c r="H56" s="71"/>
      <c r="I56" s="71"/>
      <c r="J56" s="71"/>
      <c r="K56" s="71"/>
      <c r="L56" s="71"/>
      <c r="M56" s="71"/>
    </row>
    <row r="57" spans="2:13" ht="56">
      <c r="B57" s="27"/>
      <c r="C57" s="28" t="s">
        <v>430</v>
      </c>
      <c r="D57" s="85"/>
      <c r="E57" s="71"/>
      <c r="F57" s="71"/>
      <c r="G57" s="71"/>
      <c r="H57" s="71"/>
      <c r="I57" s="71"/>
      <c r="J57" s="71"/>
      <c r="K57" s="71"/>
      <c r="L57" s="71"/>
      <c r="M57" s="71"/>
    </row>
    <row r="58" spans="2:13" ht="70">
      <c r="B58" s="27"/>
      <c r="C58" s="28" t="s">
        <v>431</v>
      </c>
      <c r="D58" s="85"/>
      <c r="E58" s="71"/>
      <c r="F58" s="71"/>
      <c r="G58" s="71"/>
      <c r="H58" s="71"/>
      <c r="I58" s="71"/>
      <c r="J58" s="71"/>
      <c r="K58" s="71"/>
      <c r="L58" s="71"/>
      <c r="M58" s="71"/>
    </row>
  </sheetData>
  <mergeCells count="2">
    <mergeCell ref="C6:D6"/>
    <mergeCell ref="C7:D7"/>
  </mergeCells>
  <conditionalFormatting sqref="B13:B17">
    <cfRule type="colorScale" priority="12">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141" priority="2">
      <formula>#REF!="Owned"</formula>
    </cfRule>
  </conditionalFormatting>
  <conditionalFormatting sqref="B28:B29 B26">
    <cfRule type="colorScale" priority="9">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B25:C26">
    <cfRule type="expression" dxfId="140" priority="4">
      <formula>#REF!="Owned"</formula>
    </cfRule>
  </conditionalFormatting>
  <conditionalFormatting sqref="C27:C32">
    <cfRule type="expression" dxfId="139" priority="1">
      <formula>#REF!="Owned"</formula>
    </cfRule>
  </conditionalFormatting>
  <dataValidations count="1">
    <dataValidation type="list" allowBlank="1" showInputMessage="1" showErrorMessage="1" sqref="E6" xr:uid="{0D5A4E8B-1054-419A-B474-51157DD907B9}">
      <formula1>"Yes, No"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11FBF-A5F6-471B-8156-E067C9B8D3B3}">
  <sheetPr codeName="Feuil7">
    <tabColor rgb="FF00B050"/>
  </sheetPr>
  <dimension ref="A1:R58"/>
  <sheetViews>
    <sheetView topLeftCell="A51" zoomScale="70" zoomScaleNormal="70" workbookViewId="0">
      <selection activeCell="G25" sqref="G25"/>
    </sheetView>
  </sheetViews>
  <sheetFormatPr baseColWidth="10" defaultColWidth="11.5" defaultRowHeight="13"/>
  <cols>
    <col min="3" max="3" width="17" customWidth="1"/>
    <col min="4" max="18" width="22.83203125" customWidth="1"/>
  </cols>
  <sheetData>
    <row r="1" spans="1:18">
      <c r="A1" s="1"/>
      <c r="B1" s="1"/>
      <c r="C1" s="1"/>
      <c r="D1" s="1"/>
      <c r="E1" s="1"/>
      <c r="F1" s="1"/>
      <c r="G1" s="1"/>
      <c r="H1" s="1"/>
      <c r="I1" s="1"/>
      <c r="J1" s="1"/>
      <c r="K1" s="1"/>
      <c r="L1" s="1"/>
      <c r="M1" s="1"/>
      <c r="N1" s="1"/>
      <c r="O1" s="1"/>
      <c r="P1" s="1"/>
      <c r="Q1" s="1"/>
      <c r="R1" s="1"/>
    </row>
    <row r="2" spans="1:18">
      <c r="A2" s="1"/>
      <c r="B2" s="1"/>
      <c r="C2" s="506" t="s">
        <v>323</v>
      </c>
      <c r="D2" s="100">
        <v>45919</v>
      </c>
      <c r="E2" s="315"/>
      <c r="F2" s="1"/>
      <c r="G2" s="3"/>
      <c r="H2" s="3"/>
      <c r="I2" s="3"/>
      <c r="J2" s="4"/>
      <c r="K2" s="1"/>
      <c r="L2" s="1"/>
      <c r="M2" s="1"/>
      <c r="N2" s="1"/>
      <c r="O2" s="1"/>
      <c r="P2" s="1"/>
      <c r="Q2" s="1"/>
      <c r="R2" s="1"/>
    </row>
    <row r="3" spans="1:18">
      <c r="A3" s="1"/>
      <c r="B3" s="1"/>
      <c r="C3" s="1"/>
      <c r="D3" s="1"/>
      <c r="E3" s="1"/>
      <c r="F3" s="1"/>
      <c r="G3" s="1"/>
      <c r="H3" s="1"/>
      <c r="I3" s="1"/>
      <c r="J3" s="1"/>
      <c r="K3" s="1"/>
      <c r="L3" s="1"/>
      <c r="M3" s="1"/>
      <c r="N3" s="1"/>
      <c r="O3" s="1"/>
      <c r="P3" s="1"/>
      <c r="Q3" s="1"/>
      <c r="R3" s="1"/>
    </row>
    <row r="4" spans="1:18">
      <c r="A4" s="1"/>
      <c r="B4" s="1"/>
      <c r="C4" s="316" t="s">
        <v>324</v>
      </c>
      <c r="D4" s="82" t="s">
        <v>9</v>
      </c>
      <c r="E4" s="317"/>
      <c r="F4" s="1"/>
      <c r="G4" s="1"/>
      <c r="H4" s="1"/>
      <c r="I4" s="83"/>
      <c r="J4" s="5"/>
      <c r="K4" s="1"/>
      <c r="L4" s="1"/>
      <c r="M4" s="1"/>
      <c r="N4" s="1"/>
      <c r="O4" s="1"/>
      <c r="P4" s="1"/>
      <c r="Q4" s="1"/>
      <c r="R4" s="1"/>
    </row>
    <row r="5" spans="1:18">
      <c r="A5" s="1"/>
      <c r="B5" s="1"/>
      <c r="C5" s="1"/>
      <c r="D5" s="1"/>
      <c r="E5" s="1"/>
      <c r="F5" s="1"/>
      <c r="G5" s="1"/>
      <c r="H5" s="1"/>
      <c r="I5" s="1"/>
      <c r="J5" s="1"/>
      <c r="K5" s="1"/>
      <c r="L5" s="1"/>
      <c r="M5" s="1"/>
      <c r="N5" s="1"/>
      <c r="O5" s="1"/>
      <c r="P5" s="1"/>
      <c r="Q5" s="1"/>
      <c r="R5" s="1"/>
    </row>
    <row r="6" spans="1:18">
      <c r="A6" s="1"/>
      <c r="B6" s="1" t="s">
        <v>326</v>
      </c>
      <c r="C6" s="589" t="s">
        <v>327</v>
      </c>
      <c r="D6" s="590"/>
      <c r="E6" s="6" t="s">
        <v>414</v>
      </c>
      <c r="F6" s="101"/>
      <c r="G6" s="101"/>
      <c r="H6" s="101"/>
      <c r="I6" s="1"/>
      <c r="J6" s="1"/>
      <c r="K6" s="1"/>
      <c r="L6" s="1"/>
      <c r="M6" s="1"/>
      <c r="N6" s="1"/>
      <c r="O6" s="1"/>
      <c r="P6" s="1"/>
      <c r="Q6" s="1"/>
      <c r="R6" s="1"/>
    </row>
    <row r="7" spans="1:18">
      <c r="A7" s="1"/>
      <c r="B7" s="1" t="s">
        <v>326</v>
      </c>
      <c r="C7" s="589" t="s">
        <v>329</v>
      </c>
      <c r="D7" s="590"/>
      <c r="E7" s="6">
        <v>3</v>
      </c>
      <c r="F7" s="101"/>
      <c r="G7" s="101"/>
      <c r="H7" s="101"/>
      <c r="I7" s="1"/>
      <c r="J7" s="1"/>
      <c r="K7" s="1"/>
      <c r="L7" s="1"/>
      <c r="M7" s="1"/>
      <c r="N7" s="1"/>
      <c r="O7" s="1"/>
      <c r="P7" s="1"/>
      <c r="Q7" s="1"/>
      <c r="R7" s="1"/>
    </row>
    <row r="8" spans="1:18">
      <c r="A8" s="1"/>
      <c r="B8" s="1"/>
      <c r="C8" s="113"/>
      <c r="D8" s="113"/>
      <c r="E8" s="42"/>
      <c r="F8" s="101"/>
      <c r="G8" s="101"/>
      <c r="H8" s="101"/>
      <c r="I8" s="1"/>
      <c r="J8" s="1"/>
      <c r="K8" s="1"/>
      <c r="L8" s="1"/>
      <c r="M8" s="1"/>
      <c r="N8" s="1"/>
      <c r="O8" s="1"/>
      <c r="P8" s="1"/>
      <c r="Q8" s="1"/>
      <c r="R8" s="1"/>
    </row>
    <row r="9" spans="1:18">
      <c r="A9" s="1"/>
      <c r="B9" s="1"/>
      <c r="C9" s="318" t="s">
        <v>441</v>
      </c>
      <c r="D9" s="67"/>
      <c r="E9" s="67"/>
      <c r="F9" s="67"/>
      <c r="G9" s="67"/>
      <c r="H9" s="67"/>
      <c r="I9" s="67"/>
      <c r="J9" s="67"/>
      <c r="K9" s="67"/>
      <c r="L9" s="67"/>
      <c r="M9" s="67"/>
      <c r="N9" s="67"/>
      <c r="O9" s="67"/>
      <c r="P9" s="67"/>
      <c r="Q9" s="67"/>
      <c r="R9" s="1"/>
    </row>
    <row r="10" spans="1:18" ht="14">
      <c r="A10" s="1"/>
      <c r="B10" s="1"/>
      <c r="C10" s="104" t="s">
        <v>331</v>
      </c>
      <c r="D10" s="114" t="s">
        <v>503</v>
      </c>
      <c r="E10" s="114" t="s">
        <v>504</v>
      </c>
      <c r="F10" s="114" t="s">
        <v>334</v>
      </c>
      <c r="G10" s="114" t="s">
        <v>335</v>
      </c>
      <c r="H10" s="114" t="s">
        <v>336</v>
      </c>
      <c r="I10" s="114" t="s">
        <v>337</v>
      </c>
      <c r="J10" s="114" t="s">
        <v>338</v>
      </c>
      <c r="K10" s="114" t="s">
        <v>339</v>
      </c>
      <c r="L10" s="114" t="s">
        <v>340</v>
      </c>
      <c r="M10" s="114" t="s">
        <v>341</v>
      </c>
      <c r="N10" s="114" t="s">
        <v>342</v>
      </c>
      <c r="O10" s="114" t="s">
        <v>343</v>
      </c>
      <c r="P10" s="114" t="s">
        <v>344</v>
      </c>
      <c r="Q10" s="114" t="s">
        <v>345</v>
      </c>
      <c r="R10" s="114" t="s">
        <v>346</v>
      </c>
    </row>
    <row r="11" spans="1:18" ht="14">
      <c r="A11" s="1"/>
      <c r="B11" s="1"/>
      <c r="C11" s="104" t="s">
        <v>299</v>
      </c>
      <c r="D11" s="84" t="s">
        <v>505</v>
      </c>
      <c r="E11" s="84"/>
      <c r="F11" s="84"/>
      <c r="G11" s="84"/>
      <c r="H11" s="84"/>
      <c r="I11" s="84"/>
      <c r="J11" s="84"/>
      <c r="K11" s="84"/>
      <c r="L11" s="84"/>
      <c r="M11" s="84"/>
      <c r="N11" s="84"/>
      <c r="O11" s="84"/>
      <c r="P11" s="84"/>
      <c r="Q11" s="84"/>
      <c r="R11" s="84"/>
    </row>
    <row r="12" spans="1:18">
      <c r="A12" s="1"/>
      <c r="B12" s="1"/>
      <c r="C12" s="68"/>
      <c r="D12" s="321"/>
      <c r="E12" s="321"/>
      <c r="F12" s="321"/>
      <c r="G12" s="321"/>
      <c r="H12" s="321"/>
      <c r="I12" s="321"/>
      <c r="J12" s="322"/>
      <c r="K12" s="322"/>
      <c r="L12" s="322"/>
      <c r="M12" s="322"/>
      <c r="N12" s="322"/>
      <c r="O12" s="322"/>
      <c r="P12" s="322"/>
      <c r="Q12" s="322"/>
      <c r="R12" s="322"/>
    </row>
    <row r="13" spans="1:18" ht="48">
      <c r="A13" s="1"/>
      <c r="B13" s="7" t="s">
        <v>348</v>
      </c>
      <c r="C13" s="8" t="s">
        <v>349</v>
      </c>
      <c r="D13" s="118" t="s">
        <v>506</v>
      </c>
      <c r="E13" s="118"/>
      <c r="F13" s="118"/>
      <c r="G13" s="118"/>
      <c r="H13" s="118"/>
      <c r="I13" s="118"/>
      <c r="J13" s="118"/>
      <c r="K13" s="118"/>
      <c r="L13" s="118"/>
      <c r="M13" s="118"/>
      <c r="N13" s="118"/>
      <c r="O13" s="118"/>
      <c r="P13" s="118"/>
      <c r="Q13" s="118"/>
      <c r="R13" s="118"/>
    </row>
    <row r="14" spans="1:18" ht="24">
      <c r="A14" s="1"/>
      <c r="B14" s="7" t="s">
        <v>352</v>
      </c>
      <c r="C14" s="8" t="s">
        <v>297</v>
      </c>
      <c r="D14" s="85" t="s">
        <v>14</v>
      </c>
      <c r="E14" s="85"/>
      <c r="F14" s="85"/>
      <c r="G14" s="85"/>
      <c r="H14" s="85"/>
      <c r="I14" s="85"/>
      <c r="J14" s="85"/>
      <c r="K14" s="85"/>
      <c r="L14" s="85"/>
      <c r="M14" s="85"/>
      <c r="N14" s="85"/>
      <c r="O14" s="85"/>
      <c r="P14" s="85"/>
      <c r="Q14" s="85"/>
      <c r="R14" s="85"/>
    </row>
    <row r="15" spans="1:18" ht="36">
      <c r="A15" s="1"/>
      <c r="B15" s="7" t="s">
        <v>353</v>
      </c>
      <c r="C15" s="8" t="s">
        <v>354</v>
      </c>
      <c r="D15" s="85" t="s">
        <v>15</v>
      </c>
      <c r="E15" s="85"/>
      <c r="F15" s="85"/>
      <c r="G15" s="85"/>
      <c r="H15" s="85"/>
      <c r="I15" s="85"/>
      <c r="J15" s="85"/>
      <c r="K15" s="85"/>
      <c r="L15" s="85"/>
      <c r="M15" s="85"/>
      <c r="N15" s="85"/>
      <c r="O15" s="85"/>
      <c r="P15" s="85"/>
      <c r="Q15" s="85"/>
      <c r="R15" s="85"/>
    </row>
    <row r="16" spans="1:18" ht="24">
      <c r="A16" s="1"/>
      <c r="B16" s="7" t="s">
        <v>355</v>
      </c>
      <c r="C16" s="8" t="s">
        <v>356</v>
      </c>
      <c r="D16" s="85">
        <v>1407</v>
      </c>
      <c r="E16" s="85"/>
      <c r="F16" s="85"/>
      <c r="G16" s="85"/>
      <c r="H16" s="85"/>
      <c r="I16" s="85"/>
      <c r="J16" s="85"/>
      <c r="K16" s="85"/>
      <c r="L16" s="85"/>
      <c r="M16" s="85"/>
      <c r="N16" s="85"/>
      <c r="O16" s="85"/>
      <c r="P16" s="85"/>
      <c r="Q16" s="85"/>
      <c r="R16" s="85"/>
    </row>
    <row r="17" spans="1:18" ht="24">
      <c r="A17" s="1"/>
      <c r="B17" s="7" t="s">
        <v>357</v>
      </c>
      <c r="C17" s="8" t="s">
        <v>294</v>
      </c>
      <c r="D17" s="85" t="s">
        <v>13</v>
      </c>
      <c r="E17" s="85"/>
      <c r="F17" s="85"/>
      <c r="G17" s="85"/>
      <c r="H17" s="85"/>
      <c r="I17" s="85"/>
      <c r="J17" s="85"/>
      <c r="K17" s="85"/>
      <c r="L17" s="85"/>
      <c r="M17" s="85"/>
      <c r="N17" s="85"/>
      <c r="O17" s="85"/>
      <c r="P17" s="85"/>
      <c r="Q17" s="85"/>
      <c r="R17" s="85"/>
    </row>
    <row r="18" spans="1:18" ht="14">
      <c r="A18" s="1"/>
      <c r="B18" s="9" t="s">
        <v>358</v>
      </c>
      <c r="C18" s="10" t="s">
        <v>359</v>
      </c>
      <c r="D18" s="85" t="s">
        <v>360</v>
      </c>
      <c r="E18" s="85"/>
      <c r="F18" s="85"/>
      <c r="G18" s="85"/>
      <c r="H18" s="85"/>
      <c r="I18" s="85"/>
      <c r="J18" s="85"/>
      <c r="K18" s="85"/>
      <c r="L18" s="85"/>
      <c r="M18" s="85"/>
      <c r="N18" s="85"/>
      <c r="O18" s="85"/>
      <c r="P18" s="85"/>
      <c r="Q18" s="85"/>
      <c r="R18" s="85"/>
    </row>
    <row r="19" spans="1:18" ht="56">
      <c r="A19" s="1"/>
      <c r="B19" s="9" t="s">
        <v>361</v>
      </c>
      <c r="C19" s="10" t="s">
        <v>362</v>
      </c>
      <c r="D19" s="85" t="s">
        <v>328</v>
      </c>
      <c r="E19" s="85"/>
      <c r="F19" s="85"/>
      <c r="G19" s="85"/>
      <c r="H19" s="85"/>
      <c r="I19" s="85"/>
      <c r="J19" s="85"/>
      <c r="K19" s="85"/>
      <c r="L19" s="85"/>
      <c r="M19" s="85"/>
      <c r="N19" s="85"/>
      <c r="O19" s="85"/>
      <c r="P19" s="85"/>
      <c r="Q19" s="85"/>
      <c r="R19" s="85"/>
    </row>
    <row r="20" spans="1:18" ht="72">
      <c r="A20" s="1"/>
      <c r="B20" s="9" t="s">
        <v>363</v>
      </c>
      <c r="C20" s="10" t="s">
        <v>364</v>
      </c>
      <c r="D20" s="85" t="s">
        <v>328</v>
      </c>
      <c r="E20" s="85"/>
      <c r="F20" s="85"/>
      <c r="G20" s="85"/>
      <c r="H20" s="85"/>
      <c r="I20" s="85"/>
      <c r="J20" s="85"/>
      <c r="K20" s="85"/>
      <c r="L20" s="85"/>
      <c r="M20" s="85"/>
      <c r="N20" s="85"/>
      <c r="O20" s="85"/>
      <c r="P20" s="85"/>
      <c r="Q20" s="85"/>
      <c r="R20" s="85"/>
    </row>
    <row r="21" spans="1:18" ht="36">
      <c r="A21" s="1"/>
      <c r="B21" s="11" t="s">
        <v>365</v>
      </c>
      <c r="C21" s="12" t="s">
        <v>366</v>
      </c>
      <c r="D21" s="85" t="s">
        <v>507</v>
      </c>
      <c r="E21" s="85"/>
      <c r="F21" s="85"/>
      <c r="G21" s="85"/>
      <c r="H21" s="85"/>
      <c r="I21" s="85"/>
      <c r="J21" s="85"/>
      <c r="K21" s="85"/>
      <c r="L21" s="85"/>
      <c r="M21" s="85"/>
      <c r="N21" s="85"/>
      <c r="O21" s="85"/>
      <c r="P21" s="85"/>
      <c r="Q21" s="85"/>
      <c r="R21" s="85"/>
    </row>
    <row r="22" spans="1:18" ht="36">
      <c r="A22" s="1"/>
      <c r="B22" s="11" t="s">
        <v>369</v>
      </c>
      <c r="C22" s="12" t="s">
        <v>370</v>
      </c>
      <c r="D22" s="85" t="s">
        <v>508</v>
      </c>
      <c r="E22" s="85"/>
      <c r="F22" s="85"/>
      <c r="G22" s="85"/>
      <c r="H22" s="85"/>
      <c r="I22" s="85"/>
      <c r="J22" s="85"/>
      <c r="K22" s="85"/>
      <c r="L22" s="85"/>
      <c r="M22" s="85"/>
      <c r="N22" s="85"/>
      <c r="O22" s="85"/>
      <c r="P22" s="85"/>
      <c r="Q22" s="85"/>
      <c r="R22" s="85"/>
    </row>
    <row r="23" spans="1:18" ht="14">
      <c r="A23" s="1"/>
      <c r="B23" s="13"/>
      <c r="C23" s="87" t="s">
        <v>374</v>
      </c>
      <c r="D23" s="131" t="s">
        <v>374</v>
      </c>
      <c r="E23" s="131"/>
      <c r="F23" s="131"/>
      <c r="G23" s="131"/>
      <c r="H23" s="131"/>
      <c r="I23" s="131"/>
      <c r="J23" s="131"/>
      <c r="K23" s="131"/>
      <c r="L23" s="131"/>
      <c r="M23" s="131"/>
      <c r="N23" s="131"/>
      <c r="O23" s="131"/>
      <c r="P23" s="131"/>
      <c r="Q23" s="131"/>
      <c r="R23" s="131"/>
    </row>
    <row r="24" spans="1:18" ht="60">
      <c r="A24" s="1"/>
      <c r="B24" s="13" t="s">
        <v>375</v>
      </c>
      <c r="C24" s="14" t="s">
        <v>376</v>
      </c>
      <c r="D24" s="88">
        <v>45.77</v>
      </c>
      <c r="E24" s="88"/>
      <c r="F24" s="88"/>
      <c r="G24" s="88"/>
      <c r="H24" s="88"/>
      <c r="I24" s="88"/>
      <c r="J24" s="88"/>
      <c r="K24" s="88"/>
      <c r="L24" s="88"/>
      <c r="M24" s="88"/>
      <c r="N24" s="88"/>
      <c r="O24" s="88"/>
      <c r="P24" s="88"/>
      <c r="Q24" s="88"/>
      <c r="R24" s="88"/>
    </row>
    <row r="25" spans="1:18" ht="60">
      <c r="A25" s="1"/>
      <c r="B25" s="15" t="s">
        <v>377</v>
      </c>
      <c r="C25" s="16" t="s">
        <v>378</v>
      </c>
      <c r="D25" s="85">
        <v>1</v>
      </c>
      <c r="E25" s="85"/>
      <c r="F25" s="85"/>
      <c r="G25" s="85"/>
      <c r="H25" s="85"/>
      <c r="I25" s="85"/>
      <c r="J25" s="85"/>
      <c r="K25" s="85"/>
      <c r="L25" s="85"/>
      <c r="M25" s="85"/>
      <c r="N25" s="85"/>
      <c r="O25" s="85"/>
      <c r="P25" s="85"/>
      <c r="Q25" s="85"/>
      <c r="R25" s="85"/>
    </row>
    <row r="26" spans="1:18" ht="60">
      <c r="A26" s="1"/>
      <c r="B26" s="15" t="s">
        <v>380</v>
      </c>
      <c r="C26" s="16" t="s">
        <v>381</v>
      </c>
      <c r="D26" s="88" t="s">
        <v>449</v>
      </c>
      <c r="E26" s="85"/>
      <c r="F26" s="85"/>
      <c r="G26" s="85"/>
      <c r="H26" s="85"/>
      <c r="I26" s="85"/>
      <c r="J26" s="85"/>
      <c r="K26" s="85"/>
      <c r="L26" s="85"/>
      <c r="M26" s="85"/>
      <c r="N26" s="85"/>
      <c r="O26" s="85"/>
      <c r="P26" s="85"/>
      <c r="Q26" s="85"/>
      <c r="R26" s="85"/>
    </row>
    <row r="27" spans="1:18" ht="14">
      <c r="A27" s="1"/>
      <c r="B27" s="323" t="s">
        <v>383</v>
      </c>
      <c r="C27" s="324" t="s">
        <v>383</v>
      </c>
      <c r="D27" s="88"/>
      <c r="E27" s="85"/>
      <c r="F27" s="85"/>
      <c r="G27" s="85"/>
      <c r="H27" s="85"/>
      <c r="I27" s="85"/>
      <c r="J27" s="85"/>
      <c r="K27" s="85"/>
      <c r="L27" s="85"/>
      <c r="M27" s="85"/>
      <c r="N27" s="85"/>
      <c r="O27" s="85"/>
      <c r="P27" s="85"/>
      <c r="Q27" s="85"/>
      <c r="R27" s="85"/>
    </row>
    <row r="28" spans="1:18" ht="60">
      <c r="A28" s="1"/>
      <c r="B28" s="15" t="s">
        <v>384</v>
      </c>
      <c r="C28" s="16" t="s">
        <v>450</v>
      </c>
      <c r="D28" s="88">
        <v>156</v>
      </c>
      <c r="E28" s="85"/>
      <c r="F28" s="85"/>
      <c r="G28" s="85"/>
      <c r="H28" s="85"/>
      <c r="I28" s="85"/>
      <c r="J28" s="85"/>
      <c r="K28" s="85"/>
      <c r="L28" s="85"/>
      <c r="M28" s="85"/>
      <c r="N28" s="85"/>
      <c r="O28" s="85"/>
      <c r="P28" s="85"/>
      <c r="Q28" s="85"/>
      <c r="R28" s="85"/>
    </row>
    <row r="29" spans="1:18" ht="72">
      <c r="A29" s="1"/>
      <c r="B29" s="15" t="s">
        <v>387</v>
      </c>
      <c r="C29" s="16" t="s">
        <v>388</v>
      </c>
      <c r="D29" s="88" t="s">
        <v>452</v>
      </c>
      <c r="E29" s="85"/>
      <c r="F29" s="85"/>
      <c r="G29" s="85"/>
      <c r="H29" s="85"/>
      <c r="I29" s="85"/>
      <c r="J29" s="85"/>
      <c r="K29" s="85"/>
      <c r="L29" s="85"/>
      <c r="M29" s="85"/>
      <c r="N29" s="85"/>
      <c r="O29" s="85"/>
      <c r="P29" s="85"/>
      <c r="Q29" s="85"/>
      <c r="R29" s="85"/>
    </row>
    <row r="30" spans="1:18" ht="86">
      <c r="A30" s="1"/>
      <c r="B30" s="13" t="s">
        <v>390</v>
      </c>
      <c r="C30" s="17" t="s">
        <v>453</v>
      </c>
      <c r="D30" s="85">
        <v>53.6</v>
      </c>
      <c r="E30" s="85"/>
      <c r="F30" s="85"/>
      <c r="G30" s="85"/>
      <c r="H30" s="85"/>
      <c r="I30" s="85"/>
      <c r="J30" s="85"/>
      <c r="K30" s="85"/>
      <c r="L30" s="85"/>
      <c r="M30" s="85"/>
      <c r="N30" s="85"/>
      <c r="O30" s="85"/>
      <c r="P30" s="85"/>
      <c r="Q30" s="85"/>
      <c r="R30" s="85"/>
    </row>
    <row r="31" spans="1:18" ht="28">
      <c r="A31" s="1"/>
      <c r="B31" s="326"/>
      <c r="C31" s="327" t="s">
        <v>393</v>
      </c>
      <c r="D31" s="85"/>
      <c r="E31" s="85"/>
      <c r="F31" s="85"/>
      <c r="G31" s="85"/>
      <c r="H31" s="85"/>
      <c r="I31" s="85"/>
      <c r="J31" s="85"/>
      <c r="K31" s="85"/>
      <c r="L31" s="85"/>
      <c r="M31" s="85"/>
      <c r="N31" s="85"/>
      <c r="O31" s="85"/>
      <c r="P31" s="85"/>
      <c r="Q31" s="85"/>
      <c r="R31" s="85"/>
    </row>
    <row r="32" spans="1:18" ht="72">
      <c r="A32" s="1"/>
      <c r="B32" s="13" t="s">
        <v>394</v>
      </c>
      <c r="C32" s="17" t="s">
        <v>395</v>
      </c>
      <c r="D32" s="85" t="s">
        <v>452</v>
      </c>
      <c r="E32" s="85"/>
      <c r="F32" s="85"/>
      <c r="G32" s="85"/>
      <c r="H32" s="85"/>
      <c r="I32" s="85"/>
      <c r="J32" s="85"/>
      <c r="K32" s="85"/>
      <c r="L32" s="85"/>
      <c r="M32" s="85"/>
      <c r="N32" s="85"/>
      <c r="O32" s="85"/>
      <c r="P32" s="85"/>
      <c r="Q32" s="85"/>
      <c r="R32" s="85"/>
    </row>
    <row r="33" spans="1:18" ht="24">
      <c r="A33" s="1"/>
      <c r="B33" s="18" t="s">
        <v>397</v>
      </c>
      <c r="C33" s="19" t="s">
        <v>313</v>
      </c>
      <c r="D33" s="91">
        <v>44378</v>
      </c>
      <c r="E33" s="91"/>
      <c r="F33" s="91"/>
      <c r="G33" s="91"/>
      <c r="H33" s="91"/>
      <c r="I33" s="91"/>
      <c r="J33" s="85"/>
      <c r="K33" s="85"/>
      <c r="L33" s="85"/>
      <c r="M33" s="85"/>
      <c r="N33" s="85"/>
      <c r="O33" s="85"/>
      <c r="P33" s="85"/>
      <c r="Q33" s="85"/>
      <c r="R33" s="85"/>
    </row>
    <row r="34" spans="1:18" ht="36">
      <c r="A34" s="1"/>
      <c r="B34" s="20" t="s">
        <v>398</v>
      </c>
      <c r="C34" s="19" t="s">
        <v>315</v>
      </c>
      <c r="D34" s="91">
        <v>48029</v>
      </c>
      <c r="E34" s="91"/>
      <c r="F34" s="91"/>
      <c r="G34" s="91"/>
      <c r="H34" s="91"/>
      <c r="I34" s="91"/>
      <c r="J34" s="85"/>
      <c r="K34" s="85"/>
      <c r="L34" s="85"/>
      <c r="M34" s="85"/>
      <c r="N34" s="85"/>
      <c r="O34" s="85"/>
      <c r="P34" s="85"/>
      <c r="Q34" s="85"/>
      <c r="R34" s="85"/>
    </row>
    <row r="35" spans="1:18" ht="36">
      <c r="A35" s="1"/>
      <c r="B35" s="20" t="s">
        <v>399</v>
      </c>
      <c r="C35" s="19" t="s">
        <v>400</v>
      </c>
      <c r="D35" s="85" t="s">
        <v>410</v>
      </c>
      <c r="E35" s="85"/>
      <c r="F35" s="85"/>
      <c r="G35" s="85"/>
      <c r="H35" s="85"/>
      <c r="I35" s="85"/>
      <c r="J35" s="85"/>
      <c r="K35" s="85"/>
      <c r="L35" s="85"/>
      <c r="M35" s="85"/>
      <c r="N35" s="85"/>
      <c r="O35" s="85"/>
      <c r="P35" s="85"/>
      <c r="Q35" s="85"/>
      <c r="R35" s="85"/>
    </row>
    <row r="36" spans="1:18" ht="48">
      <c r="A36" s="1"/>
      <c r="B36" s="20" t="s">
        <v>402</v>
      </c>
      <c r="C36" s="21" t="s">
        <v>403</v>
      </c>
      <c r="D36" s="93" t="s">
        <v>328</v>
      </c>
      <c r="E36" s="93"/>
      <c r="F36" s="93"/>
      <c r="G36" s="93"/>
      <c r="H36" s="93"/>
      <c r="I36" s="93"/>
      <c r="J36" s="85"/>
      <c r="K36" s="85"/>
      <c r="L36" s="85"/>
      <c r="M36" s="85"/>
      <c r="N36" s="85"/>
      <c r="O36" s="85"/>
      <c r="P36" s="85"/>
      <c r="Q36" s="85"/>
      <c r="R36" s="85"/>
    </row>
    <row r="37" spans="1:18" ht="72">
      <c r="A37" s="1"/>
      <c r="B37" s="20" t="s">
        <v>404</v>
      </c>
      <c r="C37" s="21" t="s">
        <v>405</v>
      </c>
      <c r="D37" s="93" t="s">
        <v>410</v>
      </c>
      <c r="E37" s="93"/>
      <c r="F37" s="93"/>
      <c r="G37" s="93"/>
      <c r="H37" s="93"/>
      <c r="I37" s="93"/>
      <c r="J37" s="85"/>
      <c r="K37" s="85"/>
      <c r="L37" s="85"/>
      <c r="M37" s="85"/>
      <c r="N37" s="85"/>
      <c r="O37" s="85"/>
      <c r="P37" s="85"/>
      <c r="Q37" s="85"/>
      <c r="R37" s="85"/>
    </row>
    <row r="38" spans="1:18" ht="36">
      <c r="A38" s="1"/>
      <c r="B38" s="20" t="s">
        <v>406</v>
      </c>
      <c r="C38" s="21" t="s">
        <v>407</v>
      </c>
      <c r="D38" s="93" t="s">
        <v>328</v>
      </c>
      <c r="E38" s="93"/>
      <c r="F38" s="93"/>
      <c r="G38" s="93"/>
      <c r="H38" s="93"/>
      <c r="I38" s="93"/>
      <c r="J38" s="85"/>
      <c r="K38" s="85"/>
      <c r="L38" s="85"/>
      <c r="M38" s="85"/>
      <c r="N38" s="85"/>
      <c r="O38" s="85"/>
      <c r="P38" s="85"/>
      <c r="Q38" s="85"/>
      <c r="R38" s="85"/>
    </row>
    <row r="39" spans="1:18" ht="42">
      <c r="A39" s="1"/>
      <c r="B39" s="20" t="s">
        <v>408</v>
      </c>
      <c r="C39" s="21" t="s">
        <v>409</v>
      </c>
      <c r="D39" s="93" t="s">
        <v>328</v>
      </c>
      <c r="E39" s="93"/>
      <c r="F39" s="93"/>
      <c r="G39" s="93"/>
      <c r="H39" s="93"/>
      <c r="I39" s="93"/>
      <c r="J39" s="85"/>
      <c r="K39" s="85"/>
      <c r="L39" s="85"/>
      <c r="M39" s="85"/>
      <c r="N39" s="85"/>
      <c r="O39" s="85"/>
      <c r="P39" s="85"/>
      <c r="Q39" s="85"/>
      <c r="R39" s="85"/>
    </row>
    <row r="40" spans="1:18" ht="48">
      <c r="A40" s="1"/>
      <c r="B40" s="20" t="s">
        <v>411</v>
      </c>
      <c r="C40" s="21" t="s">
        <v>314</v>
      </c>
      <c r="D40" s="93">
        <v>48029</v>
      </c>
      <c r="E40" s="93"/>
      <c r="F40" s="93"/>
      <c r="G40" s="93"/>
      <c r="H40" s="93"/>
      <c r="I40" s="93"/>
      <c r="J40" s="85"/>
      <c r="K40" s="85"/>
      <c r="L40" s="85"/>
      <c r="M40" s="85"/>
      <c r="N40" s="85"/>
      <c r="O40" s="85"/>
      <c r="P40" s="85"/>
      <c r="Q40" s="85"/>
      <c r="R40" s="85"/>
    </row>
    <row r="41" spans="1:18" ht="70">
      <c r="A41" s="1"/>
      <c r="B41" s="22" t="s">
        <v>412</v>
      </c>
      <c r="C41" s="23" t="s">
        <v>413</v>
      </c>
      <c r="D41" s="92" t="s">
        <v>414</v>
      </c>
      <c r="E41" s="92"/>
      <c r="F41" s="92"/>
      <c r="G41" s="92"/>
      <c r="H41" s="92"/>
      <c r="I41" s="92"/>
      <c r="J41" s="92"/>
      <c r="K41" s="92"/>
      <c r="L41" s="92"/>
      <c r="M41" s="92"/>
      <c r="N41" s="92"/>
      <c r="O41" s="92"/>
      <c r="P41" s="92"/>
      <c r="Q41" s="92"/>
      <c r="R41" s="92"/>
    </row>
    <row r="42" spans="1:18" ht="98">
      <c r="A42" s="1"/>
      <c r="B42" s="24" t="s">
        <v>457</v>
      </c>
      <c r="C42" s="23" t="s">
        <v>458</v>
      </c>
      <c r="D42" s="95" t="s">
        <v>328</v>
      </c>
      <c r="E42" s="95"/>
      <c r="F42" s="95"/>
      <c r="G42" s="95"/>
      <c r="H42" s="95"/>
      <c r="I42" s="95"/>
      <c r="J42" s="95"/>
      <c r="K42" s="95"/>
      <c r="L42" s="95"/>
      <c r="M42" s="95"/>
      <c r="N42" s="95"/>
      <c r="O42" s="95"/>
      <c r="P42" s="95"/>
      <c r="Q42" s="95"/>
      <c r="R42" s="95"/>
    </row>
    <row r="43" spans="1:18" ht="84">
      <c r="A43" s="1"/>
      <c r="B43" s="25" t="s">
        <v>418</v>
      </c>
      <c r="C43" s="26" t="s">
        <v>419</v>
      </c>
      <c r="D43" s="85" t="s">
        <v>328</v>
      </c>
      <c r="E43" s="85"/>
      <c r="F43" s="85"/>
      <c r="G43" s="85"/>
      <c r="H43" s="85"/>
      <c r="I43" s="85"/>
      <c r="J43" s="85"/>
      <c r="K43" s="85"/>
      <c r="L43" s="85"/>
      <c r="M43" s="85"/>
      <c r="N43" s="85"/>
      <c r="O43" s="85"/>
      <c r="P43" s="85"/>
      <c r="Q43" s="85"/>
      <c r="R43" s="85"/>
    </row>
    <row r="44" spans="1:18" ht="132">
      <c r="A44" s="1"/>
      <c r="B44" s="25" t="s">
        <v>420</v>
      </c>
      <c r="C44" s="26" t="s">
        <v>421</v>
      </c>
      <c r="D44" s="85" t="s">
        <v>328</v>
      </c>
      <c r="E44" s="85"/>
      <c r="F44" s="85"/>
      <c r="G44" s="85"/>
      <c r="H44" s="85"/>
      <c r="I44" s="85"/>
      <c r="J44" s="85"/>
      <c r="K44" s="85"/>
      <c r="L44" s="85"/>
      <c r="M44" s="85"/>
      <c r="N44" s="85"/>
      <c r="O44" s="85"/>
      <c r="P44" s="85"/>
      <c r="Q44" s="85"/>
      <c r="R44" s="85"/>
    </row>
    <row r="45" spans="1:18">
      <c r="A45" s="1"/>
      <c r="B45" s="27"/>
      <c r="C45" s="27"/>
      <c r="D45" s="1"/>
      <c r="E45" s="1"/>
      <c r="F45" s="1"/>
      <c r="G45" s="1"/>
      <c r="H45" s="1"/>
      <c r="I45" s="1"/>
      <c r="J45" s="1"/>
      <c r="K45" s="1"/>
      <c r="L45" s="1"/>
      <c r="M45" s="1"/>
      <c r="N45" s="1"/>
      <c r="O45" s="1"/>
      <c r="P45" s="1"/>
      <c r="Q45" s="1"/>
      <c r="R45" s="1"/>
    </row>
    <row r="46" spans="1:18" ht="56">
      <c r="A46" s="1"/>
      <c r="B46" s="27"/>
      <c r="C46" s="28" t="s">
        <v>423</v>
      </c>
      <c r="D46" s="85">
        <v>6</v>
      </c>
      <c r="E46" s="85"/>
      <c r="F46" s="85"/>
      <c r="G46" s="85"/>
      <c r="H46" s="85"/>
      <c r="I46" s="85"/>
      <c r="J46" s="85"/>
      <c r="K46" s="85"/>
      <c r="L46" s="85"/>
      <c r="M46" s="85"/>
      <c r="N46" s="85"/>
      <c r="O46" s="85"/>
      <c r="P46" s="85"/>
      <c r="Q46" s="85"/>
      <c r="R46" s="85"/>
    </row>
    <row r="47" spans="1:18" ht="28">
      <c r="A47" s="1"/>
      <c r="B47" s="27"/>
      <c r="C47" s="29" t="s">
        <v>424</v>
      </c>
      <c r="D47" s="85"/>
      <c r="E47" s="85"/>
      <c r="F47" s="85"/>
      <c r="G47" s="85"/>
      <c r="H47" s="85"/>
      <c r="I47" s="85"/>
      <c r="J47" s="85"/>
      <c r="K47" s="85"/>
      <c r="L47" s="85"/>
      <c r="M47" s="85"/>
      <c r="N47" s="85"/>
      <c r="O47" s="85"/>
      <c r="P47" s="85"/>
      <c r="Q47" s="85"/>
      <c r="R47" s="85"/>
    </row>
    <row r="48" spans="1:18" ht="28">
      <c r="A48" s="1"/>
      <c r="B48" s="27"/>
      <c r="C48" s="29" t="s">
        <v>425</v>
      </c>
      <c r="D48" s="85"/>
      <c r="E48" s="85"/>
      <c r="F48" s="85"/>
      <c r="G48" s="85"/>
      <c r="H48" s="85"/>
      <c r="I48" s="85"/>
      <c r="J48" s="85"/>
      <c r="K48" s="85"/>
      <c r="L48" s="85"/>
      <c r="M48" s="85"/>
      <c r="N48" s="85"/>
      <c r="O48" s="85"/>
      <c r="P48" s="85"/>
      <c r="Q48" s="85"/>
      <c r="R48" s="85"/>
    </row>
    <row r="49" spans="1:18">
      <c r="A49" s="1"/>
      <c r="B49" s="27"/>
      <c r="C49" s="30"/>
      <c r="D49" s="96"/>
      <c r="E49" s="96"/>
      <c r="F49" s="96"/>
      <c r="G49" s="96"/>
      <c r="H49" s="96"/>
      <c r="I49" s="96"/>
      <c r="J49" s="96"/>
      <c r="K49" s="96"/>
      <c r="L49" s="96"/>
      <c r="M49" s="96"/>
      <c r="N49" s="96"/>
      <c r="O49" s="96"/>
      <c r="P49" s="96"/>
      <c r="Q49" s="96"/>
      <c r="R49" s="96"/>
    </row>
    <row r="50" spans="1:18" ht="44">
      <c r="A50" s="1"/>
      <c r="B50" s="27"/>
      <c r="C50" s="28" t="s">
        <v>426</v>
      </c>
      <c r="D50" s="85">
        <v>6</v>
      </c>
      <c r="E50" s="85"/>
      <c r="F50" s="85"/>
      <c r="G50" s="85"/>
      <c r="H50" s="85"/>
      <c r="I50" s="85"/>
      <c r="J50" s="85"/>
      <c r="K50" s="85"/>
      <c r="L50" s="85"/>
      <c r="M50" s="85"/>
      <c r="N50" s="85"/>
      <c r="O50" s="85"/>
      <c r="P50" s="85"/>
      <c r="Q50" s="85"/>
      <c r="R50" s="85"/>
    </row>
    <row r="51" spans="1:18" ht="28">
      <c r="A51" s="1"/>
      <c r="B51" s="27"/>
      <c r="C51" s="29" t="s">
        <v>424</v>
      </c>
      <c r="D51" s="85"/>
      <c r="E51" s="85"/>
      <c r="F51" s="85"/>
      <c r="G51" s="85"/>
      <c r="H51" s="85"/>
      <c r="I51" s="85"/>
      <c r="J51" s="85"/>
      <c r="K51" s="85"/>
      <c r="L51" s="85"/>
      <c r="M51" s="85"/>
      <c r="N51" s="85"/>
      <c r="O51" s="85"/>
      <c r="P51" s="85"/>
      <c r="Q51" s="85"/>
      <c r="R51" s="85"/>
    </row>
    <row r="52" spans="1:18" ht="28">
      <c r="A52" s="1"/>
      <c r="B52" s="27"/>
      <c r="C52" s="29" t="s">
        <v>425</v>
      </c>
      <c r="D52" s="85"/>
      <c r="E52" s="85"/>
      <c r="F52" s="85"/>
      <c r="G52" s="85"/>
      <c r="H52" s="85"/>
      <c r="I52" s="85"/>
      <c r="J52" s="85"/>
      <c r="K52" s="85"/>
      <c r="L52" s="85"/>
      <c r="M52" s="85"/>
      <c r="N52" s="85"/>
      <c r="O52" s="85"/>
      <c r="P52" s="85"/>
      <c r="Q52" s="85"/>
      <c r="R52" s="85"/>
    </row>
    <row r="53" spans="1:18">
      <c r="A53" s="1"/>
      <c r="B53" s="27"/>
      <c r="C53" s="31"/>
      <c r="D53" s="96"/>
      <c r="E53" s="96"/>
      <c r="F53" s="96"/>
      <c r="G53" s="96"/>
      <c r="H53" s="96"/>
      <c r="I53" s="96"/>
      <c r="J53" s="96"/>
      <c r="K53" s="96"/>
      <c r="L53" s="96"/>
      <c r="M53" s="96"/>
      <c r="N53" s="96"/>
      <c r="O53" s="96"/>
      <c r="P53" s="96"/>
      <c r="Q53" s="96"/>
      <c r="R53" s="96"/>
    </row>
    <row r="54" spans="1:18" ht="28">
      <c r="A54" s="1"/>
      <c r="B54" s="27"/>
      <c r="C54" s="28" t="s">
        <v>427</v>
      </c>
      <c r="D54" s="328"/>
      <c r="E54" s="328"/>
      <c r="F54" s="328"/>
      <c r="G54" s="328"/>
      <c r="H54" s="328"/>
      <c r="I54" s="328"/>
      <c r="J54" s="328"/>
      <c r="K54" s="328"/>
      <c r="L54" s="328"/>
      <c r="M54" s="328"/>
      <c r="N54" s="328"/>
      <c r="O54" s="328"/>
      <c r="P54" s="328"/>
      <c r="Q54" s="328"/>
      <c r="R54" s="328"/>
    </row>
    <row r="55" spans="1:18" ht="42">
      <c r="A55" s="1"/>
      <c r="B55" s="27"/>
      <c r="C55" s="28" t="s">
        <v>428</v>
      </c>
      <c r="D55" s="85"/>
      <c r="E55" s="85"/>
      <c r="F55" s="85"/>
      <c r="G55" s="85"/>
      <c r="H55" s="85"/>
      <c r="I55" s="85"/>
      <c r="J55" s="85"/>
      <c r="K55" s="85"/>
      <c r="L55" s="85"/>
      <c r="M55" s="85"/>
      <c r="N55" s="85"/>
      <c r="O55" s="85"/>
      <c r="P55" s="85"/>
      <c r="Q55" s="85"/>
      <c r="R55" s="85"/>
    </row>
    <row r="56" spans="1:18" ht="42">
      <c r="A56" s="1"/>
      <c r="B56" s="27"/>
      <c r="C56" s="330" t="s">
        <v>429</v>
      </c>
      <c r="D56" s="95"/>
      <c r="E56" s="95"/>
      <c r="F56" s="95"/>
      <c r="G56" s="95"/>
      <c r="H56" s="95"/>
      <c r="I56" s="95"/>
      <c r="J56" s="95"/>
      <c r="K56" s="95"/>
      <c r="L56" s="95"/>
      <c r="M56" s="95"/>
      <c r="N56" s="95"/>
      <c r="O56" s="95"/>
      <c r="P56" s="95"/>
      <c r="Q56" s="95"/>
      <c r="R56" s="85"/>
    </row>
    <row r="57" spans="1:18" ht="70">
      <c r="A57" s="1"/>
      <c r="B57" s="1"/>
      <c r="C57" s="331" t="s">
        <v>430</v>
      </c>
      <c r="D57" s="71"/>
      <c r="E57" s="71"/>
      <c r="F57" s="71"/>
      <c r="G57" s="71"/>
      <c r="H57" s="71"/>
      <c r="I57" s="71"/>
      <c r="J57" s="71"/>
      <c r="K57" s="71"/>
      <c r="L57" s="71"/>
      <c r="M57" s="71"/>
      <c r="N57" s="71"/>
      <c r="O57" s="71"/>
      <c r="P57" s="71"/>
      <c r="Q57" s="71"/>
      <c r="R57" s="71"/>
    </row>
    <row r="58" spans="1:18" ht="70">
      <c r="A58" s="1"/>
      <c r="B58" s="1"/>
      <c r="C58" s="331" t="s">
        <v>431</v>
      </c>
      <c r="D58" s="71"/>
      <c r="E58" s="71"/>
      <c r="F58" s="71"/>
      <c r="G58" s="71"/>
      <c r="H58" s="71"/>
      <c r="I58" s="71"/>
      <c r="J58" s="71"/>
      <c r="K58" s="71"/>
      <c r="L58" s="71"/>
      <c r="M58" s="71"/>
      <c r="N58" s="71"/>
      <c r="O58" s="71"/>
      <c r="P58" s="71"/>
      <c r="Q58" s="71"/>
      <c r="R58" s="71"/>
    </row>
  </sheetData>
  <mergeCells count="2">
    <mergeCell ref="C6:D6"/>
    <mergeCell ref="C7:D7"/>
  </mergeCells>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138" priority="3">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0 B32">
    <cfRule type="colorScale" priority="6">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137" priority="5">
      <formula>#REF!="Owned"</formula>
    </cfRule>
  </conditionalFormatting>
  <conditionalFormatting sqref="C27:C32">
    <cfRule type="expression" dxfId="136" priority="1">
      <formula>#REF!="Owned"</formula>
    </cfRule>
  </conditionalFormatting>
  <dataValidations count="1">
    <dataValidation type="list" allowBlank="1" showInputMessage="1" showErrorMessage="1" sqref="E6" xr:uid="{630FCC1A-B280-4EAE-9F15-7729A203CEF1}">
      <formula1>"Yes, No"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BD15-D673-4DC3-9A97-13C858D21E89}">
  <sheetPr codeName="Feuil8">
    <tabColor rgb="FF00B050"/>
    <pageSetUpPr fitToPage="1"/>
  </sheetPr>
  <dimension ref="B1:Q68"/>
  <sheetViews>
    <sheetView topLeftCell="A54" zoomScale="70" zoomScaleNormal="70" workbookViewId="0">
      <selection activeCell="D2" sqref="D2"/>
    </sheetView>
  </sheetViews>
  <sheetFormatPr baseColWidth="10" defaultColWidth="9.1640625" defaultRowHeight="13"/>
  <cols>
    <col min="1" max="1" width="19.5" style="1" customWidth="1"/>
    <col min="2" max="2" width="24.1640625" style="1" customWidth="1"/>
    <col min="3" max="3" width="23.1640625" style="1" customWidth="1"/>
    <col min="4" max="17" width="22.83203125" style="1" customWidth="1"/>
    <col min="18" max="16384" width="9.1640625" style="1"/>
  </cols>
  <sheetData>
    <row r="1" spans="2:17" ht="7.5" customHeight="1"/>
    <row r="2" spans="2:17">
      <c r="C2" s="505" t="s">
        <v>323</v>
      </c>
      <c r="D2" s="109">
        <v>45961</v>
      </c>
      <c r="F2" s="110"/>
      <c r="G2" s="110"/>
      <c r="H2" s="111"/>
    </row>
    <row r="3" spans="2:17">
      <c r="F3"/>
      <c r="G3"/>
      <c r="H3"/>
    </row>
    <row r="4" spans="2:17">
      <c r="C4" s="81" t="s">
        <v>324</v>
      </c>
      <c r="D4" s="82" t="s">
        <v>206</v>
      </c>
      <c r="E4" s="82" t="s">
        <v>206</v>
      </c>
      <c r="F4" s="592"/>
      <c r="G4" s="592"/>
      <c r="H4" s="112"/>
    </row>
    <row r="5" spans="2:17" ht="15.75" customHeight="1">
      <c r="C5" s="2"/>
    </row>
    <row r="6" spans="2:17" ht="26.25" customHeight="1">
      <c r="B6" s="1" t="s">
        <v>326</v>
      </c>
      <c r="C6" s="589" t="s">
        <v>327</v>
      </c>
      <c r="D6" s="591"/>
      <c r="E6" s="6" t="s">
        <v>414</v>
      </c>
      <c r="F6" s="101"/>
      <c r="G6" s="101"/>
    </row>
    <row r="7" spans="2:17" ht="26.25" customHeight="1">
      <c r="B7" s="1" t="s">
        <v>326</v>
      </c>
      <c r="C7" s="589" t="s">
        <v>329</v>
      </c>
      <c r="D7" s="591"/>
      <c r="E7" s="6">
        <v>2</v>
      </c>
      <c r="F7" s="101"/>
      <c r="G7" s="101"/>
    </row>
    <row r="8" spans="2:17" ht="26.25" customHeight="1">
      <c r="C8" s="113"/>
      <c r="D8" s="113"/>
      <c r="E8" s="42"/>
      <c r="F8" s="101"/>
      <c r="G8" s="101"/>
    </row>
    <row r="9" spans="2:17">
      <c r="C9" s="69" t="s">
        <v>441</v>
      </c>
      <c r="D9" s="67"/>
      <c r="E9" s="67"/>
      <c r="F9" s="67"/>
      <c r="G9" s="67"/>
      <c r="H9" s="67"/>
      <c r="I9" s="67"/>
      <c r="J9" s="67"/>
      <c r="K9" s="67"/>
      <c r="L9" s="67"/>
      <c r="M9" s="67"/>
      <c r="N9" s="67"/>
      <c r="O9" s="67"/>
      <c r="P9" s="67"/>
      <c r="Q9" s="67"/>
    </row>
    <row r="10" spans="2:17" ht="28">
      <c r="C10" s="70" t="s">
        <v>331</v>
      </c>
      <c r="D10" s="114" t="s">
        <v>509</v>
      </c>
      <c r="E10" s="114" t="s">
        <v>509</v>
      </c>
      <c r="F10" s="114" t="s">
        <v>335</v>
      </c>
      <c r="G10" s="114" t="s">
        <v>336</v>
      </c>
      <c r="H10" s="114" t="s">
        <v>337</v>
      </c>
      <c r="I10" s="114" t="s">
        <v>338</v>
      </c>
      <c r="J10" s="114" t="s">
        <v>339</v>
      </c>
      <c r="K10" s="114" t="s">
        <v>340</v>
      </c>
      <c r="L10" s="114" t="s">
        <v>341</v>
      </c>
      <c r="M10" s="114" t="s">
        <v>342</v>
      </c>
      <c r="N10" s="114" t="s">
        <v>343</v>
      </c>
      <c r="O10" s="114" t="s">
        <v>344</v>
      </c>
      <c r="P10" s="114" t="s">
        <v>345</v>
      </c>
      <c r="Q10" s="114" t="s">
        <v>346</v>
      </c>
    </row>
    <row r="11" spans="2:17" ht="14">
      <c r="C11" s="70" t="s">
        <v>299</v>
      </c>
      <c r="D11" s="84" t="s">
        <v>510</v>
      </c>
      <c r="E11" s="84" t="s">
        <v>510</v>
      </c>
      <c r="F11" s="84"/>
      <c r="G11" s="84"/>
      <c r="H11" s="84"/>
      <c r="I11" s="84"/>
      <c r="J11" s="84"/>
      <c r="K11" s="84"/>
      <c r="L11" s="84"/>
      <c r="M11" s="84"/>
      <c r="N11" s="84"/>
      <c r="O11" s="84"/>
      <c r="P11" s="84"/>
      <c r="Q11" s="84"/>
    </row>
    <row r="12" spans="2:17" ht="15" customHeight="1">
      <c r="C12" s="32"/>
      <c r="D12" s="115"/>
      <c r="E12" s="116"/>
      <c r="F12" s="116"/>
      <c r="G12" s="116"/>
      <c r="H12" s="116"/>
      <c r="I12" s="117"/>
      <c r="J12" s="117"/>
      <c r="K12" s="117"/>
      <c r="L12" s="117"/>
      <c r="M12" s="117"/>
      <c r="N12" s="117"/>
      <c r="O12" s="117"/>
      <c r="P12" s="117"/>
      <c r="Q12" s="117"/>
    </row>
    <row r="13" spans="2:17" ht="24">
      <c r="B13" s="7" t="s">
        <v>348</v>
      </c>
      <c r="C13" s="8" t="s">
        <v>349</v>
      </c>
      <c r="D13" s="118" t="s">
        <v>511</v>
      </c>
      <c r="E13" s="118" t="s">
        <v>512</v>
      </c>
      <c r="F13" s="118"/>
      <c r="G13" s="118"/>
      <c r="H13" s="118"/>
      <c r="I13" s="118"/>
      <c r="J13" s="118"/>
      <c r="K13" s="118"/>
      <c r="L13" s="118"/>
      <c r="M13" s="118"/>
      <c r="N13" s="118"/>
      <c r="O13" s="118"/>
      <c r="P13" s="118"/>
      <c r="Q13" s="118"/>
    </row>
    <row r="14" spans="2:17" ht="77.25" customHeight="1">
      <c r="B14" s="7" t="s">
        <v>352</v>
      </c>
      <c r="C14" s="8" t="s">
        <v>297</v>
      </c>
      <c r="D14" s="85" t="s">
        <v>208</v>
      </c>
      <c r="E14" s="85" t="s">
        <v>210</v>
      </c>
      <c r="F14" s="85"/>
      <c r="G14" s="85"/>
      <c r="H14" s="85"/>
      <c r="I14" s="85"/>
      <c r="J14" s="85"/>
      <c r="K14" s="85"/>
      <c r="L14" s="85"/>
      <c r="M14" s="85"/>
      <c r="N14" s="85"/>
      <c r="O14" s="85"/>
      <c r="P14" s="85"/>
      <c r="Q14" s="85"/>
    </row>
    <row r="15" spans="2:17" ht="30" customHeight="1">
      <c r="B15" s="7" t="s">
        <v>353</v>
      </c>
      <c r="C15" s="8" t="s">
        <v>354</v>
      </c>
      <c r="D15" s="85" t="s">
        <v>209</v>
      </c>
      <c r="E15" s="85" t="s">
        <v>211</v>
      </c>
      <c r="F15" s="85"/>
      <c r="G15" s="85"/>
      <c r="H15" s="85"/>
      <c r="I15" s="85"/>
      <c r="J15" s="85"/>
      <c r="K15" s="85"/>
      <c r="L15" s="85"/>
      <c r="M15" s="85"/>
      <c r="N15" s="85"/>
      <c r="O15" s="85"/>
      <c r="P15" s="85"/>
      <c r="Q15" s="85"/>
    </row>
    <row r="16" spans="2:17" ht="15" customHeight="1">
      <c r="B16" s="7" t="s">
        <v>355</v>
      </c>
      <c r="C16" s="8" t="s">
        <v>356</v>
      </c>
      <c r="D16" s="85" t="s">
        <v>513</v>
      </c>
      <c r="E16" s="85" t="s">
        <v>513</v>
      </c>
      <c r="F16" s="85"/>
      <c r="G16" s="85"/>
      <c r="H16" s="85"/>
      <c r="I16" s="85"/>
      <c r="J16" s="85"/>
      <c r="K16" s="85"/>
      <c r="L16" s="85"/>
      <c r="M16" s="85"/>
      <c r="N16" s="85"/>
      <c r="O16" s="85"/>
      <c r="P16" s="85"/>
      <c r="Q16" s="85"/>
    </row>
    <row r="17" spans="2:17" ht="15" customHeight="1">
      <c r="B17" s="7" t="s">
        <v>357</v>
      </c>
      <c r="C17" s="8" t="s">
        <v>294</v>
      </c>
      <c r="D17" s="85" t="s">
        <v>207</v>
      </c>
      <c r="E17" s="85" t="s">
        <v>207</v>
      </c>
      <c r="F17" s="85"/>
      <c r="G17" s="85"/>
      <c r="H17" s="85"/>
      <c r="I17" s="85"/>
      <c r="J17" s="85"/>
      <c r="K17" s="85"/>
      <c r="L17" s="85"/>
      <c r="M17" s="85"/>
      <c r="N17" s="85"/>
      <c r="O17" s="85"/>
      <c r="P17" s="85"/>
      <c r="Q17" s="85"/>
    </row>
    <row r="18" spans="2:17" ht="15" customHeight="1">
      <c r="B18" s="9" t="s">
        <v>358</v>
      </c>
      <c r="C18" s="10" t="s">
        <v>359</v>
      </c>
      <c r="D18" s="85" t="s">
        <v>360</v>
      </c>
      <c r="E18" s="85" t="s">
        <v>360</v>
      </c>
      <c r="F18" s="85"/>
      <c r="G18" s="85"/>
      <c r="H18" s="85"/>
      <c r="I18" s="85"/>
      <c r="J18" s="85"/>
      <c r="K18" s="85"/>
      <c r="L18" s="85"/>
      <c r="M18" s="85"/>
      <c r="N18" s="85"/>
      <c r="O18" s="85"/>
      <c r="P18" s="85"/>
      <c r="Q18" s="85"/>
    </row>
    <row r="19" spans="2:17" ht="45.75" customHeight="1">
      <c r="B19" s="9" t="s">
        <v>361</v>
      </c>
      <c r="C19" s="10" t="s">
        <v>362</v>
      </c>
      <c r="D19" s="85" t="s">
        <v>328</v>
      </c>
      <c r="E19" s="85" t="s">
        <v>328</v>
      </c>
      <c r="F19" s="85"/>
      <c r="G19" s="85"/>
      <c r="H19" s="85"/>
      <c r="I19" s="85"/>
      <c r="J19" s="85"/>
      <c r="K19" s="85"/>
      <c r="L19" s="85"/>
      <c r="M19" s="85"/>
      <c r="N19" s="85"/>
      <c r="O19" s="85"/>
      <c r="P19" s="85"/>
      <c r="Q19" s="85"/>
    </row>
    <row r="20" spans="2:17" ht="45" customHeight="1">
      <c r="B20" s="9" t="s">
        <v>363</v>
      </c>
      <c r="C20" s="10" t="s">
        <v>364</v>
      </c>
      <c r="D20" s="85" t="s">
        <v>328</v>
      </c>
      <c r="E20" s="85" t="s">
        <v>328</v>
      </c>
      <c r="F20" s="85"/>
      <c r="G20" s="85"/>
      <c r="H20" s="85"/>
      <c r="I20" s="85"/>
      <c r="J20" s="85"/>
      <c r="K20" s="85"/>
      <c r="L20" s="85"/>
      <c r="M20" s="85"/>
      <c r="N20" s="85"/>
      <c r="O20" s="85"/>
      <c r="P20" s="85"/>
      <c r="Q20" s="85"/>
    </row>
    <row r="21" spans="2:17" ht="30" customHeight="1">
      <c r="B21" s="11" t="s">
        <v>365</v>
      </c>
      <c r="C21" s="12" t="s">
        <v>366</v>
      </c>
      <c r="D21" s="85" t="s">
        <v>514</v>
      </c>
      <c r="E21" s="85" t="s">
        <v>514</v>
      </c>
      <c r="F21" s="85"/>
      <c r="G21" s="85"/>
      <c r="H21" s="85"/>
      <c r="I21" s="85"/>
      <c r="J21" s="85"/>
      <c r="K21" s="85"/>
      <c r="L21" s="85"/>
      <c r="M21" s="85"/>
      <c r="N21" s="85"/>
      <c r="O21" s="85"/>
      <c r="P21" s="85"/>
      <c r="Q21" s="85"/>
    </row>
    <row r="22" spans="2:17" ht="30" customHeight="1">
      <c r="B22" s="11" t="s">
        <v>369</v>
      </c>
      <c r="C22" s="12" t="s">
        <v>370</v>
      </c>
      <c r="D22" s="85" t="s">
        <v>515</v>
      </c>
      <c r="E22" s="85" t="s">
        <v>515</v>
      </c>
      <c r="F22" s="85"/>
      <c r="G22" s="85"/>
      <c r="H22" s="85"/>
      <c r="I22" s="85"/>
      <c r="J22" s="85"/>
      <c r="K22" s="85"/>
      <c r="L22" s="85"/>
      <c r="M22" s="85"/>
      <c r="N22" s="85"/>
      <c r="O22" s="85"/>
      <c r="P22" s="85"/>
      <c r="Q22" s="85"/>
    </row>
    <row r="23" spans="2:17" ht="30" customHeight="1">
      <c r="B23" s="13" t="s">
        <v>372</v>
      </c>
      <c r="C23" s="14" t="s">
        <v>373</v>
      </c>
      <c r="D23" s="85" t="s">
        <v>374</v>
      </c>
      <c r="E23" s="85" t="s">
        <v>374</v>
      </c>
      <c r="F23" s="85"/>
      <c r="G23" s="85"/>
      <c r="H23" s="85"/>
      <c r="I23" s="85"/>
      <c r="J23" s="85"/>
      <c r="K23" s="85"/>
      <c r="L23" s="85"/>
      <c r="M23" s="85"/>
      <c r="N23" s="85"/>
      <c r="O23" s="85"/>
      <c r="P23" s="85"/>
      <c r="Q23" s="85"/>
    </row>
    <row r="24" spans="2:17" ht="45" customHeight="1">
      <c r="B24" s="13" t="s">
        <v>375</v>
      </c>
      <c r="C24" s="14" t="s">
        <v>376</v>
      </c>
      <c r="D24" s="88">
        <v>3256</v>
      </c>
      <c r="E24" s="88">
        <v>711</v>
      </c>
      <c r="F24" s="88"/>
      <c r="G24" s="88"/>
      <c r="H24" s="88"/>
      <c r="I24" s="88"/>
      <c r="J24" s="88"/>
      <c r="K24" s="88"/>
      <c r="L24" s="88"/>
      <c r="M24" s="88"/>
      <c r="N24" s="88"/>
      <c r="O24" s="88"/>
      <c r="P24" s="88"/>
      <c r="Q24" s="88"/>
    </row>
    <row r="25" spans="2:17" ht="45" customHeight="1">
      <c r="B25" s="15" t="s">
        <v>377</v>
      </c>
      <c r="C25" s="16" t="s">
        <v>378</v>
      </c>
      <c r="D25" s="119">
        <v>100</v>
      </c>
      <c r="E25" s="119">
        <v>10</v>
      </c>
      <c r="F25" s="85"/>
      <c r="G25" s="85"/>
      <c r="H25" s="85"/>
      <c r="I25" s="85"/>
      <c r="J25" s="85"/>
      <c r="K25" s="85"/>
      <c r="L25" s="85"/>
      <c r="M25" s="85"/>
      <c r="N25" s="85"/>
      <c r="O25" s="85"/>
      <c r="P25" s="85"/>
      <c r="Q25" s="85"/>
    </row>
    <row r="26" spans="2:17" ht="45" customHeight="1">
      <c r="B26" s="15" t="s">
        <v>380</v>
      </c>
      <c r="C26" s="16" t="s">
        <v>381</v>
      </c>
      <c r="D26" s="89" t="s">
        <v>516</v>
      </c>
      <c r="E26" s="89" t="s">
        <v>516</v>
      </c>
      <c r="F26" s="85"/>
      <c r="G26" s="85"/>
      <c r="H26" s="85"/>
      <c r="I26" s="85"/>
      <c r="J26" s="85"/>
      <c r="K26" s="85"/>
      <c r="L26" s="85"/>
      <c r="M26" s="85"/>
      <c r="N26" s="85"/>
      <c r="O26" s="85"/>
      <c r="P26" s="85"/>
      <c r="Q26" s="85"/>
    </row>
    <row r="27" spans="2:17" ht="45" customHeight="1">
      <c r="B27" s="15"/>
      <c r="C27" s="16" t="s">
        <v>517</v>
      </c>
      <c r="D27" s="89"/>
      <c r="E27" s="89"/>
      <c r="F27" s="85"/>
      <c r="G27" s="85"/>
      <c r="H27" s="85"/>
      <c r="I27" s="85"/>
      <c r="J27" s="85"/>
      <c r="K27" s="85"/>
      <c r="L27" s="85"/>
      <c r="M27" s="85"/>
      <c r="N27" s="85"/>
      <c r="O27" s="85"/>
      <c r="P27" s="85"/>
      <c r="Q27" s="85"/>
    </row>
    <row r="28" spans="2:17" ht="45" customHeight="1">
      <c r="B28" s="15" t="s">
        <v>384</v>
      </c>
      <c r="C28" s="16" t="s">
        <v>450</v>
      </c>
      <c r="D28" s="120">
        <v>577</v>
      </c>
      <c r="E28" s="120">
        <v>600</v>
      </c>
      <c r="F28" s="85"/>
      <c r="G28" s="85"/>
      <c r="H28" s="85"/>
      <c r="I28" s="85"/>
      <c r="J28" s="85"/>
      <c r="K28" s="85"/>
      <c r="L28" s="85"/>
      <c r="M28" s="85"/>
      <c r="N28" s="85"/>
      <c r="O28" s="85"/>
      <c r="P28" s="85"/>
      <c r="Q28" s="85"/>
    </row>
    <row r="29" spans="2:17" ht="45" customHeight="1">
      <c r="B29" s="15" t="s">
        <v>387</v>
      </c>
      <c r="C29" s="16" t="s">
        <v>388</v>
      </c>
      <c r="D29" s="121">
        <v>0.09</v>
      </c>
      <c r="E29" s="121">
        <v>0.09</v>
      </c>
      <c r="F29" s="85"/>
      <c r="G29" s="85"/>
      <c r="H29" s="85"/>
      <c r="I29" s="85"/>
      <c r="J29" s="85"/>
      <c r="K29" s="85"/>
      <c r="L29" s="85"/>
      <c r="M29" s="85"/>
      <c r="N29" s="85"/>
      <c r="O29" s="85"/>
      <c r="P29" s="85"/>
      <c r="Q29" s="85"/>
    </row>
    <row r="30" spans="2:17" ht="58">
      <c r="B30" s="13" t="s">
        <v>390</v>
      </c>
      <c r="C30" s="17" t="s">
        <v>453</v>
      </c>
      <c r="D30" s="122">
        <v>114</v>
      </c>
      <c r="E30" s="122">
        <v>21</v>
      </c>
      <c r="F30" s="85"/>
      <c r="G30" s="85"/>
      <c r="H30" s="85"/>
      <c r="I30" s="85"/>
      <c r="J30" s="85"/>
      <c r="K30" s="85"/>
      <c r="L30" s="85"/>
      <c r="M30" s="85"/>
      <c r="N30" s="85"/>
      <c r="O30" s="85"/>
      <c r="P30" s="85"/>
      <c r="Q30" s="85"/>
    </row>
    <row r="31" spans="2:17" ht="14">
      <c r="B31" s="13"/>
      <c r="C31" s="17" t="s">
        <v>393</v>
      </c>
      <c r="D31" s="122"/>
      <c r="E31" s="122"/>
      <c r="F31" s="85"/>
      <c r="G31" s="85"/>
      <c r="H31" s="85"/>
      <c r="I31" s="85"/>
      <c r="J31" s="85"/>
      <c r="K31" s="85"/>
      <c r="L31" s="85"/>
      <c r="M31" s="85"/>
      <c r="N31" s="85"/>
      <c r="O31" s="85"/>
      <c r="P31" s="85"/>
      <c r="Q31" s="85"/>
    </row>
    <row r="32" spans="2:17" ht="60" customHeight="1">
      <c r="B32" s="13" t="s">
        <v>394</v>
      </c>
      <c r="C32" s="17" t="s">
        <v>395</v>
      </c>
      <c r="D32" s="85" t="s">
        <v>518</v>
      </c>
      <c r="E32" s="85" t="s">
        <v>519</v>
      </c>
      <c r="F32" s="85"/>
      <c r="G32" s="85"/>
      <c r="H32" s="85"/>
      <c r="I32" s="85"/>
      <c r="J32" s="85"/>
      <c r="K32" s="85"/>
      <c r="L32" s="85"/>
      <c r="M32" s="85"/>
      <c r="N32" s="85"/>
      <c r="O32" s="85"/>
      <c r="P32" s="85"/>
      <c r="Q32" s="85"/>
    </row>
    <row r="33" spans="2:17" ht="30" customHeight="1">
      <c r="B33" s="18" t="s">
        <v>397</v>
      </c>
      <c r="C33" s="19" t="s">
        <v>313</v>
      </c>
      <c r="D33" s="91">
        <v>42614</v>
      </c>
      <c r="E33" s="91">
        <v>44927</v>
      </c>
      <c r="F33" s="91"/>
      <c r="G33" s="91"/>
      <c r="H33" s="91"/>
      <c r="I33" s="85"/>
      <c r="J33" s="85"/>
      <c r="K33" s="85"/>
      <c r="L33" s="85"/>
      <c r="M33" s="85"/>
      <c r="N33" s="85"/>
      <c r="O33" s="85"/>
      <c r="P33" s="85"/>
      <c r="Q33" s="85"/>
    </row>
    <row r="34" spans="2:17" ht="30" customHeight="1">
      <c r="B34" s="20" t="s">
        <v>398</v>
      </c>
      <c r="C34" s="19" t="s">
        <v>315</v>
      </c>
      <c r="D34" s="91">
        <v>42582</v>
      </c>
      <c r="E34" s="91">
        <v>46387</v>
      </c>
      <c r="F34" s="91"/>
      <c r="G34" s="91"/>
      <c r="H34" s="91"/>
      <c r="I34" s="85"/>
      <c r="J34" s="85"/>
      <c r="K34" s="85"/>
      <c r="L34" s="85"/>
      <c r="M34" s="85"/>
      <c r="N34" s="85"/>
      <c r="O34" s="85"/>
      <c r="P34" s="85"/>
      <c r="Q34" s="85"/>
    </row>
    <row r="35" spans="2:17" ht="30" customHeight="1">
      <c r="B35" s="20" t="s">
        <v>399</v>
      </c>
      <c r="C35" s="19" t="s">
        <v>400</v>
      </c>
      <c r="D35" s="85" t="s">
        <v>410</v>
      </c>
      <c r="E35" s="85" t="s">
        <v>410</v>
      </c>
      <c r="F35" s="85"/>
      <c r="G35" s="85"/>
      <c r="H35" s="85"/>
      <c r="I35" s="85"/>
      <c r="J35" s="85"/>
      <c r="K35" s="85"/>
      <c r="L35" s="85"/>
      <c r="M35" s="85"/>
      <c r="N35" s="85"/>
      <c r="O35" s="85"/>
      <c r="P35" s="85"/>
      <c r="Q35" s="85"/>
    </row>
    <row r="36" spans="2:17" ht="30" customHeight="1">
      <c r="B36" s="20" t="s">
        <v>402</v>
      </c>
      <c r="C36" s="21" t="s">
        <v>403</v>
      </c>
      <c r="D36" s="92" t="s">
        <v>414</v>
      </c>
      <c r="E36" s="92" t="s">
        <v>414</v>
      </c>
      <c r="F36" s="93"/>
      <c r="G36" s="93"/>
      <c r="H36" s="93"/>
      <c r="I36" s="85"/>
      <c r="J36" s="85"/>
      <c r="K36" s="85"/>
      <c r="L36" s="85"/>
      <c r="M36" s="85"/>
      <c r="N36" s="85"/>
      <c r="O36" s="85"/>
      <c r="P36" s="85"/>
      <c r="Q36" s="85"/>
    </row>
    <row r="37" spans="2:17" ht="56">
      <c r="B37" s="20" t="s">
        <v>404</v>
      </c>
      <c r="C37" s="21" t="s">
        <v>405</v>
      </c>
      <c r="D37" s="92" t="s">
        <v>520</v>
      </c>
      <c r="E37" s="92" t="s">
        <v>520</v>
      </c>
      <c r="F37" s="93"/>
      <c r="G37" s="93"/>
      <c r="H37" s="93"/>
      <c r="I37" s="85"/>
      <c r="J37" s="85"/>
      <c r="K37" s="85"/>
      <c r="L37" s="85"/>
      <c r="M37" s="85"/>
      <c r="N37" s="85"/>
      <c r="O37" s="85"/>
      <c r="P37" s="85"/>
      <c r="Q37" s="85"/>
    </row>
    <row r="38" spans="2:17" ht="30" customHeight="1">
      <c r="B38" s="20" t="s">
        <v>406</v>
      </c>
      <c r="C38" s="21" t="s">
        <v>407</v>
      </c>
      <c r="D38" s="92" t="s">
        <v>328</v>
      </c>
      <c r="E38" s="92" t="s">
        <v>328</v>
      </c>
      <c r="F38" s="93"/>
      <c r="G38" s="93"/>
      <c r="H38" s="93"/>
      <c r="I38" s="85"/>
      <c r="J38" s="85"/>
      <c r="K38" s="85"/>
      <c r="L38" s="85"/>
      <c r="M38" s="85"/>
      <c r="N38" s="85"/>
      <c r="O38" s="85"/>
      <c r="P38" s="85"/>
      <c r="Q38" s="85"/>
    </row>
    <row r="39" spans="2:17" ht="30" customHeight="1">
      <c r="B39" s="20" t="s">
        <v>408</v>
      </c>
      <c r="C39" s="21" t="s">
        <v>409</v>
      </c>
      <c r="D39" s="92" t="s">
        <v>410</v>
      </c>
      <c r="E39" s="92" t="s">
        <v>410</v>
      </c>
      <c r="F39" s="93"/>
      <c r="G39" s="93"/>
      <c r="H39" s="93"/>
      <c r="I39" s="85"/>
      <c r="J39" s="85"/>
      <c r="K39" s="85"/>
      <c r="L39" s="85"/>
      <c r="M39" s="85"/>
      <c r="N39" s="85"/>
      <c r="O39" s="85"/>
      <c r="P39" s="85"/>
      <c r="Q39" s="85"/>
    </row>
    <row r="40" spans="2:17" ht="45" customHeight="1">
      <c r="B40" s="20" t="s">
        <v>411</v>
      </c>
      <c r="C40" s="21" t="s">
        <v>314</v>
      </c>
      <c r="D40" s="92">
        <v>46234</v>
      </c>
      <c r="E40" s="92">
        <v>46387</v>
      </c>
      <c r="F40" s="93"/>
      <c r="G40" s="93"/>
      <c r="H40" s="93"/>
      <c r="I40" s="85"/>
      <c r="J40" s="85"/>
      <c r="K40" s="85"/>
      <c r="L40" s="85"/>
      <c r="M40" s="85"/>
      <c r="N40" s="85"/>
      <c r="O40" s="85"/>
      <c r="P40" s="85"/>
      <c r="Q40" s="85"/>
    </row>
    <row r="41" spans="2:17" ht="60" customHeight="1">
      <c r="B41" s="22" t="s">
        <v>412</v>
      </c>
      <c r="C41" s="23" t="s">
        <v>413</v>
      </c>
      <c r="D41" s="92" t="s">
        <v>328</v>
      </c>
      <c r="E41" s="92" t="s">
        <v>328</v>
      </c>
      <c r="F41" s="92"/>
      <c r="G41" s="92"/>
      <c r="H41" s="92"/>
      <c r="I41" s="92"/>
      <c r="J41" s="92"/>
      <c r="K41" s="92"/>
      <c r="L41" s="92"/>
      <c r="M41" s="92"/>
      <c r="N41" s="92"/>
      <c r="O41" s="92"/>
      <c r="P41" s="92"/>
      <c r="Q41" s="92"/>
    </row>
    <row r="42" spans="2:17" ht="75" customHeight="1">
      <c r="B42" s="24" t="s">
        <v>457</v>
      </c>
      <c r="C42" s="23" t="s">
        <v>458</v>
      </c>
      <c r="D42" s="95" t="s">
        <v>410</v>
      </c>
      <c r="E42" s="95" t="s">
        <v>410</v>
      </c>
      <c r="F42" s="95"/>
      <c r="G42" s="95"/>
      <c r="H42" s="95"/>
      <c r="I42" s="95"/>
      <c r="J42" s="95"/>
      <c r="K42" s="95"/>
      <c r="L42" s="95"/>
      <c r="M42" s="95"/>
      <c r="N42" s="95"/>
      <c r="O42" s="95"/>
      <c r="P42" s="95"/>
      <c r="Q42" s="95"/>
    </row>
    <row r="43" spans="2:17" ht="60" customHeight="1">
      <c r="B43" s="25" t="s">
        <v>418</v>
      </c>
      <c r="C43" s="26" t="s">
        <v>419</v>
      </c>
      <c r="D43" s="85" t="s">
        <v>328</v>
      </c>
      <c r="E43" s="85" t="s">
        <v>328</v>
      </c>
      <c r="F43" s="85"/>
      <c r="G43" s="85"/>
      <c r="H43" s="85"/>
      <c r="I43" s="85"/>
      <c r="J43" s="85"/>
      <c r="K43" s="85"/>
      <c r="L43" s="85"/>
      <c r="M43" s="85"/>
      <c r="N43" s="85"/>
      <c r="O43" s="85"/>
      <c r="P43" s="85"/>
      <c r="Q43" s="85"/>
    </row>
    <row r="44" spans="2:17" ht="75" customHeight="1">
      <c r="B44" s="25" t="s">
        <v>420</v>
      </c>
      <c r="C44" s="26" t="s">
        <v>421</v>
      </c>
      <c r="D44" s="85" t="s">
        <v>328</v>
      </c>
      <c r="E44" s="85" t="s">
        <v>328</v>
      </c>
      <c r="F44" s="85"/>
      <c r="G44" s="85"/>
      <c r="H44" s="85"/>
      <c r="I44" s="85"/>
      <c r="J44" s="85"/>
      <c r="K44" s="85"/>
      <c r="L44" s="85"/>
      <c r="M44" s="85"/>
      <c r="N44" s="85"/>
      <c r="O44" s="85"/>
      <c r="P44" s="85"/>
      <c r="Q44" s="85"/>
    </row>
    <row r="45" spans="2:17">
      <c r="B45" s="27"/>
      <c r="C45" s="27"/>
      <c r="D45" s="27"/>
      <c r="E45" s="27"/>
      <c r="F45" s="27"/>
      <c r="G45" s="27"/>
      <c r="H45" s="27"/>
      <c r="I45" s="27"/>
      <c r="J45" s="27"/>
      <c r="K45" s="27"/>
      <c r="L45" s="27"/>
      <c r="M45" s="27"/>
      <c r="N45" s="27"/>
      <c r="O45" s="27"/>
      <c r="P45" s="27"/>
      <c r="Q45" s="27"/>
    </row>
    <row r="46" spans="2:17" ht="45" customHeight="1">
      <c r="B46" s="27"/>
      <c r="C46" s="28" t="s">
        <v>423</v>
      </c>
      <c r="D46" s="85">
        <v>1300</v>
      </c>
      <c r="E46" s="85">
        <v>200</v>
      </c>
      <c r="F46" s="85"/>
      <c r="G46" s="85"/>
      <c r="H46" s="85"/>
      <c r="I46" s="85"/>
      <c r="J46" s="85"/>
      <c r="K46" s="85"/>
      <c r="L46" s="85"/>
      <c r="M46" s="85"/>
      <c r="N46" s="85"/>
      <c r="O46" s="85"/>
      <c r="P46" s="85"/>
      <c r="Q46" s="85"/>
    </row>
    <row r="47" spans="2:17" ht="30" customHeight="1">
      <c r="B47" s="27"/>
      <c r="C47" s="29" t="s">
        <v>424</v>
      </c>
      <c r="D47" s="85"/>
      <c r="E47" s="85"/>
      <c r="F47" s="85"/>
      <c r="G47" s="85"/>
      <c r="H47" s="85"/>
      <c r="I47" s="85"/>
      <c r="J47" s="85"/>
      <c r="K47" s="85"/>
      <c r="L47" s="85"/>
      <c r="M47" s="85"/>
      <c r="N47" s="85"/>
      <c r="O47" s="85"/>
      <c r="P47" s="85"/>
      <c r="Q47" s="85"/>
    </row>
    <row r="48" spans="2:17" ht="15" customHeight="1">
      <c r="B48" s="27"/>
      <c r="C48" s="29" t="s">
        <v>425</v>
      </c>
      <c r="D48" s="85"/>
      <c r="E48" s="85"/>
      <c r="F48" s="85"/>
      <c r="G48" s="85"/>
      <c r="H48" s="85"/>
      <c r="I48" s="85"/>
      <c r="J48" s="85"/>
      <c r="K48" s="85"/>
      <c r="L48" s="85"/>
      <c r="M48" s="85"/>
      <c r="N48" s="85"/>
      <c r="O48" s="85"/>
      <c r="P48" s="85"/>
      <c r="Q48" s="85"/>
    </row>
    <row r="49" spans="2:17" ht="8" customHeight="1">
      <c r="B49" s="27"/>
      <c r="C49" s="30"/>
      <c r="D49" s="96"/>
      <c r="E49" s="96"/>
      <c r="F49" s="96"/>
      <c r="G49" s="96"/>
      <c r="H49" s="96"/>
      <c r="I49" s="96"/>
      <c r="J49" s="96"/>
      <c r="K49" s="96"/>
      <c r="L49" s="96"/>
      <c r="M49" s="96"/>
      <c r="N49" s="96"/>
      <c r="O49" s="96"/>
      <c r="P49" s="96"/>
      <c r="Q49" s="96"/>
    </row>
    <row r="50" spans="2:17" ht="30" customHeight="1">
      <c r="B50" s="27"/>
      <c r="C50" s="28" t="s">
        <v>426</v>
      </c>
      <c r="D50" s="85">
        <v>752</v>
      </c>
      <c r="E50" s="85">
        <v>154</v>
      </c>
      <c r="F50" s="85"/>
      <c r="G50" s="85"/>
      <c r="H50" s="85"/>
      <c r="I50" s="85"/>
      <c r="J50" s="85"/>
      <c r="K50" s="85"/>
      <c r="L50" s="85"/>
      <c r="M50" s="85"/>
      <c r="N50" s="85"/>
      <c r="O50" s="85"/>
      <c r="P50" s="85"/>
      <c r="Q50" s="85"/>
    </row>
    <row r="51" spans="2:17" ht="30" customHeight="1">
      <c r="B51" s="27"/>
      <c r="C51" s="29" t="s">
        <v>424</v>
      </c>
      <c r="D51" s="85"/>
      <c r="E51" s="85"/>
      <c r="F51" s="85"/>
      <c r="G51" s="85"/>
      <c r="H51" s="85"/>
      <c r="I51" s="85"/>
      <c r="J51" s="85"/>
      <c r="K51" s="85"/>
      <c r="L51" s="85"/>
      <c r="M51" s="85"/>
      <c r="N51" s="85"/>
      <c r="O51" s="85"/>
      <c r="P51" s="85"/>
      <c r="Q51" s="85"/>
    </row>
    <row r="52" spans="2:17" ht="15" customHeight="1">
      <c r="B52" s="27"/>
      <c r="C52" s="29" t="s">
        <v>425</v>
      </c>
      <c r="D52" s="85"/>
      <c r="E52" s="85"/>
      <c r="F52" s="85"/>
      <c r="G52" s="85"/>
      <c r="H52" s="85"/>
      <c r="I52" s="85"/>
      <c r="J52" s="85"/>
      <c r="K52" s="85"/>
      <c r="L52" s="85"/>
      <c r="M52" s="85"/>
      <c r="N52" s="85"/>
      <c r="O52" s="85"/>
      <c r="P52" s="85"/>
      <c r="Q52" s="85"/>
    </row>
    <row r="53" spans="2:17" ht="6" customHeight="1">
      <c r="B53" s="27"/>
      <c r="C53" s="31"/>
      <c r="D53" s="96"/>
      <c r="E53" s="96"/>
      <c r="F53" s="96"/>
      <c r="G53" s="96"/>
      <c r="H53" s="96"/>
      <c r="I53" s="96"/>
      <c r="J53" s="96"/>
      <c r="K53" s="96"/>
      <c r="L53" s="96"/>
      <c r="M53" s="96"/>
      <c r="N53" s="96"/>
      <c r="O53" s="96"/>
      <c r="P53" s="96"/>
      <c r="Q53" s="96"/>
    </row>
    <row r="54" spans="2:17" ht="33" customHeight="1">
      <c r="B54" s="27"/>
      <c r="C54" s="28" t="s">
        <v>427</v>
      </c>
      <c r="D54" s="85"/>
      <c r="E54" s="85"/>
      <c r="F54" s="85"/>
      <c r="G54" s="85"/>
      <c r="H54" s="85"/>
      <c r="I54" s="85"/>
      <c r="J54" s="85"/>
      <c r="K54" s="85"/>
      <c r="L54" s="85"/>
      <c r="M54" s="85"/>
      <c r="N54" s="85"/>
      <c r="O54" s="85"/>
      <c r="P54" s="85"/>
      <c r="Q54" s="85"/>
    </row>
    <row r="55" spans="2:17" ht="30" customHeight="1">
      <c r="B55" s="27"/>
      <c r="C55" s="28" t="s">
        <v>428</v>
      </c>
      <c r="D55" s="85"/>
      <c r="E55" s="85"/>
      <c r="F55" s="85"/>
      <c r="G55" s="85"/>
      <c r="H55" s="85"/>
      <c r="I55" s="85"/>
      <c r="J55" s="85"/>
      <c r="K55" s="85"/>
      <c r="L55" s="85"/>
      <c r="M55" s="85"/>
      <c r="N55" s="85"/>
      <c r="O55" s="85"/>
      <c r="P55" s="85"/>
      <c r="Q55" s="85"/>
    </row>
    <row r="56" spans="2:17" ht="30" customHeight="1">
      <c r="B56" s="27"/>
      <c r="C56" s="28" t="s">
        <v>429</v>
      </c>
      <c r="D56" s="85"/>
      <c r="E56" s="85"/>
      <c r="F56" s="85"/>
      <c r="G56" s="85"/>
      <c r="H56" s="85"/>
      <c r="I56" s="85"/>
      <c r="J56" s="85"/>
      <c r="K56" s="85"/>
      <c r="L56" s="85"/>
      <c r="M56" s="85"/>
      <c r="N56" s="85"/>
      <c r="O56" s="85"/>
      <c r="P56" s="85"/>
      <c r="Q56" s="85"/>
    </row>
    <row r="57" spans="2:17" ht="56">
      <c r="C57" s="28" t="s">
        <v>430</v>
      </c>
      <c r="D57" s="71"/>
      <c r="E57" s="71"/>
      <c r="F57" s="85"/>
      <c r="G57" s="85"/>
      <c r="H57" s="85"/>
      <c r="I57" s="85"/>
      <c r="J57" s="85"/>
      <c r="K57" s="85"/>
      <c r="L57" s="85"/>
      <c r="M57" s="85"/>
      <c r="N57" s="85"/>
      <c r="O57" s="85"/>
      <c r="P57" s="85"/>
      <c r="Q57" s="85"/>
    </row>
    <row r="58" spans="2:17" ht="56">
      <c r="C58" s="28" t="s">
        <v>431</v>
      </c>
      <c r="D58" s="123">
        <v>1</v>
      </c>
      <c r="E58" s="123">
        <v>1</v>
      </c>
      <c r="F58" s="85"/>
      <c r="G58" s="85"/>
      <c r="H58" s="85"/>
      <c r="I58" s="85"/>
      <c r="J58" s="85"/>
      <c r="K58" s="85"/>
      <c r="L58" s="85"/>
      <c r="M58" s="85"/>
      <c r="N58" s="85"/>
      <c r="O58" s="85"/>
      <c r="P58" s="85"/>
      <c r="Q58" s="85"/>
    </row>
    <row r="59" spans="2:17">
      <c r="C59" s="124"/>
    </row>
    <row r="60" spans="2:17" ht="15">
      <c r="D60" s="1" t="s">
        <v>432</v>
      </c>
    </row>
    <row r="61" spans="2:17">
      <c r="D61" s="97" t="s">
        <v>433</v>
      </c>
    </row>
    <row r="62" spans="2:17">
      <c r="D62" s="98" t="s">
        <v>434</v>
      </c>
    </row>
    <row r="63" spans="2:17">
      <c r="D63" s="98" t="s">
        <v>435</v>
      </c>
    </row>
    <row r="64" spans="2:17">
      <c r="D64" s="98" t="s">
        <v>436</v>
      </c>
    </row>
    <row r="65" spans="4:4">
      <c r="D65" s="98" t="s">
        <v>437</v>
      </c>
    </row>
    <row r="66" spans="4:4">
      <c r="D66" s="98" t="s">
        <v>438</v>
      </c>
    </row>
    <row r="68" spans="4:4" ht="15">
      <c r="D68" s="99" t="s">
        <v>439</v>
      </c>
    </row>
  </sheetData>
  <mergeCells count="3">
    <mergeCell ref="F4:G4"/>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135"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32">
    <cfRule type="expression" dxfId="134" priority="1">
      <formula>#REF!="Owned"</formula>
    </cfRule>
  </conditionalFormatting>
  <dataValidations count="1">
    <dataValidation type="list" allowBlank="1" showInputMessage="1" showErrorMessage="1" sqref="E6" xr:uid="{9534950D-94D9-44EA-8784-12D46AD9C426}">
      <formula1>"Yes, No"</formula1>
    </dataValidation>
  </dataValidations>
  <pageMargins left="0.7" right="0.7" top="0.75" bottom="0.75" header="0.3" footer="0.3"/>
  <pageSetup scale="22" orientation="portrait" horizontalDpi="90" verticalDpi="90" r:id="rId1"/>
  <headerFooter>
    <oddHeader>&amp;C&amp;"Calibri"&amp;10&amp;K000000 Internal&amp;1#_x000D_&amp;"Arial"&amp;10&amp;K000000&amp;"Arial"&amp;10&amp;K000000</oddHeader>
  </headerFooter>
  <colBreaks count="1" manualBreakCount="1">
    <brk id="7" max="104857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157E-3C64-43BA-B8C8-F1D618CA535A}">
  <sheetPr codeName="Feuil9">
    <tabColor rgb="FF00B050"/>
    <pageSetUpPr fitToPage="1"/>
  </sheetPr>
  <dimension ref="B1:R68"/>
  <sheetViews>
    <sheetView topLeftCell="A52" zoomScale="70" zoomScaleNormal="70" workbookViewId="0">
      <selection activeCell="D21" sqref="D21"/>
    </sheetView>
  </sheetViews>
  <sheetFormatPr baseColWidth="10" defaultColWidth="9.1640625" defaultRowHeight="13"/>
  <cols>
    <col min="1" max="1" width="19.5" style="1" customWidth="1"/>
    <col min="2" max="2" width="24.1640625" style="1" customWidth="1"/>
    <col min="3" max="3" width="23.1640625" style="1" customWidth="1"/>
    <col min="4" max="4" width="22.83203125" style="1" customWidth="1"/>
    <col min="5" max="5" width="24" style="1" bestFit="1" customWidth="1"/>
    <col min="6" max="18" width="22.83203125" style="1" customWidth="1"/>
    <col min="19" max="16384" width="9.1640625" style="1"/>
  </cols>
  <sheetData>
    <row r="1" spans="2:18" ht="7.5" customHeight="1"/>
    <row r="2" spans="2:18">
      <c r="C2" s="505" t="s">
        <v>323</v>
      </c>
      <c r="D2" s="109">
        <v>45961</v>
      </c>
      <c r="F2" s="110"/>
      <c r="G2" s="110"/>
      <c r="H2" s="110"/>
      <c r="I2" s="4"/>
    </row>
    <row r="3" spans="2:18">
      <c r="F3"/>
      <c r="G3"/>
      <c r="H3"/>
    </row>
    <row r="4" spans="2:18">
      <c r="C4" s="81" t="s">
        <v>324</v>
      </c>
      <c r="D4" s="82" t="s">
        <v>212</v>
      </c>
      <c r="F4" s="592"/>
      <c r="G4" s="592"/>
      <c r="H4" s="112"/>
      <c r="I4" s="5"/>
    </row>
    <row r="5" spans="2:18" ht="15.75" customHeight="1">
      <c r="C5" s="2"/>
    </row>
    <row r="6" spans="2:18" ht="26.25" customHeight="1">
      <c r="B6" s="1" t="s">
        <v>326</v>
      </c>
      <c r="C6" s="589" t="s">
        <v>327</v>
      </c>
      <c r="D6" s="591"/>
      <c r="E6" s="6" t="s">
        <v>328</v>
      </c>
      <c r="F6" s="101"/>
      <c r="G6" s="101"/>
      <c r="H6" s="101"/>
    </row>
    <row r="7" spans="2:18" ht="26.25" customHeight="1">
      <c r="B7" s="1" t="s">
        <v>326</v>
      </c>
      <c r="C7" s="589" t="s">
        <v>329</v>
      </c>
      <c r="D7" s="591"/>
      <c r="E7" s="6">
        <v>1</v>
      </c>
      <c r="F7" s="101"/>
      <c r="G7" s="101"/>
      <c r="H7" s="101"/>
    </row>
    <row r="8" spans="2:18" ht="26.25" customHeight="1">
      <c r="C8" s="113"/>
      <c r="D8" s="113"/>
      <c r="E8" s="42"/>
      <c r="F8" s="101"/>
      <c r="G8" s="101"/>
      <c r="H8" s="101"/>
    </row>
    <row r="9" spans="2:18">
      <c r="C9" s="69" t="s">
        <v>441</v>
      </c>
      <c r="D9" s="67"/>
      <c r="E9" s="67"/>
      <c r="F9" s="67"/>
      <c r="G9" s="67"/>
      <c r="H9" s="67"/>
      <c r="I9" s="67"/>
      <c r="J9" s="67"/>
      <c r="K9" s="67"/>
      <c r="L9" s="67"/>
      <c r="M9" s="67"/>
      <c r="N9" s="67"/>
      <c r="O9" s="67"/>
      <c r="P9" s="67"/>
      <c r="Q9" s="67"/>
    </row>
    <row r="10" spans="2:18" ht="15" customHeight="1">
      <c r="C10" s="104" t="s">
        <v>331</v>
      </c>
      <c r="D10" s="114" t="s">
        <v>521</v>
      </c>
      <c r="E10" s="114" t="s">
        <v>522</v>
      </c>
      <c r="F10" s="114" t="s">
        <v>523</v>
      </c>
      <c r="G10" s="114" t="s">
        <v>335</v>
      </c>
      <c r="H10" s="114" t="s">
        <v>336</v>
      </c>
      <c r="I10" s="114" t="s">
        <v>337</v>
      </c>
      <c r="J10" s="114" t="s">
        <v>338</v>
      </c>
      <c r="K10" s="114" t="s">
        <v>339</v>
      </c>
      <c r="L10" s="114" t="s">
        <v>340</v>
      </c>
      <c r="M10" s="114" t="s">
        <v>341</v>
      </c>
      <c r="N10" s="114" t="s">
        <v>342</v>
      </c>
      <c r="O10" s="114" t="s">
        <v>343</v>
      </c>
      <c r="P10" s="114" t="s">
        <v>344</v>
      </c>
      <c r="Q10" s="114" t="s">
        <v>345</v>
      </c>
      <c r="R10" s="84" t="s">
        <v>346</v>
      </c>
    </row>
    <row r="11" spans="2:18" ht="15" customHeight="1">
      <c r="C11" s="104" t="s">
        <v>299</v>
      </c>
      <c r="D11" s="84" t="s">
        <v>524</v>
      </c>
      <c r="E11" s="84" t="s">
        <v>524</v>
      </c>
      <c r="F11" s="84" t="s">
        <v>524</v>
      </c>
      <c r="G11" s="84"/>
      <c r="H11" s="84"/>
      <c r="I11" s="84"/>
      <c r="J11" s="84"/>
      <c r="K11" s="84"/>
      <c r="L11" s="84"/>
      <c r="M11" s="84"/>
      <c r="N11" s="84"/>
      <c r="O11" s="84"/>
      <c r="P11" s="84"/>
      <c r="Q11" s="84"/>
      <c r="R11" s="125"/>
    </row>
    <row r="12" spans="2:18" ht="15" customHeight="1">
      <c r="C12" s="32"/>
      <c r="D12" s="115"/>
      <c r="E12" s="116"/>
      <c r="F12" s="116"/>
      <c r="G12" s="116"/>
      <c r="H12" s="116"/>
      <c r="I12" s="116"/>
      <c r="J12" s="117"/>
      <c r="K12" s="117"/>
      <c r="L12" s="117"/>
      <c r="M12" s="117"/>
      <c r="N12" s="117"/>
      <c r="O12" s="117"/>
      <c r="P12" s="117"/>
      <c r="Q12" s="117"/>
      <c r="R12" s="126"/>
    </row>
    <row r="13" spans="2:18" ht="28">
      <c r="B13" s="7" t="s">
        <v>348</v>
      </c>
      <c r="C13" s="8" t="s">
        <v>349</v>
      </c>
      <c r="D13" s="118" t="s">
        <v>525</v>
      </c>
      <c r="E13" s="118"/>
      <c r="F13" s="118"/>
      <c r="G13" s="118"/>
      <c r="H13" s="118"/>
      <c r="I13" s="118"/>
      <c r="J13" s="118"/>
      <c r="K13" s="118"/>
      <c r="L13" s="118"/>
      <c r="M13" s="118"/>
      <c r="N13" s="118"/>
      <c r="O13" s="118"/>
      <c r="P13" s="118"/>
      <c r="Q13" s="118"/>
      <c r="R13" s="85"/>
    </row>
    <row r="14" spans="2:18" ht="77.25" customHeight="1">
      <c r="B14" s="7" t="s">
        <v>352</v>
      </c>
      <c r="C14" s="8" t="s">
        <v>297</v>
      </c>
      <c r="D14" s="85" t="s">
        <v>214</v>
      </c>
      <c r="E14" s="85"/>
      <c r="F14" s="85"/>
      <c r="G14" s="85"/>
      <c r="H14" s="85"/>
      <c r="I14" s="85"/>
      <c r="J14" s="85"/>
      <c r="K14" s="85"/>
      <c r="L14" s="85"/>
      <c r="M14" s="85"/>
      <c r="N14" s="85"/>
      <c r="O14" s="85"/>
      <c r="P14" s="85"/>
      <c r="Q14" s="85"/>
      <c r="R14" s="85"/>
    </row>
    <row r="15" spans="2:18" ht="30" customHeight="1">
      <c r="B15" s="7" t="s">
        <v>353</v>
      </c>
      <c r="C15" s="8" t="s">
        <v>354</v>
      </c>
      <c r="D15" s="85" t="s">
        <v>215</v>
      </c>
      <c r="E15" s="85"/>
      <c r="F15" s="85"/>
      <c r="G15" s="85"/>
      <c r="H15" s="85"/>
      <c r="I15" s="85"/>
      <c r="J15" s="85"/>
      <c r="K15" s="85"/>
      <c r="L15" s="85"/>
      <c r="M15" s="85"/>
      <c r="N15" s="85"/>
      <c r="O15" s="85"/>
      <c r="P15" s="85"/>
      <c r="Q15" s="85"/>
      <c r="R15" s="85"/>
    </row>
    <row r="16" spans="2:18" ht="15" customHeight="1">
      <c r="B16" s="7" t="s">
        <v>355</v>
      </c>
      <c r="C16" s="8" t="s">
        <v>356</v>
      </c>
      <c r="D16" s="85" t="s">
        <v>526</v>
      </c>
      <c r="E16" s="85"/>
      <c r="F16" s="85"/>
      <c r="G16" s="85"/>
      <c r="H16" s="85"/>
      <c r="I16" s="85"/>
      <c r="J16" s="85"/>
      <c r="K16" s="85"/>
      <c r="L16" s="85"/>
      <c r="M16" s="85"/>
      <c r="N16" s="85"/>
      <c r="O16" s="85"/>
      <c r="P16" s="85"/>
      <c r="Q16" s="85"/>
      <c r="R16" s="85"/>
    </row>
    <row r="17" spans="2:18" ht="15" customHeight="1">
      <c r="B17" s="7" t="s">
        <v>357</v>
      </c>
      <c r="C17" s="8" t="s">
        <v>294</v>
      </c>
      <c r="D17" s="85" t="s">
        <v>213</v>
      </c>
      <c r="E17" s="85"/>
      <c r="F17" s="85"/>
      <c r="G17" s="85"/>
      <c r="H17" s="85"/>
      <c r="I17" s="85"/>
      <c r="J17" s="85"/>
      <c r="K17" s="85"/>
      <c r="L17" s="85"/>
      <c r="M17" s="85"/>
      <c r="N17" s="85"/>
      <c r="O17" s="85"/>
      <c r="P17" s="85"/>
      <c r="Q17" s="85"/>
      <c r="R17" s="85"/>
    </row>
    <row r="18" spans="2:18" ht="15" customHeight="1">
      <c r="B18" s="9" t="s">
        <v>358</v>
      </c>
      <c r="C18" s="10" t="s">
        <v>359</v>
      </c>
      <c r="D18" s="85" t="s">
        <v>360</v>
      </c>
      <c r="E18" s="85" t="s">
        <v>527</v>
      </c>
      <c r="F18" s="85" t="s">
        <v>527</v>
      </c>
      <c r="G18" s="85"/>
      <c r="H18" s="85"/>
      <c r="I18" s="85"/>
      <c r="J18" s="85"/>
      <c r="K18" s="85"/>
      <c r="L18" s="85"/>
      <c r="M18" s="85"/>
      <c r="N18" s="85"/>
      <c r="O18" s="85"/>
      <c r="P18" s="85"/>
      <c r="Q18" s="85"/>
      <c r="R18" s="85"/>
    </row>
    <row r="19" spans="2:18" ht="45.75" customHeight="1">
      <c r="B19" s="9" t="s">
        <v>361</v>
      </c>
      <c r="C19" s="10" t="s">
        <v>362</v>
      </c>
      <c r="D19" s="85" t="s">
        <v>328</v>
      </c>
      <c r="E19" s="85"/>
      <c r="F19" s="85"/>
      <c r="G19" s="85"/>
      <c r="H19" s="85"/>
      <c r="I19" s="85"/>
      <c r="J19" s="85"/>
      <c r="K19" s="85"/>
      <c r="L19" s="85"/>
      <c r="M19" s="85"/>
      <c r="N19" s="85"/>
      <c r="O19" s="85"/>
      <c r="P19" s="85"/>
      <c r="Q19" s="85"/>
      <c r="R19" s="85"/>
    </row>
    <row r="20" spans="2:18" ht="45" customHeight="1">
      <c r="B20" s="9" t="s">
        <v>363</v>
      </c>
      <c r="C20" s="10" t="s">
        <v>364</v>
      </c>
      <c r="D20" s="85" t="s">
        <v>498</v>
      </c>
      <c r="E20" s="85"/>
      <c r="F20" s="85"/>
      <c r="G20" s="85"/>
      <c r="H20" s="85"/>
      <c r="I20" s="85"/>
      <c r="J20" s="85"/>
      <c r="K20" s="85"/>
      <c r="L20" s="85"/>
      <c r="M20" s="85"/>
      <c r="N20" s="85"/>
      <c r="O20" s="85"/>
      <c r="P20" s="85"/>
      <c r="Q20" s="85"/>
      <c r="R20" s="85"/>
    </row>
    <row r="21" spans="2:18" ht="30" customHeight="1">
      <c r="B21" s="11" t="s">
        <v>365</v>
      </c>
      <c r="C21" s="12" t="s">
        <v>366</v>
      </c>
      <c r="D21" s="85" t="s">
        <v>528</v>
      </c>
      <c r="E21" s="85" t="s">
        <v>529</v>
      </c>
      <c r="F21" s="85" t="s">
        <v>530</v>
      </c>
      <c r="G21" s="85"/>
      <c r="H21" s="85"/>
      <c r="I21" s="85"/>
      <c r="J21" s="85"/>
      <c r="K21" s="85"/>
      <c r="L21" s="85"/>
      <c r="M21" s="85"/>
      <c r="N21" s="85"/>
      <c r="O21" s="85"/>
      <c r="P21" s="85"/>
      <c r="Q21" s="85"/>
      <c r="R21" s="85"/>
    </row>
    <row r="22" spans="2:18" ht="30" customHeight="1">
      <c r="B22" s="11" t="s">
        <v>369</v>
      </c>
      <c r="C22" s="12" t="s">
        <v>370</v>
      </c>
      <c r="D22" s="85" t="s">
        <v>531</v>
      </c>
      <c r="E22" s="85" t="s">
        <v>528</v>
      </c>
      <c r="F22" s="85" t="s">
        <v>528</v>
      </c>
      <c r="G22" s="85"/>
      <c r="H22" s="85"/>
      <c r="I22" s="85"/>
      <c r="J22" s="85"/>
      <c r="K22" s="85"/>
      <c r="L22" s="85"/>
      <c r="M22" s="85"/>
      <c r="N22" s="85"/>
      <c r="O22" s="85"/>
      <c r="P22" s="85"/>
      <c r="Q22" s="85"/>
      <c r="R22" s="85"/>
    </row>
    <row r="23" spans="2:18" ht="30" customHeight="1">
      <c r="B23" s="514"/>
      <c r="C23" s="87" t="s">
        <v>374</v>
      </c>
      <c r="D23" s="394" t="s">
        <v>374</v>
      </c>
      <c r="E23" s="394" t="s">
        <v>374</v>
      </c>
      <c r="F23" s="394" t="s">
        <v>374</v>
      </c>
      <c r="G23" s="85"/>
      <c r="H23" s="85"/>
      <c r="I23" s="85"/>
      <c r="J23" s="85"/>
      <c r="K23" s="85"/>
      <c r="L23" s="85"/>
      <c r="M23" s="85"/>
      <c r="N23" s="85"/>
      <c r="O23" s="85"/>
      <c r="P23" s="85"/>
      <c r="Q23" s="85"/>
      <c r="R23" s="85"/>
    </row>
    <row r="24" spans="2:18" ht="45" customHeight="1">
      <c r="B24" s="13" t="s">
        <v>375</v>
      </c>
      <c r="C24" s="14" t="s">
        <v>376</v>
      </c>
      <c r="D24" s="90">
        <f>111242*0.092903</f>
        <v>10334.715526</v>
      </c>
      <c r="E24" s="90">
        <f>36344*0.092903</f>
        <v>3376.4666320000001</v>
      </c>
      <c r="F24" s="90">
        <f>24965*0.092903</f>
        <v>2319.3233949999999</v>
      </c>
      <c r="G24" s="88"/>
      <c r="H24" s="88"/>
      <c r="I24" s="88"/>
      <c r="J24" s="88"/>
      <c r="K24" s="88"/>
      <c r="L24" s="88"/>
      <c r="M24" s="88"/>
      <c r="N24" s="88"/>
      <c r="O24" s="88"/>
      <c r="P24" s="88"/>
      <c r="Q24" s="88"/>
      <c r="R24" s="88"/>
    </row>
    <row r="25" spans="2:18" ht="45" customHeight="1">
      <c r="B25" s="15" t="s">
        <v>377</v>
      </c>
      <c r="C25" s="16" t="s">
        <v>378</v>
      </c>
      <c r="D25" s="127">
        <v>431</v>
      </c>
      <c r="E25" s="127">
        <v>254</v>
      </c>
      <c r="F25" s="85">
        <v>96</v>
      </c>
      <c r="G25" s="85"/>
      <c r="H25" s="85"/>
      <c r="I25" s="85"/>
      <c r="J25" s="85"/>
      <c r="K25" s="85"/>
      <c r="L25" s="85"/>
      <c r="M25" s="85"/>
      <c r="N25" s="85"/>
      <c r="O25" s="85"/>
      <c r="P25" s="85"/>
      <c r="Q25" s="85"/>
      <c r="R25" s="85"/>
    </row>
    <row r="26" spans="2:18" ht="45" customHeight="1">
      <c r="B26" s="15" t="s">
        <v>380</v>
      </c>
      <c r="C26" s="16" t="s">
        <v>381</v>
      </c>
      <c r="D26" s="89" t="s">
        <v>532</v>
      </c>
      <c r="E26" s="127" t="s">
        <v>532</v>
      </c>
      <c r="F26" s="127" t="s">
        <v>532</v>
      </c>
      <c r="G26" s="85"/>
      <c r="H26" s="85"/>
      <c r="I26" s="85"/>
      <c r="J26" s="85"/>
      <c r="K26" s="85"/>
      <c r="L26" s="85"/>
      <c r="M26" s="85"/>
      <c r="N26" s="85"/>
      <c r="O26" s="85"/>
      <c r="P26" s="85"/>
      <c r="Q26" s="85"/>
      <c r="R26" s="85"/>
    </row>
    <row r="27" spans="2:18" ht="45" customHeight="1">
      <c r="B27" s="15"/>
      <c r="C27" s="16" t="s">
        <v>517</v>
      </c>
      <c r="D27" s="89"/>
      <c r="E27" s="127"/>
      <c r="F27" s="127"/>
      <c r="G27" s="85"/>
      <c r="H27" s="85"/>
      <c r="I27" s="85"/>
      <c r="J27" s="85"/>
      <c r="K27" s="85"/>
      <c r="L27" s="85"/>
      <c r="M27" s="85"/>
      <c r="N27" s="85"/>
      <c r="O27" s="85"/>
      <c r="P27" s="85"/>
      <c r="Q27" s="85"/>
      <c r="R27" s="85"/>
    </row>
    <row r="28" spans="2:18" ht="45" customHeight="1">
      <c r="B28" s="15" t="s">
        <v>384</v>
      </c>
      <c r="C28" s="16" t="s">
        <v>450</v>
      </c>
      <c r="D28" s="128">
        <v>17.5</v>
      </c>
      <c r="E28" s="128">
        <v>17</v>
      </c>
      <c r="F28" s="128">
        <v>18.5</v>
      </c>
      <c r="G28" s="85"/>
      <c r="H28" s="85"/>
      <c r="I28" s="85"/>
      <c r="J28" s="85"/>
      <c r="K28" s="85"/>
      <c r="L28" s="85"/>
      <c r="M28" s="85"/>
      <c r="N28" s="85"/>
      <c r="O28" s="85"/>
      <c r="P28" s="85"/>
      <c r="Q28" s="85"/>
      <c r="R28" s="85"/>
    </row>
    <row r="29" spans="2:18" ht="45" customHeight="1">
      <c r="B29" s="15" t="s">
        <v>387</v>
      </c>
      <c r="C29" s="16" t="s">
        <v>388</v>
      </c>
      <c r="D29" s="127" t="s">
        <v>533</v>
      </c>
      <c r="E29" s="127" t="s">
        <v>534</v>
      </c>
      <c r="F29" s="127" t="s">
        <v>535</v>
      </c>
      <c r="G29" s="85"/>
      <c r="H29" s="85"/>
      <c r="I29" s="85"/>
      <c r="J29" s="85"/>
      <c r="K29" s="85"/>
      <c r="L29" s="85"/>
      <c r="M29" s="85"/>
      <c r="N29" s="85"/>
      <c r="O29" s="85"/>
      <c r="P29" s="85"/>
      <c r="Q29" s="85"/>
      <c r="R29" s="85"/>
    </row>
    <row r="30" spans="2:18" ht="60" customHeight="1">
      <c r="B30" s="13" t="s">
        <v>390</v>
      </c>
      <c r="C30" s="17" t="s">
        <v>453</v>
      </c>
      <c r="D30" s="129">
        <f>1.91/0.092903</f>
        <v>20.559077747758415</v>
      </c>
      <c r="E30" s="85"/>
      <c r="F30" s="85"/>
      <c r="G30" s="85"/>
      <c r="H30" s="85"/>
      <c r="I30" s="85"/>
      <c r="J30" s="85"/>
      <c r="K30" s="85"/>
      <c r="L30" s="85"/>
      <c r="M30" s="85"/>
      <c r="N30" s="85"/>
      <c r="O30" s="85"/>
      <c r="P30" s="85"/>
      <c r="Q30" s="85"/>
      <c r="R30" s="85"/>
    </row>
    <row r="31" spans="2:18" ht="60" customHeight="1">
      <c r="B31" s="13"/>
      <c r="C31" s="17" t="s">
        <v>393</v>
      </c>
      <c r="D31" s="129"/>
      <c r="E31" s="85"/>
      <c r="F31" s="85"/>
      <c r="G31" s="85"/>
      <c r="H31" s="85"/>
      <c r="I31" s="85"/>
      <c r="J31" s="85"/>
      <c r="K31" s="85"/>
      <c r="L31" s="85"/>
      <c r="M31" s="85"/>
      <c r="N31" s="85"/>
      <c r="O31" s="85"/>
      <c r="P31" s="85"/>
      <c r="Q31" s="85"/>
      <c r="R31" s="85"/>
    </row>
    <row r="32" spans="2:18" ht="60" customHeight="1">
      <c r="B32" s="13" t="s">
        <v>394</v>
      </c>
      <c r="C32" s="17" t="s">
        <v>395</v>
      </c>
      <c r="D32" s="85" t="s">
        <v>536</v>
      </c>
      <c r="E32" s="85"/>
      <c r="F32" s="85"/>
      <c r="G32" s="85"/>
      <c r="H32" s="85"/>
      <c r="I32" s="85"/>
      <c r="J32" s="85"/>
      <c r="K32" s="85"/>
      <c r="L32" s="85"/>
      <c r="M32" s="85"/>
      <c r="N32" s="85"/>
      <c r="O32" s="85"/>
      <c r="P32" s="85"/>
      <c r="Q32" s="85"/>
      <c r="R32" s="85"/>
    </row>
    <row r="33" spans="2:18" ht="30" customHeight="1">
      <c r="B33" s="18" t="s">
        <v>397</v>
      </c>
      <c r="C33" s="19" t="s">
        <v>313</v>
      </c>
      <c r="D33" s="91">
        <v>43459</v>
      </c>
      <c r="E33" s="91">
        <v>44075</v>
      </c>
      <c r="F33" s="91">
        <v>45078</v>
      </c>
      <c r="G33" s="91"/>
      <c r="H33" s="91"/>
      <c r="I33" s="91"/>
      <c r="J33" s="85"/>
      <c r="K33" s="85"/>
      <c r="L33" s="85"/>
      <c r="M33" s="85"/>
      <c r="N33" s="85"/>
      <c r="O33" s="85"/>
      <c r="P33" s="85"/>
      <c r="Q33" s="85"/>
      <c r="R33" s="85"/>
    </row>
    <row r="34" spans="2:18" ht="30" customHeight="1">
      <c r="B34" s="20" t="s">
        <v>398</v>
      </c>
      <c r="C34" s="19" t="s">
        <v>315</v>
      </c>
      <c r="D34" s="91">
        <v>49302</v>
      </c>
      <c r="E34" s="91" t="s">
        <v>410</v>
      </c>
      <c r="F34" s="91" t="s">
        <v>410</v>
      </c>
      <c r="G34" s="91"/>
      <c r="H34" s="91"/>
      <c r="I34" s="91"/>
      <c r="J34" s="85"/>
      <c r="K34" s="85"/>
      <c r="L34" s="85"/>
      <c r="M34" s="85"/>
      <c r="N34" s="85"/>
      <c r="O34" s="85"/>
      <c r="P34" s="85"/>
      <c r="Q34" s="85"/>
      <c r="R34" s="85"/>
    </row>
    <row r="35" spans="2:18" ht="30" customHeight="1">
      <c r="B35" s="20" t="s">
        <v>399</v>
      </c>
      <c r="C35" s="19" t="s">
        <v>400</v>
      </c>
      <c r="D35" s="85" t="s">
        <v>410</v>
      </c>
      <c r="E35" s="85" t="s">
        <v>410</v>
      </c>
      <c r="F35" s="85" t="s">
        <v>410</v>
      </c>
      <c r="G35" s="85"/>
      <c r="H35" s="85"/>
      <c r="I35" s="85"/>
      <c r="J35" s="85"/>
      <c r="K35" s="85"/>
      <c r="L35" s="85"/>
      <c r="M35" s="85"/>
      <c r="N35" s="85"/>
      <c r="O35" s="85"/>
      <c r="P35" s="85"/>
      <c r="Q35" s="85"/>
      <c r="R35" s="85"/>
    </row>
    <row r="36" spans="2:18" ht="30" customHeight="1">
      <c r="B36" s="20" t="s">
        <v>402</v>
      </c>
      <c r="C36" s="21" t="s">
        <v>403</v>
      </c>
      <c r="D36" s="92" t="s">
        <v>328</v>
      </c>
      <c r="E36" s="92" t="s">
        <v>328</v>
      </c>
      <c r="F36" s="92" t="s">
        <v>328</v>
      </c>
      <c r="G36" s="93"/>
      <c r="H36" s="93"/>
      <c r="I36" s="93"/>
      <c r="J36" s="85"/>
      <c r="K36" s="85"/>
      <c r="L36" s="85"/>
      <c r="M36" s="85"/>
      <c r="N36" s="85"/>
      <c r="O36" s="85"/>
      <c r="P36" s="85"/>
      <c r="Q36" s="85"/>
      <c r="R36" s="85"/>
    </row>
    <row r="37" spans="2:18" ht="45" customHeight="1">
      <c r="B37" s="20" t="s">
        <v>404</v>
      </c>
      <c r="C37" s="21" t="s">
        <v>405</v>
      </c>
      <c r="D37" s="92" t="s">
        <v>410</v>
      </c>
      <c r="E37" s="92" t="s">
        <v>410</v>
      </c>
      <c r="F37" s="92" t="s">
        <v>410</v>
      </c>
      <c r="G37" s="93"/>
      <c r="H37" s="93"/>
      <c r="I37" s="93"/>
      <c r="J37" s="85"/>
      <c r="K37" s="85"/>
      <c r="L37" s="85"/>
      <c r="M37" s="85"/>
      <c r="N37" s="85"/>
      <c r="O37" s="85"/>
      <c r="P37" s="85"/>
      <c r="Q37" s="85"/>
      <c r="R37" s="85"/>
    </row>
    <row r="38" spans="2:18" ht="30" customHeight="1">
      <c r="B38" s="20" t="s">
        <v>406</v>
      </c>
      <c r="C38" s="21" t="s">
        <v>407</v>
      </c>
      <c r="D38" s="92" t="s">
        <v>328</v>
      </c>
      <c r="E38" s="92" t="s">
        <v>328</v>
      </c>
      <c r="F38" s="92" t="s">
        <v>328</v>
      </c>
      <c r="G38" s="93"/>
      <c r="H38" s="93"/>
      <c r="I38" s="93"/>
      <c r="J38" s="85"/>
      <c r="K38" s="85"/>
      <c r="L38" s="85"/>
      <c r="M38" s="85"/>
      <c r="N38" s="85"/>
      <c r="O38" s="85"/>
      <c r="P38" s="85"/>
      <c r="Q38" s="85"/>
      <c r="R38" s="85"/>
    </row>
    <row r="39" spans="2:18" ht="30" customHeight="1">
      <c r="B39" s="20" t="s">
        <v>408</v>
      </c>
      <c r="C39" s="21" t="s">
        <v>409</v>
      </c>
      <c r="D39" s="92" t="s">
        <v>410</v>
      </c>
      <c r="E39" s="92" t="s">
        <v>410</v>
      </c>
      <c r="F39" s="92" t="s">
        <v>410</v>
      </c>
      <c r="G39" s="93"/>
      <c r="H39" s="93"/>
      <c r="I39" s="93"/>
      <c r="J39" s="85"/>
      <c r="K39" s="85"/>
      <c r="L39" s="85"/>
      <c r="M39" s="85"/>
      <c r="N39" s="85"/>
      <c r="O39" s="85"/>
      <c r="P39" s="85"/>
      <c r="Q39" s="85"/>
      <c r="R39" s="85"/>
    </row>
    <row r="40" spans="2:18" ht="45" customHeight="1">
      <c r="B40" s="20" t="s">
        <v>411</v>
      </c>
      <c r="C40" s="21" t="s">
        <v>314</v>
      </c>
      <c r="D40" s="92">
        <v>49058</v>
      </c>
      <c r="E40" s="92">
        <v>49033</v>
      </c>
      <c r="F40" s="92">
        <v>49033</v>
      </c>
      <c r="G40" s="93"/>
      <c r="H40" s="93"/>
      <c r="I40" s="93"/>
      <c r="J40" s="85"/>
      <c r="K40" s="85"/>
      <c r="L40" s="85"/>
      <c r="M40" s="85"/>
      <c r="N40" s="85"/>
      <c r="O40" s="85"/>
      <c r="P40" s="85"/>
      <c r="Q40" s="85"/>
      <c r="R40" s="85"/>
    </row>
    <row r="41" spans="2:18" ht="60" customHeight="1">
      <c r="B41" s="22" t="s">
        <v>412</v>
      </c>
      <c r="C41" s="23" t="s">
        <v>413</v>
      </c>
      <c r="D41" s="92" t="s">
        <v>414</v>
      </c>
      <c r="E41" s="92"/>
      <c r="F41" s="92"/>
      <c r="G41" s="92"/>
      <c r="H41" s="92"/>
      <c r="I41" s="92"/>
      <c r="J41" s="92"/>
      <c r="K41" s="92"/>
      <c r="L41" s="92"/>
      <c r="M41" s="92"/>
      <c r="N41" s="92"/>
      <c r="O41" s="92"/>
      <c r="P41" s="92"/>
      <c r="Q41" s="92"/>
      <c r="R41" s="92"/>
    </row>
    <row r="42" spans="2:18" ht="75" customHeight="1">
      <c r="B42" s="24" t="s">
        <v>457</v>
      </c>
      <c r="C42" s="23" t="s">
        <v>458</v>
      </c>
      <c r="D42" s="95" t="s">
        <v>414</v>
      </c>
      <c r="E42" s="95" t="s">
        <v>537</v>
      </c>
      <c r="F42" s="95" t="s">
        <v>538</v>
      </c>
      <c r="G42" s="95"/>
      <c r="H42" s="95"/>
      <c r="I42" s="95"/>
      <c r="J42" s="95"/>
      <c r="K42" s="95"/>
      <c r="L42" s="95"/>
      <c r="M42" s="95"/>
      <c r="N42" s="95"/>
      <c r="O42" s="95"/>
      <c r="P42" s="95"/>
      <c r="Q42" s="95"/>
      <c r="R42" s="95"/>
    </row>
    <row r="43" spans="2:18" ht="60" customHeight="1">
      <c r="B43" s="25" t="s">
        <v>418</v>
      </c>
      <c r="C43" s="26" t="s">
        <v>419</v>
      </c>
      <c r="D43" s="85" t="s">
        <v>414</v>
      </c>
      <c r="E43" s="85"/>
      <c r="F43" s="85"/>
      <c r="G43" s="85"/>
      <c r="H43" s="85"/>
      <c r="I43" s="85"/>
      <c r="J43" s="85"/>
      <c r="K43" s="85"/>
      <c r="L43" s="85"/>
      <c r="M43" s="85"/>
      <c r="N43" s="85"/>
      <c r="O43" s="85"/>
      <c r="P43" s="85"/>
      <c r="Q43" s="85"/>
      <c r="R43" s="85"/>
    </row>
    <row r="44" spans="2:18" ht="75" customHeight="1">
      <c r="B44" s="25" t="s">
        <v>420</v>
      </c>
      <c r="C44" s="26" t="s">
        <v>421</v>
      </c>
      <c r="D44" s="85" t="s">
        <v>539</v>
      </c>
      <c r="E44" s="85"/>
      <c r="F44" s="85"/>
      <c r="G44" s="85"/>
      <c r="H44" s="85"/>
      <c r="I44" s="85"/>
      <c r="J44" s="85"/>
      <c r="K44" s="85"/>
      <c r="L44" s="85"/>
      <c r="M44" s="85"/>
      <c r="N44" s="85"/>
      <c r="O44" s="85"/>
      <c r="P44" s="85"/>
      <c r="Q44" s="85"/>
      <c r="R44" s="85"/>
    </row>
    <row r="45" spans="2:18">
      <c r="B45" s="27"/>
      <c r="C45" s="27"/>
      <c r="D45" s="27"/>
      <c r="E45" s="27"/>
      <c r="F45" s="27"/>
      <c r="G45" s="27"/>
      <c r="H45" s="27"/>
      <c r="I45" s="27"/>
      <c r="J45" s="27"/>
      <c r="K45" s="27"/>
      <c r="L45" s="27"/>
      <c r="M45" s="27"/>
      <c r="N45" s="27"/>
      <c r="O45" s="27"/>
      <c r="P45" s="27"/>
      <c r="Q45" s="27"/>
      <c r="R45" s="27"/>
    </row>
    <row r="46" spans="2:18" ht="45" customHeight="1">
      <c r="B46" s="27"/>
      <c r="C46" s="28" t="s">
        <v>423</v>
      </c>
      <c r="D46" s="85">
        <v>668</v>
      </c>
      <c r="E46" s="85"/>
      <c r="F46" s="85"/>
      <c r="G46" s="85"/>
      <c r="H46" s="85"/>
      <c r="I46" s="85"/>
      <c r="J46" s="85"/>
      <c r="K46" s="85"/>
      <c r="L46" s="85"/>
      <c r="M46" s="85"/>
      <c r="N46" s="85"/>
      <c r="O46" s="85"/>
      <c r="P46" s="85"/>
      <c r="Q46" s="85"/>
      <c r="R46" s="85"/>
    </row>
    <row r="47" spans="2:18" ht="30" customHeight="1">
      <c r="B47" s="27"/>
      <c r="C47" s="29" t="s">
        <v>424</v>
      </c>
      <c r="D47" s="85"/>
      <c r="E47" s="85"/>
      <c r="F47" s="85"/>
      <c r="G47" s="85"/>
      <c r="H47" s="85"/>
      <c r="I47" s="85"/>
      <c r="J47" s="85"/>
      <c r="K47" s="85"/>
      <c r="L47" s="85"/>
      <c r="M47" s="85"/>
      <c r="N47" s="85"/>
      <c r="O47" s="85"/>
      <c r="P47" s="85"/>
      <c r="Q47" s="85"/>
      <c r="R47" s="85"/>
    </row>
    <row r="48" spans="2:18" ht="15" customHeight="1">
      <c r="B48" s="27"/>
      <c r="C48" s="29" t="s">
        <v>425</v>
      </c>
      <c r="D48" s="85"/>
      <c r="E48" s="85"/>
      <c r="F48" s="85"/>
      <c r="G48" s="85"/>
      <c r="H48" s="85"/>
      <c r="I48" s="85"/>
      <c r="J48" s="85"/>
      <c r="K48" s="85"/>
      <c r="L48" s="85"/>
      <c r="M48" s="85"/>
      <c r="N48" s="85"/>
      <c r="O48" s="85"/>
      <c r="P48" s="85"/>
      <c r="Q48" s="85"/>
      <c r="R48" s="85"/>
    </row>
    <row r="49" spans="2:18" ht="8" customHeight="1">
      <c r="B49" s="27"/>
      <c r="C49" s="30"/>
      <c r="D49" s="96"/>
      <c r="E49" s="96"/>
      <c r="F49" s="96"/>
      <c r="G49" s="96"/>
      <c r="H49" s="96"/>
      <c r="I49" s="96"/>
      <c r="J49" s="96"/>
      <c r="K49" s="96"/>
      <c r="L49" s="96"/>
      <c r="M49" s="96"/>
      <c r="N49" s="96"/>
      <c r="O49" s="96"/>
      <c r="P49" s="96"/>
      <c r="Q49" s="96"/>
      <c r="R49" s="96"/>
    </row>
    <row r="50" spans="2:18" ht="30" customHeight="1">
      <c r="B50" s="27"/>
      <c r="C50" s="28" t="s">
        <v>426</v>
      </c>
      <c r="D50" s="85">
        <v>420</v>
      </c>
      <c r="E50" s="85"/>
      <c r="F50" s="85"/>
      <c r="G50" s="85"/>
      <c r="H50" s="85"/>
      <c r="I50" s="85"/>
      <c r="J50" s="85"/>
      <c r="K50" s="85"/>
      <c r="L50" s="85"/>
      <c r="M50" s="85"/>
      <c r="N50" s="85"/>
      <c r="O50" s="85"/>
      <c r="P50" s="85"/>
      <c r="Q50" s="85"/>
      <c r="R50" s="85"/>
    </row>
    <row r="51" spans="2:18" ht="30" customHeight="1">
      <c r="B51" s="27"/>
      <c r="C51" s="29" t="s">
        <v>424</v>
      </c>
      <c r="D51" s="85"/>
      <c r="E51" s="85"/>
      <c r="F51" s="85"/>
      <c r="G51" s="85"/>
      <c r="H51" s="85"/>
      <c r="I51" s="85"/>
      <c r="J51" s="85"/>
      <c r="K51" s="85"/>
      <c r="L51" s="85"/>
      <c r="M51" s="85"/>
      <c r="N51" s="85"/>
      <c r="O51" s="85"/>
      <c r="P51" s="85"/>
      <c r="Q51" s="85"/>
      <c r="R51" s="85"/>
    </row>
    <row r="52" spans="2:18" ht="15" customHeight="1">
      <c r="B52" s="27"/>
      <c r="C52" s="29" t="s">
        <v>425</v>
      </c>
      <c r="D52" s="85"/>
      <c r="E52" s="85"/>
      <c r="F52" s="85"/>
      <c r="G52" s="85"/>
      <c r="H52" s="85"/>
      <c r="I52" s="85"/>
      <c r="J52" s="85"/>
      <c r="K52" s="85"/>
      <c r="L52" s="85"/>
      <c r="M52" s="85"/>
      <c r="N52" s="85"/>
      <c r="O52" s="85"/>
      <c r="P52" s="85"/>
      <c r="Q52" s="85"/>
      <c r="R52" s="85"/>
    </row>
    <row r="53" spans="2:18" ht="6" customHeight="1">
      <c r="B53" s="27"/>
      <c r="C53" s="31"/>
      <c r="D53" s="96"/>
      <c r="E53" s="96"/>
      <c r="F53" s="96"/>
      <c r="G53" s="96"/>
      <c r="H53" s="96"/>
      <c r="I53" s="96"/>
      <c r="J53" s="96"/>
      <c r="K53" s="96"/>
      <c r="L53" s="96"/>
      <c r="M53" s="96"/>
      <c r="N53" s="96"/>
      <c r="O53" s="96"/>
      <c r="P53" s="96"/>
      <c r="Q53" s="96"/>
      <c r="R53" s="96"/>
    </row>
    <row r="54" spans="2:18" ht="33" customHeight="1">
      <c r="B54" s="27"/>
      <c r="C54" s="28" t="s">
        <v>427</v>
      </c>
      <c r="D54" s="85"/>
      <c r="E54" s="85"/>
      <c r="F54" s="85"/>
      <c r="G54" s="85"/>
      <c r="H54" s="85"/>
      <c r="I54" s="85"/>
      <c r="J54" s="85"/>
      <c r="K54" s="85"/>
      <c r="L54" s="85"/>
      <c r="M54" s="85"/>
      <c r="N54" s="85"/>
      <c r="O54" s="85"/>
      <c r="P54" s="85"/>
      <c r="Q54" s="85"/>
      <c r="R54" s="96"/>
    </row>
    <row r="55" spans="2:18" ht="30" customHeight="1">
      <c r="B55" s="27"/>
      <c r="C55" s="28" t="s">
        <v>428</v>
      </c>
      <c r="D55" s="85" t="s">
        <v>540</v>
      </c>
      <c r="E55" s="85"/>
      <c r="F55" s="85"/>
      <c r="G55" s="85"/>
      <c r="H55" s="85"/>
      <c r="I55" s="85"/>
      <c r="J55" s="85"/>
      <c r="K55" s="85"/>
      <c r="L55" s="85"/>
      <c r="M55" s="85"/>
      <c r="N55" s="85"/>
      <c r="O55" s="85"/>
      <c r="P55" s="85"/>
      <c r="Q55" s="85"/>
      <c r="R55" s="85"/>
    </row>
    <row r="56" spans="2:18" ht="30" customHeight="1">
      <c r="B56" s="27"/>
      <c r="C56" s="28" t="s">
        <v>429</v>
      </c>
      <c r="D56" s="85" t="s">
        <v>540</v>
      </c>
      <c r="E56" s="85"/>
      <c r="F56" s="85"/>
      <c r="G56" s="85"/>
      <c r="H56" s="85"/>
      <c r="I56" s="85"/>
      <c r="J56" s="85"/>
      <c r="K56" s="85"/>
      <c r="L56" s="85"/>
      <c r="M56" s="85"/>
      <c r="N56" s="85"/>
      <c r="O56" s="85"/>
      <c r="P56" s="85"/>
      <c r="Q56" s="85"/>
      <c r="R56" s="85"/>
    </row>
    <row r="57" spans="2:18" ht="56">
      <c r="C57" s="28" t="s">
        <v>430</v>
      </c>
      <c r="D57" s="71"/>
      <c r="E57" s="71"/>
      <c r="F57" s="71"/>
      <c r="G57" s="71"/>
      <c r="H57" s="71"/>
      <c r="I57" s="71"/>
      <c r="J57" s="71"/>
      <c r="K57" s="71"/>
      <c r="L57" s="71"/>
      <c r="M57" s="71"/>
      <c r="N57" s="71"/>
      <c r="O57" s="71"/>
      <c r="P57" s="71"/>
      <c r="Q57" s="71"/>
      <c r="R57" s="71"/>
    </row>
    <row r="58" spans="2:18" ht="56">
      <c r="C58" s="28" t="s">
        <v>431</v>
      </c>
      <c r="D58" s="130" t="s">
        <v>541</v>
      </c>
      <c r="E58" s="71"/>
      <c r="F58" s="71"/>
      <c r="G58" s="71"/>
      <c r="H58" s="71"/>
      <c r="I58" s="71"/>
      <c r="J58" s="71"/>
      <c r="K58" s="71"/>
      <c r="L58" s="71"/>
      <c r="M58" s="71"/>
      <c r="N58" s="71"/>
      <c r="O58" s="71"/>
      <c r="P58" s="71"/>
      <c r="Q58" s="71"/>
      <c r="R58" s="71"/>
    </row>
    <row r="59" spans="2:18">
      <c r="C59" s="124"/>
    </row>
    <row r="60" spans="2:18" ht="15">
      <c r="D60" s="1" t="s">
        <v>432</v>
      </c>
    </row>
    <row r="61" spans="2:18">
      <c r="D61" s="97" t="s">
        <v>433</v>
      </c>
    </row>
    <row r="62" spans="2:18">
      <c r="D62" s="98" t="s">
        <v>434</v>
      </c>
    </row>
    <row r="63" spans="2:18">
      <c r="D63" s="98" t="s">
        <v>435</v>
      </c>
    </row>
    <row r="64" spans="2:18">
      <c r="D64" s="98" t="s">
        <v>436</v>
      </c>
    </row>
    <row r="65" spans="4:4">
      <c r="D65" s="98" t="s">
        <v>437</v>
      </c>
    </row>
    <row r="66" spans="4:4">
      <c r="D66" s="98" t="s">
        <v>438</v>
      </c>
    </row>
    <row r="68" spans="4:4" ht="15">
      <c r="D68" s="99" t="s">
        <v>439</v>
      </c>
    </row>
  </sheetData>
  <mergeCells count="3">
    <mergeCell ref="F4:G4"/>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133"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32">
    <cfRule type="expression" dxfId="132" priority="1">
      <formula>#REF!="Owned"</formula>
    </cfRule>
  </conditionalFormatting>
  <dataValidations count="1">
    <dataValidation type="list" allowBlank="1" showInputMessage="1" showErrorMessage="1" sqref="E6" xr:uid="{833C8A04-9A2F-4A6E-BA93-238D21BD342D}">
      <formula1>"Yes, No"</formula1>
    </dataValidation>
  </dataValidations>
  <pageMargins left="0.7" right="0.7" top="0.75" bottom="0.75" header="0.3" footer="0.3"/>
  <pageSetup scale="22" orientation="portrait" horizontalDpi="90" verticalDpi="90" r:id="rId1"/>
  <headerFooter>
    <oddHeader>&amp;C&amp;"Calibri"&amp;10&amp;K000000 Internal&amp;1#_x000D_&amp;"Arial"&amp;10&amp;K000000&amp;"Arial"&amp;10&amp;K000000</oddHeader>
  </headerFooter>
  <colBreaks count="1" manualBreakCount="1">
    <brk id="8" max="1048575" man="1"/>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46E7-7F96-4488-BA09-2D9B37B1E8CE}">
  <sheetPr codeName="Feuil10">
    <tabColor rgb="FF00B050"/>
    <pageSetUpPr fitToPage="1"/>
  </sheetPr>
  <dimension ref="B1:R68"/>
  <sheetViews>
    <sheetView topLeftCell="A47" zoomScale="70" zoomScaleNormal="70" workbookViewId="0">
      <selection activeCell="D40" sqref="D40"/>
    </sheetView>
  </sheetViews>
  <sheetFormatPr baseColWidth="10" defaultColWidth="9.1640625" defaultRowHeight="13"/>
  <cols>
    <col min="1" max="1" width="19.5" style="1" customWidth="1"/>
    <col min="2" max="2" width="24.1640625" style="1" customWidth="1"/>
    <col min="3" max="4" width="19.1640625" style="1" customWidth="1"/>
    <col min="5" max="18" width="22.83203125" style="1" customWidth="1"/>
    <col min="19" max="16384" width="9.1640625" style="1"/>
  </cols>
  <sheetData>
    <row r="1" spans="2:18" ht="7.5" customHeight="1"/>
    <row r="2" spans="2:18">
      <c r="C2" s="505" t="s">
        <v>323</v>
      </c>
      <c r="D2" s="109">
        <v>45961</v>
      </c>
      <c r="F2" s="110"/>
      <c r="G2" s="110"/>
      <c r="H2" s="110"/>
      <c r="I2" s="4"/>
    </row>
    <row r="3" spans="2:18">
      <c r="F3"/>
      <c r="G3"/>
      <c r="H3"/>
    </row>
    <row r="4" spans="2:18">
      <c r="C4" s="81" t="s">
        <v>324</v>
      </c>
      <c r="D4" s="82" t="s">
        <v>216</v>
      </c>
      <c r="F4" s="592"/>
      <c r="G4" s="592"/>
      <c r="H4" s="112"/>
      <c r="I4" s="5"/>
    </row>
    <row r="5" spans="2:18" ht="15.75" customHeight="1">
      <c r="C5" s="2"/>
    </row>
    <row r="6" spans="2:18" ht="26.25" customHeight="1">
      <c r="B6" s="1" t="s">
        <v>326</v>
      </c>
      <c r="C6" s="589" t="s">
        <v>327</v>
      </c>
      <c r="D6" s="591"/>
      <c r="E6" s="6" t="s">
        <v>328</v>
      </c>
      <c r="F6" s="101"/>
      <c r="G6" s="101"/>
      <c r="H6" s="101"/>
    </row>
    <row r="7" spans="2:18" ht="26.25" customHeight="1">
      <c r="B7" s="1" t="s">
        <v>326</v>
      </c>
      <c r="C7" s="589" t="s">
        <v>329</v>
      </c>
      <c r="D7" s="591"/>
      <c r="E7" s="131">
        <v>1</v>
      </c>
      <c r="F7" s="101"/>
      <c r="G7" s="101"/>
      <c r="H7" s="101"/>
    </row>
    <row r="8" spans="2:18" ht="26.25" customHeight="1">
      <c r="C8" s="113"/>
      <c r="D8" s="113"/>
      <c r="E8" s="132"/>
      <c r="F8" s="101"/>
      <c r="G8" s="101"/>
      <c r="H8" s="101"/>
    </row>
    <row r="9" spans="2:18">
      <c r="C9" s="69" t="s">
        <v>441</v>
      </c>
      <c r="D9" s="67"/>
      <c r="E9" s="67"/>
      <c r="F9" s="67"/>
      <c r="G9" s="67"/>
      <c r="H9" s="67"/>
      <c r="I9" s="67"/>
      <c r="J9" s="67"/>
      <c r="K9" s="67"/>
      <c r="L9" s="67"/>
      <c r="M9" s="67"/>
      <c r="N9" s="67"/>
      <c r="O9" s="67"/>
      <c r="P9" s="67"/>
      <c r="Q9" s="67"/>
    </row>
    <row r="10" spans="2:18" ht="15" customHeight="1">
      <c r="C10" s="104" t="s">
        <v>331</v>
      </c>
      <c r="D10" s="114" t="s">
        <v>542</v>
      </c>
      <c r="E10" s="114" t="s">
        <v>504</v>
      </c>
      <c r="F10" s="114" t="s">
        <v>334</v>
      </c>
      <c r="G10" s="114" t="s">
        <v>335</v>
      </c>
      <c r="H10" s="114" t="s">
        <v>336</v>
      </c>
      <c r="I10" s="114" t="s">
        <v>337</v>
      </c>
      <c r="J10" s="114" t="s">
        <v>338</v>
      </c>
      <c r="K10" s="114" t="s">
        <v>339</v>
      </c>
      <c r="L10" s="114" t="s">
        <v>340</v>
      </c>
      <c r="M10" s="114" t="s">
        <v>341</v>
      </c>
      <c r="N10" s="114" t="s">
        <v>342</v>
      </c>
      <c r="O10" s="114" t="s">
        <v>343</v>
      </c>
      <c r="P10" s="114" t="s">
        <v>344</v>
      </c>
      <c r="Q10" s="114" t="s">
        <v>345</v>
      </c>
      <c r="R10" s="84" t="s">
        <v>346</v>
      </c>
    </row>
    <row r="11" spans="2:18" ht="15" customHeight="1">
      <c r="C11" s="104" t="s">
        <v>299</v>
      </c>
      <c r="D11" s="84" t="s">
        <v>543</v>
      </c>
      <c r="E11" s="84"/>
      <c r="F11" s="84"/>
      <c r="G11" s="84"/>
      <c r="H11" s="84"/>
      <c r="I11" s="84"/>
      <c r="J11" s="84"/>
      <c r="K11" s="84"/>
      <c r="L11" s="84"/>
      <c r="M11" s="84"/>
      <c r="N11" s="84"/>
      <c r="O11" s="84"/>
      <c r="P11" s="84"/>
      <c r="Q11" s="84"/>
      <c r="R11" s="125"/>
    </row>
    <row r="12" spans="2:18" ht="15" customHeight="1">
      <c r="C12" s="32"/>
      <c r="D12" s="115"/>
      <c r="E12" s="116"/>
      <c r="F12" s="116"/>
      <c r="G12" s="116"/>
      <c r="H12" s="116"/>
      <c r="I12" s="116"/>
      <c r="J12" s="117"/>
      <c r="K12" s="117"/>
      <c r="L12" s="117"/>
      <c r="M12" s="117"/>
      <c r="N12" s="117"/>
      <c r="O12" s="117"/>
      <c r="P12" s="117"/>
      <c r="Q12" s="117"/>
      <c r="R12" s="126"/>
    </row>
    <row r="13" spans="2:18" ht="30" customHeight="1">
      <c r="B13" s="7" t="s">
        <v>348</v>
      </c>
      <c r="C13" s="8" t="s">
        <v>349</v>
      </c>
      <c r="D13" s="118" t="s">
        <v>544</v>
      </c>
      <c r="E13" s="118"/>
      <c r="F13" s="118"/>
      <c r="G13" s="118"/>
      <c r="H13" s="118"/>
      <c r="I13" s="118"/>
      <c r="J13" s="118"/>
      <c r="K13" s="118"/>
      <c r="L13" s="118"/>
      <c r="M13" s="118"/>
      <c r="N13" s="118"/>
      <c r="O13" s="118"/>
      <c r="P13" s="118"/>
      <c r="Q13" s="118"/>
      <c r="R13" s="85"/>
    </row>
    <row r="14" spans="2:18" ht="77.25" customHeight="1">
      <c r="B14" s="7" t="s">
        <v>352</v>
      </c>
      <c r="C14" s="8" t="s">
        <v>297</v>
      </c>
      <c r="D14" s="85" t="s">
        <v>218</v>
      </c>
      <c r="E14" s="85"/>
      <c r="F14" s="85"/>
      <c r="G14" s="85"/>
      <c r="H14" s="85"/>
      <c r="I14" s="85"/>
      <c r="J14" s="85"/>
      <c r="K14" s="85"/>
      <c r="L14" s="85"/>
      <c r="M14" s="85"/>
      <c r="N14" s="85"/>
      <c r="O14" s="85"/>
      <c r="P14" s="85"/>
      <c r="Q14" s="85"/>
      <c r="R14" s="85"/>
    </row>
    <row r="15" spans="2:18" ht="30" customHeight="1">
      <c r="B15" s="7" t="s">
        <v>353</v>
      </c>
      <c r="C15" s="8" t="s">
        <v>354</v>
      </c>
      <c r="D15" s="85" t="s">
        <v>219</v>
      </c>
      <c r="E15" s="85"/>
      <c r="F15" s="85"/>
      <c r="G15" s="85"/>
      <c r="H15" s="85"/>
      <c r="I15" s="85"/>
      <c r="J15" s="85"/>
      <c r="K15" s="85"/>
      <c r="L15" s="85"/>
      <c r="M15" s="85"/>
      <c r="N15" s="85"/>
      <c r="O15" s="85"/>
      <c r="P15" s="85"/>
      <c r="Q15" s="85"/>
      <c r="R15" s="85"/>
    </row>
    <row r="16" spans="2:18" ht="15" customHeight="1">
      <c r="B16" s="7" t="s">
        <v>545</v>
      </c>
      <c r="C16" s="8" t="s">
        <v>356</v>
      </c>
      <c r="D16" s="85">
        <v>110110</v>
      </c>
      <c r="E16" s="85"/>
      <c r="F16" s="85"/>
      <c r="G16" s="85"/>
      <c r="H16" s="85"/>
      <c r="I16" s="85"/>
      <c r="J16" s="85"/>
      <c r="K16" s="85"/>
      <c r="L16" s="85"/>
      <c r="M16" s="85"/>
      <c r="N16" s="85"/>
      <c r="O16" s="85"/>
      <c r="P16" s="85"/>
      <c r="Q16" s="85"/>
      <c r="R16" s="85"/>
    </row>
    <row r="17" spans="2:18" ht="15" customHeight="1">
      <c r="B17" s="7" t="s">
        <v>357</v>
      </c>
      <c r="C17" s="8" t="s">
        <v>294</v>
      </c>
      <c r="D17" s="85" t="s">
        <v>217</v>
      </c>
      <c r="E17" s="85"/>
      <c r="F17" s="85"/>
      <c r="G17" s="85"/>
      <c r="H17" s="85"/>
      <c r="I17" s="85"/>
      <c r="J17" s="85"/>
      <c r="K17" s="85"/>
      <c r="L17" s="85"/>
      <c r="M17" s="85"/>
      <c r="N17" s="85"/>
      <c r="O17" s="85"/>
      <c r="P17" s="85"/>
      <c r="Q17" s="85"/>
      <c r="R17" s="85"/>
    </row>
    <row r="18" spans="2:18" ht="15" customHeight="1">
      <c r="B18" s="9" t="s">
        <v>358</v>
      </c>
      <c r="C18" s="10" t="s">
        <v>359</v>
      </c>
      <c r="D18" s="85" t="s">
        <v>360</v>
      </c>
      <c r="E18" s="85"/>
      <c r="F18" s="85"/>
      <c r="G18" s="85"/>
      <c r="H18" s="85"/>
      <c r="I18" s="85"/>
      <c r="J18" s="85"/>
      <c r="K18" s="85"/>
      <c r="L18" s="85"/>
      <c r="M18" s="85"/>
      <c r="N18" s="85"/>
      <c r="O18" s="85"/>
      <c r="P18" s="85"/>
      <c r="Q18" s="85"/>
      <c r="R18" s="85"/>
    </row>
    <row r="19" spans="2:18" ht="45.75" customHeight="1">
      <c r="B19" s="9" t="s">
        <v>361</v>
      </c>
      <c r="C19" s="10" t="s">
        <v>362</v>
      </c>
      <c r="D19" s="85" t="s">
        <v>546</v>
      </c>
      <c r="E19" s="85"/>
      <c r="F19" s="85"/>
      <c r="G19" s="85"/>
      <c r="H19" s="85"/>
      <c r="I19" s="85"/>
      <c r="J19" s="85"/>
      <c r="K19" s="85"/>
      <c r="L19" s="85"/>
      <c r="M19" s="85"/>
      <c r="N19" s="85"/>
      <c r="O19" s="85"/>
      <c r="P19" s="85"/>
      <c r="Q19" s="85"/>
      <c r="R19" s="85"/>
    </row>
    <row r="20" spans="2:18" ht="45" customHeight="1">
      <c r="B20" s="9" t="s">
        <v>363</v>
      </c>
      <c r="C20" s="10" t="s">
        <v>364</v>
      </c>
      <c r="D20" s="85" t="s">
        <v>546</v>
      </c>
      <c r="E20" s="85"/>
      <c r="F20" s="85"/>
      <c r="G20" s="85"/>
      <c r="H20" s="85"/>
      <c r="I20" s="85"/>
      <c r="J20" s="85"/>
      <c r="K20" s="85"/>
      <c r="L20" s="85"/>
      <c r="M20" s="85"/>
      <c r="N20" s="85"/>
      <c r="O20" s="85"/>
      <c r="P20" s="85"/>
      <c r="Q20" s="85"/>
      <c r="R20" s="85"/>
    </row>
    <row r="21" spans="2:18" ht="30" customHeight="1">
      <c r="B21" s="11" t="s">
        <v>365</v>
      </c>
      <c r="C21" s="12" t="s">
        <v>366</v>
      </c>
      <c r="D21" s="85" t="s">
        <v>547</v>
      </c>
      <c r="E21" s="85"/>
      <c r="F21" s="85"/>
      <c r="G21" s="85"/>
      <c r="H21" s="85"/>
      <c r="I21" s="85"/>
      <c r="J21" s="85"/>
      <c r="K21" s="85"/>
      <c r="L21" s="85"/>
      <c r="M21" s="85"/>
      <c r="N21" s="85"/>
      <c r="O21" s="85"/>
      <c r="P21" s="85"/>
      <c r="Q21" s="85"/>
      <c r="R21" s="85"/>
    </row>
    <row r="22" spans="2:18" ht="30" customHeight="1">
      <c r="B22" s="11" t="s">
        <v>369</v>
      </c>
      <c r="C22" s="12" t="s">
        <v>370</v>
      </c>
      <c r="D22" s="85" t="s">
        <v>548</v>
      </c>
      <c r="E22" s="85"/>
      <c r="F22" s="85"/>
      <c r="G22" s="85"/>
      <c r="H22" s="85"/>
      <c r="I22" s="85"/>
      <c r="J22" s="85"/>
      <c r="K22" s="85"/>
      <c r="L22" s="85"/>
      <c r="M22" s="85"/>
      <c r="N22" s="85"/>
      <c r="O22" s="85"/>
      <c r="P22" s="85"/>
      <c r="Q22" s="85"/>
      <c r="R22" s="85"/>
    </row>
    <row r="23" spans="2:18" ht="30" customHeight="1">
      <c r="B23" s="13" t="s">
        <v>372</v>
      </c>
      <c r="C23" s="14" t="s">
        <v>374</v>
      </c>
      <c r="D23" s="85" t="s">
        <v>374</v>
      </c>
      <c r="E23" s="85"/>
      <c r="F23" s="85"/>
      <c r="G23" s="85"/>
      <c r="H23" s="85"/>
      <c r="I23" s="85"/>
      <c r="J23" s="85"/>
      <c r="K23" s="85"/>
      <c r="L23" s="85"/>
      <c r="M23" s="85"/>
      <c r="N23" s="85"/>
      <c r="O23" s="85"/>
      <c r="P23" s="85"/>
      <c r="Q23" s="85"/>
      <c r="R23" s="85"/>
    </row>
    <row r="24" spans="2:18" ht="45" customHeight="1">
      <c r="B24" s="13" t="s">
        <v>375</v>
      </c>
      <c r="C24" s="14" t="s">
        <v>376</v>
      </c>
      <c r="D24" s="90">
        <f>1150-131.07-155</f>
        <v>863.93000000000006</v>
      </c>
      <c r="E24" s="88"/>
      <c r="F24" s="88"/>
      <c r="G24" s="88"/>
      <c r="H24" s="88"/>
      <c r="I24" s="88"/>
      <c r="J24" s="88"/>
      <c r="K24" s="88"/>
      <c r="L24" s="88"/>
      <c r="M24" s="88"/>
      <c r="N24" s="88"/>
      <c r="O24" s="88"/>
      <c r="P24" s="88"/>
      <c r="Q24" s="88"/>
      <c r="R24" s="88"/>
    </row>
    <row r="25" spans="2:18" ht="45" customHeight="1">
      <c r="B25" s="15" t="s">
        <v>377</v>
      </c>
      <c r="C25" s="16" t="s">
        <v>378</v>
      </c>
      <c r="D25" s="119" t="s">
        <v>549</v>
      </c>
      <c r="E25" s="119"/>
      <c r="F25" s="85"/>
      <c r="G25" s="85"/>
      <c r="H25" s="85"/>
      <c r="I25" s="85"/>
      <c r="J25" s="85"/>
      <c r="K25" s="85"/>
      <c r="L25" s="85"/>
      <c r="M25" s="85"/>
      <c r="N25" s="85"/>
      <c r="O25" s="85"/>
      <c r="P25" s="85"/>
      <c r="Q25" s="85"/>
      <c r="R25" s="85"/>
    </row>
    <row r="26" spans="2:18" ht="45" customHeight="1">
      <c r="B26" s="15" t="s">
        <v>380</v>
      </c>
      <c r="C26" s="16" t="s">
        <v>381</v>
      </c>
      <c r="D26" s="89" t="s">
        <v>550</v>
      </c>
      <c r="E26" s="89"/>
      <c r="F26" s="88"/>
      <c r="G26" s="85"/>
      <c r="H26" s="85"/>
      <c r="I26" s="85"/>
      <c r="J26" s="85"/>
      <c r="K26" s="85"/>
      <c r="L26" s="85"/>
      <c r="M26" s="85"/>
      <c r="N26" s="85"/>
      <c r="O26" s="85"/>
      <c r="P26" s="85"/>
      <c r="Q26" s="85"/>
      <c r="R26" s="85"/>
    </row>
    <row r="27" spans="2:18" ht="45" customHeight="1">
      <c r="B27" s="15"/>
      <c r="C27" s="16" t="s">
        <v>517</v>
      </c>
      <c r="D27" s="89"/>
      <c r="E27" s="89"/>
      <c r="F27" s="88"/>
      <c r="G27" s="85"/>
      <c r="H27" s="85"/>
      <c r="I27" s="85"/>
      <c r="J27" s="85"/>
      <c r="K27" s="85"/>
      <c r="L27" s="85"/>
      <c r="M27" s="85"/>
      <c r="N27" s="85"/>
      <c r="O27" s="85"/>
      <c r="P27" s="85"/>
      <c r="Q27" s="85"/>
      <c r="R27" s="85"/>
    </row>
    <row r="28" spans="2:18" ht="45" customHeight="1">
      <c r="B28" s="15" t="s">
        <v>384</v>
      </c>
      <c r="C28" s="16" t="s">
        <v>450</v>
      </c>
      <c r="D28" s="133">
        <v>475787.52000000002</v>
      </c>
      <c r="E28" s="89"/>
      <c r="F28" s="88"/>
      <c r="G28" s="85"/>
      <c r="H28" s="85"/>
      <c r="I28" s="85"/>
      <c r="J28" s="85"/>
      <c r="K28" s="85"/>
      <c r="L28" s="85"/>
      <c r="M28" s="85"/>
      <c r="N28" s="85"/>
      <c r="O28" s="85"/>
      <c r="P28" s="85"/>
      <c r="Q28" s="85"/>
      <c r="R28" s="85"/>
    </row>
    <row r="29" spans="2:18" ht="45" customHeight="1">
      <c r="B29" s="15" t="s">
        <v>387</v>
      </c>
      <c r="C29" s="16" t="s">
        <v>388</v>
      </c>
      <c r="D29" s="89" t="s">
        <v>551</v>
      </c>
      <c r="E29" s="89"/>
      <c r="F29" s="88"/>
      <c r="G29" s="85"/>
      <c r="H29" s="85"/>
      <c r="I29" s="85"/>
      <c r="J29" s="85"/>
      <c r="K29" s="85"/>
      <c r="L29" s="85"/>
      <c r="M29" s="85"/>
      <c r="N29" s="85"/>
      <c r="O29" s="85"/>
      <c r="P29" s="85"/>
      <c r="Q29" s="85"/>
      <c r="R29" s="85"/>
    </row>
    <row r="30" spans="2:18" ht="60" customHeight="1">
      <c r="B30" s="13" t="s">
        <v>390</v>
      </c>
      <c r="C30" s="17" t="s">
        <v>453</v>
      </c>
      <c r="D30" s="134">
        <f>229945763/D24</f>
        <v>266162.49348905578</v>
      </c>
      <c r="E30" s="85"/>
      <c r="F30" s="85"/>
      <c r="G30" s="85"/>
      <c r="H30" s="85"/>
      <c r="I30" s="85"/>
      <c r="J30" s="85"/>
      <c r="K30" s="85"/>
      <c r="L30" s="85"/>
      <c r="M30" s="85"/>
      <c r="N30" s="85"/>
      <c r="O30" s="85"/>
      <c r="P30" s="85"/>
      <c r="Q30" s="85"/>
      <c r="R30" s="85"/>
    </row>
    <row r="31" spans="2:18" ht="60" customHeight="1">
      <c r="B31" s="13"/>
      <c r="C31" s="17" t="s">
        <v>393</v>
      </c>
      <c r="D31" s="134"/>
      <c r="E31" s="85"/>
      <c r="F31" s="85"/>
      <c r="G31" s="85"/>
      <c r="H31" s="85"/>
      <c r="I31" s="85"/>
      <c r="J31" s="85"/>
      <c r="K31" s="85"/>
      <c r="L31" s="85"/>
      <c r="M31" s="85"/>
      <c r="N31" s="85"/>
      <c r="O31" s="85"/>
      <c r="P31" s="85"/>
      <c r="Q31" s="85"/>
      <c r="R31" s="85"/>
    </row>
    <row r="32" spans="2:18" ht="60" customHeight="1">
      <c r="B32" s="13" t="s">
        <v>394</v>
      </c>
      <c r="C32" s="17" t="s">
        <v>395</v>
      </c>
      <c r="D32" s="135" t="s">
        <v>410</v>
      </c>
      <c r="E32" s="85"/>
      <c r="F32" s="85"/>
      <c r="G32" s="85"/>
      <c r="H32" s="85"/>
      <c r="I32" s="85"/>
      <c r="J32" s="85"/>
      <c r="K32" s="85"/>
      <c r="L32" s="85"/>
      <c r="M32" s="85"/>
      <c r="N32" s="85"/>
      <c r="O32" s="85"/>
      <c r="P32" s="85"/>
      <c r="Q32" s="85"/>
      <c r="R32" s="85"/>
    </row>
    <row r="33" spans="2:18" ht="30" customHeight="1">
      <c r="B33" s="18" t="s">
        <v>397</v>
      </c>
      <c r="C33" s="19" t="s">
        <v>313</v>
      </c>
      <c r="D33" s="91">
        <v>44652</v>
      </c>
      <c r="E33" s="91"/>
      <c r="F33" s="91"/>
      <c r="G33" s="91"/>
      <c r="H33" s="91"/>
      <c r="I33" s="91"/>
      <c r="J33" s="85"/>
      <c r="K33" s="85"/>
      <c r="L33" s="85"/>
      <c r="M33" s="85"/>
      <c r="N33" s="85"/>
      <c r="O33" s="85"/>
      <c r="P33" s="85"/>
      <c r="Q33" s="85"/>
      <c r="R33" s="85"/>
    </row>
    <row r="34" spans="2:18" ht="30" customHeight="1">
      <c r="B34" s="20" t="s">
        <v>398</v>
      </c>
      <c r="C34" s="19" t="s">
        <v>315</v>
      </c>
      <c r="D34" s="91">
        <v>46112</v>
      </c>
      <c r="E34" s="91"/>
      <c r="F34" s="91"/>
      <c r="G34" s="91"/>
      <c r="H34" s="91"/>
      <c r="I34" s="91"/>
      <c r="J34" s="85"/>
      <c r="K34" s="85"/>
      <c r="L34" s="85"/>
      <c r="M34" s="85"/>
      <c r="N34" s="85"/>
      <c r="O34" s="85"/>
      <c r="P34" s="85"/>
      <c r="Q34" s="85"/>
      <c r="R34" s="85"/>
    </row>
    <row r="35" spans="2:18" ht="30" customHeight="1">
      <c r="B35" s="20" t="s">
        <v>399</v>
      </c>
      <c r="C35" s="19" t="s">
        <v>400</v>
      </c>
      <c r="D35" s="91" t="s">
        <v>410</v>
      </c>
      <c r="E35" s="85"/>
      <c r="F35" s="85"/>
      <c r="G35" s="85"/>
      <c r="H35" s="85"/>
      <c r="I35" s="85"/>
      <c r="J35" s="85"/>
      <c r="K35" s="85"/>
      <c r="L35" s="85"/>
      <c r="M35" s="85"/>
      <c r="N35" s="85"/>
      <c r="O35" s="85"/>
      <c r="P35" s="85"/>
      <c r="Q35" s="85"/>
      <c r="R35" s="85"/>
    </row>
    <row r="36" spans="2:18" ht="30" customHeight="1">
      <c r="B36" s="20" t="s">
        <v>402</v>
      </c>
      <c r="C36" s="21" t="s">
        <v>403</v>
      </c>
      <c r="D36" s="92" t="s">
        <v>546</v>
      </c>
      <c r="E36" s="92"/>
      <c r="F36" s="93"/>
      <c r="G36" s="93"/>
      <c r="H36" s="93"/>
      <c r="I36" s="93"/>
      <c r="J36" s="85"/>
      <c r="K36" s="85"/>
      <c r="L36" s="85"/>
      <c r="M36" s="85"/>
      <c r="N36" s="85"/>
      <c r="O36" s="85"/>
      <c r="P36" s="85"/>
      <c r="Q36" s="85"/>
      <c r="R36" s="85"/>
    </row>
    <row r="37" spans="2:18" ht="409.6">
      <c r="B37" s="20" t="s">
        <v>404</v>
      </c>
      <c r="C37" s="21" t="s">
        <v>405</v>
      </c>
      <c r="D37" s="92" t="s">
        <v>552</v>
      </c>
      <c r="E37" s="92"/>
      <c r="F37" s="93"/>
      <c r="G37" s="93"/>
      <c r="H37" s="93"/>
      <c r="I37" s="93"/>
      <c r="J37" s="85"/>
      <c r="K37" s="85"/>
      <c r="L37" s="85"/>
      <c r="M37" s="85"/>
      <c r="N37" s="85"/>
      <c r="O37" s="85"/>
      <c r="P37" s="85"/>
      <c r="Q37" s="85"/>
      <c r="R37" s="85"/>
    </row>
    <row r="38" spans="2:18" ht="30" customHeight="1">
      <c r="B38" s="20" t="s">
        <v>406</v>
      </c>
      <c r="C38" s="21" t="s">
        <v>407</v>
      </c>
      <c r="D38" s="92" t="s">
        <v>553</v>
      </c>
      <c r="E38" s="92"/>
      <c r="F38" s="93"/>
      <c r="G38" s="93"/>
      <c r="H38" s="93"/>
      <c r="I38" s="93"/>
      <c r="J38" s="85"/>
      <c r="K38" s="85"/>
      <c r="L38" s="85"/>
      <c r="M38" s="85"/>
      <c r="N38" s="85"/>
      <c r="O38" s="85"/>
      <c r="P38" s="85"/>
      <c r="Q38" s="85"/>
      <c r="R38" s="85"/>
    </row>
    <row r="39" spans="2:18" ht="30" customHeight="1">
      <c r="B39" s="20" t="s">
        <v>408</v>
      </c>
      <c r="C39" s="21" t="s">
        <v>409</v>
      </c>
      <c r="D39" s="136" t="s">
        <v>554</v>
      </c>
      <c r="E39" s="136"/>
      <c r="F39" s="95"/>
      <c r="G39" s="93"/>
      <c r="H39" s="93"/>
      <c r="I39" s="93"/>
      <c r="J39" s="85"/>
      <c r="K39" s="85"/>
      <c r="L39" s="85"/>
      <c r="M39" s="85"/>
      <c r="N39" s="85"/>
      <c r="O39" s="85"/>
      <c r="P39" s="85"/>
      <c r="Q39" s="85"/>
      <c r="R39" s="85"/>
    </row>
    <row r="40" spans="2:18" ht="45" customHeight="1">
      <c r="B40" s="20" t="s">
        <v>411</v>
      </c>
      <c r="C40" s="21" t="s">
        <v>314</v>
      </c>
      <c r="D40" s="91">
        <v>46477</v>
      </c>
      <c r="E40" s="92"/>
      <c r="F40" s="93"/>
      <c r="G40" s="93"/>
      <c r="H40" s="93"/>
      <c r="I40" s="93"/>
      <c r="J40" s="85"/>
      <c r="K40" s="85"/>
      <c r="L40" s="85"/>
      <c r="M40" s="85"/>
      <c r="N40" s="85"/>
      <c r="O40" s="85"/>
      <c r="P40" s="85"/>
      <c r="Q40" s="85"/>
      <c r="R40" s="85"/>
    </row>
    <row r="41" spans="2:18" ht="55.25" customHeight="1">
      <c r="B41" s="22" t="s">
        <v>412</v>
      </c>
      <c r="C41" s="23" t="s">
        <v>413</v>
      </c>
      <c r="D41" s="92" t="s">
        <v>328</v>
      </c>
      <c r="E41" s="92"/>
      <c r="F41" s="92"/>
      <c r="G41" s="92"/>
      <c r="H41" s="92"/>
      <c r="I41" s="92"/>
      <c r="J41" s="92"/>
      <c r="K41" s="92"/>
      <c r="L41" s="92"/>
      <c r="M41" s="92"/>
      <c r="N41" s="92"/>
      <c r="O41" s="92"/>
      <c r="P41" s="92"/>
      <c r="Q41" s="92"/>
      <c r="R41" s="92"/>
    </row>
    <row r="42" spans="2:18" ht="56" customHeight="1">
      <c r="B42" s="24" t="s">
        <v>457</v>
      </c>
      <c r="C42" s="23" t="s">
        <v>458</v>
      </c>
      <c r="D42" s="95" t="s">
        <v>555</v>
      </c>
      <c r="E42" s="95"/>
      <c r="F42" s="95"/>
      <c r="G42" s="95"/>
      <c r="H42" s="95"/>
      <c r="I42" s="95"/>
      <c r="J42" s="95"/>
      <c r="K42" s="95"/>
      <c r="L42" s="95"/>
      <c r="M42" s="95"/>
      <c r="N42" s="95"/>
      <c r="O42" s="95"/>
      <c r="P42" s="95"/>
      <c r="Q42" s="95"/>
      <c r="R42" s="95"/>
    </row>
    <row r="43" spans="2:18" ht="60" customHeight="1">
      <c r="B43" s="25" t="s">
        <v>418</v>
      </c>
      <c r="C43" s="26" t="s">
        <v>419</v>
      </c>
      <c r="D43" s="85" t="s">
        <v>328</v>
      </c>
      <c r="E43" s="85"/>
      <c r="F43" s="85"/>
      <c r="G43" s="85"/>
      <c r="H43" s="85"/>
      <c r="I43" s="85"/>
      <c r="J43" s="85"/>
      <c r="K43" s="85"/>
      <c r="L43" s="85"/>
      <c r="M43" s="85"/>
      <c r="N43" s="85"/>
      <c r="O43" s="85"/>
      <c r="P43" s="85"/>
      <c r="Q43" s="85"/>
      <c r="R43" s="85"/>
    </row>
    <row r="44" spans="2:18" ht="75" customHeight="1">
      <c r="B44" s="25" t="s">
        <v>420</v>
      </c>
      <c r="C44" s="26" t="s">
        <v>421</v>
      </c>
      <c r="D44" s="85" t="s">
        <v>328</v>
      </c>
      <c r="E44" s="85"/>
      <c r="F44" s="85"/>
      <c r="G44" s="85"/>
      <c r="H44" s="85"/>
      <c r="I44" s="85"/>
      <c r="J44" s="85"/>
      <c r="K44" s="85"/>
      <c r="L44" s="85"/>
      <c r="M44" s="85"/>
      <c r="N44" s="85"/>
      <c r="O44" s="85"/>
      <c r="P44" s="85"/>
      <c r="Q44" s="85"/>
      <c r="R44" s="85"/>
    </row>
    <row r="45" spans="2:18">
      <c r="B45" s="27"/>
      <c r="C45" s="27"/>
      <c r="D45" s="27"/>
      <c r="E45" s="27"/>
      <c r="F45" s="27"/>
      <c r="G45" s="27"/>
      <c r="H45" s="27"/>
      <c r="I45" s="27"/>
      <c r="J45" s="27"/>
      <c r="K45" s="27"/>
      <c r="L45" s="27"/>
      <c r="M45" s="27"/>
      <c r="N45" s="27"/>
      <c r="O45" s="27"/>
      <c r="P45" s="27"/>
      <c r="Q45" s="27"/>
      <c r="R45" s="27"/>
    </row>
    <row r="46" spans="2:18" ht="45" customHeight="1">
      <c r="B46" s="27"/>
      <c r="C46" s="28" t="s">
        <v>423</v>
      </c>
      <c r="D46" s="85">
        <v>136</v>
      </c>
      <c r="E46" s="85"/>
      <c r="F46" s="85"/>
      <c r="G46" s="85"/>
      <c r="H46" s="85"/>
      <c r="I46" s="85"/>
      <c r="J46" s="85"/>
      <c r="K46" s="85"/>
      <c r="L46" s="85"/>
      <c r="M46" s="85"/>
      <c r="N46" s="85"/>
      <c r="O46" s="85"/>
      <c r="P46" s="85"/>
      <c r="Q46" s="85"/>
      <c r="R46" s="85"/>
    </row>
    <row r="47" spans="2:18" ht="30" customHeight="1">
      <c r="B47" s="27"/>
      <c r="C47" s="29" t="s">
        <v>424</v>
      </c>
      <c r="D47" s="85">
        <v>26</v>
      </c>
      <c r="E47" s="85"/>
      <c r="F47" s="85"/>
      <c r="G47" s="85"/>
      <c r="H47" s="85"/>
      <c r="I47" s="85"/>
      <c r="J47" s="85"/>
      <c r="K47" s="85"/>
      <c r="L47" s="85"/>
      <c r="M47" s="85"/>
      <c r="N47" s="85"/>
      <c r="O47" s="85"/>
      <c r="P47" s="85"/>
      <c r="Q47" s="85"/>
      <c r="R47" s="85"/>
    </row>
    <row r="48" spans="2:18" ht="15" customHeight="1">
      <c r="B48" s="27"/>
      <c r="C48" s="29" t="s">
        <v>425</v>
      </c>
      <c r="D48" s="85">
        <v>90</v>
      </c>
      <c r="E48" s="85"/>
      <c r="F48" s="85"/>
      <c r="G48" s="85"/>
      <c r="H48" s="85"/>
      <c r="I48" s="85"/>
      <c r="J48" s="85"/>
      <c r="K48" s="85"/>
      <c r="L48" s="85"/>
      <c r="M48" s="85"/>
      <c r="N48" s="85"/>
      <c r="O48" s="85"/>
      <c r="P48" s="85"/>
      <c r="Q48" s="85"/>
      <c r="R48" s="85"/>
    </row>
    <row r="49" spans="2:18" ht="8" customHeight="1">
      <c r="B49" s="27"/>
      <c r="C49" s="30"/>
      <c r="D49" s="96"/>
      <c r="E49" s="96"/>
      <c r="F49" s="96"/>
      <c r="G49" s="96"/>
      <c r="H49" s="96"/>
      <c r="I49" s="96"/>
      <c r="J49" s="96"/>
      <c r="K49" s="96"/>
      <c r="L49" s="96"/>
      <c r="M49" s="96"/>
      <c r="N49" s="96"/>
      <c r="O49" s="96"/>
      <c r="P49" s="96"/>
      <c r="Q49" s="96"/>
      <c r="R49" s="96"/>
    </row>
    <row r="50" spans="2:18" ht="30" customHeight="1">
      <c r="B50" s="27"/>
      <c r="C50" s="28" t="s">
        <v>426</v>
      </c>
      <c r="D50" s="85">
        <v>116</v>
      </c>
      <c r="E50" s="85"/>
      <c r="F50" s="85"/>
      <c r="G50" s="85"/>
      <c r="H50" s="85"/>
      <c r="I50" s="85"/>
      <c r="J50" s="85"/>
      <c r="K50" s="85"/>
      <c r="L50" s="85"/>
      <c r="M50" s="85"/>
      <c r="N50" s="85"/>
      <c r="O50" s="85"/>
      <c r="P50" s="85"/>
      <c r="Q50" s="85"/>
      <c r="R50" s="85"/>
    </row>
    <row r="51" spans="2:18" ht="30" customHeight="1">
      <c r="B51" s="27"/>
      <c r="C51" s="29" t="s">
        <v>424</v>
      </c>
      <c r="D51" s="85">
        <v>26</v>
      </c>
      <c r="E51" s="85"/>
      <c r="F51" s="85"/>
      <c r="G51" s="85"/>
      <c r="H51" s="85"/>
      <c r="I51" s="85"/>
      <c r="J51" s="85"/>
      <c r="K51" s="85"/>
      <c r="L51" s="85"/>
      <c r="M51" s="85"/>
      <c r="N51" s="85"/>
      <c r="O51" s="85"/>
      <c r="P51" s="85"/>
      <c r="Q51" s="85"/>
      <c r="R51" s="85"/>
    </row>
    <row r="52" spans="2:18" ht="15" customHeight="1">
      <c r="B52" s="27"/>
      <c r="C52" s="29" t="s">
        <v>425</v>
      </c>
      <c r="D52" s="85">
        <v>90</v>
      </c>
      <c r="E52" s="85"/>
      <c r="F52" s="85"/>
      <c r="G52" s="85"/>
      <c r="H52" s="85"/>
      <c r="I52" s="85"/>
      <c r="J52" s="85"/>
      <c r="K52" s="85"/>
      <c r="L52" s="85"/>
      <c r="M52" s="85"/>
      <c r="N52" s="85"/>
      <c r="O52" s="85"/>
      <c r="P52" s="85"/>
      <c r="Q52" s="85"/>
      <c r="R52" s="85"/>
    </row>
    <row r="53" spans="2:18" ht="6" customHeight="1">
      <c r="B53" s="27"/>
      <c r="C53" s="31"/>
      <c r="D53" s="96"/>
      <c r="E53" s="96"/>
      <c r="F53" s="96"/>
      <c r="G53" s="96"/>
      <c r="H53" s="96"/>
      <c r="I53" s="96"/>
      <c r="J53" s="96"/>
      <c r="K53" s="96"/>
      <c r="L53" s="96"/>
      <c r="M53" s="96"/>
      <c r="N53" s="96"/>
      <c r="O53" s="96"/>
      <c r="P53" s="96"/>
      <c r="Q53" s="96"/>
      <c r="R53" s="96"/>
    </row>
    <row r="54" spans="2:18" ht="33" customHeight="1">
      <c r="B54" s="27"/>
      <c r="C54" s="28" t="s">
        <v>427</v>
      </c>
      <c r="D54" s="85"/>
      <c r="E54" s="85"/>
      <c r="F54" s="85"/>
      <c r="G54" s="85"/>
      <c r="H54" s="85"/>
      <c r="I54" s="85"/>
      <c r="J54" s="85"/>
      <c r="K54" s="85"/>
      <c r="L54" s="85"/>
      <c r="M54" s="85"/>
      <c r="N54" s="85"/>
      <c r="O54" s="85"/>
      <c r="P54" s="85"/>
      <c r="Q54" s="85"/>
      <c r="R54" s="96"/>
    </row>
    <row r="55" spans="2:18" ht="30" customHeight="1">
      <c r="B55" s="27"/>
      <c r="C55" s="28" t="s">
        <v>428</v>
      </c>
      <c r="D55" s="85">
        <v>3</v>
      </c>
      <c r="E55" s="85"/>
      <c r="F55" s="85"/>
      <c r="G55" s="85"/>
      <c r="H55" s="85"/>
      <c r="I55" s="85"/>
      <c r="J55" s="85"/>
      <c r="K55" s="85"/>
      <c r="L55" s="85"/>
      <c r="M55" s="85"/>
      <c r="N55" s="85"/>
      <c r="O55" s="85"/>
      <c r="P55" s="85"/>
      <c r="Q55" s="85"/>
      <c r="R55" s="85"/>
    </row>
    <row r="56" spans="2:18" ht="30" customHeight="1">
      <c r="B56" s="27"/>
      <c r="C56" s="28" t="s">
        <v>429</v>
      </c>
      <c r="D56" s="85">
        <v>3</v>
      </c>
      <c r="E56" s="85"/>
      <c r="F56" s="85"/>
      <c r="G56" s="85"/>
      <c r="H56" s="85"/>
      <c r="I56" s="85"/>
      <c r="J56" s="85"/>
      <c r="K56" s="85"/>
      <c r="L56" s="85"/>
      <c r="M56" s="85"/>
      <c r="N56" s="85"/>
      <c r="O56" s="85"/>
      <c r="P56" s="85"/>
      <c r="Q56" s="85"/>
      <c r="R56" s="85"/>
    </row>
    <row r="57" spans="2:18" ht="56">
      <c r="C57" s="28" t="s">
        <v>430</v>
      </c>
      <c r="D57" s="71"/>
      <c r="E57" s="71"/>
      <c r="F57" s="71"/>
      <c r="G57" s="71"/>
      <c r="H57" s="71"/>
      <c r="I57" s="71"/>
      <c r="J57" s="71"/>
      <c r="K57" s="71"/>
      <c r="L57" s="71"/>
      <c r="M57" s="71"/>
      <c r="N57" s="71"/>
      <c r="O57" s="71"/>
      <c r="P57" s="71"/>
      <c r="Q57" s="71"/>
      <c r="R57" s="71"/>
    </row>
    <row r="58" spans="2:18" ht="70">
      <c r="C58" s="28" t="s">
        <v>431</v>
      </c>
      <c r="D58" s="71"/>
      <c r="E58" s="71"/>
      <c r="F58" s="71"/>
      <c r="G58" s="71"/>
      <c r="H58" s="71"/>
      <c r="I58" s="71"/>
      <c r="J58" s="71"/>
      <c r="K58" s="71"/>
      <c r="L58" s="71"/>
      <c r="M58" s="71"/>
      <c r="N58" s="71"/>
      <c r="O58" s="71"/>
      <c r="P58" s="71"/>
      <c r="Q58" s="71"/>
      <c r="R58" s="71"/>
    </row>
    <row r="59" spans="2:18">
      <c r="C59" s="124"/>
    </row>
    <row r="60" spans="2:18" ht="15">
      <c r="D60" s="1" t="s">
        <v>432</v>
      </c>
    </row>
    <row r="61" spans="2:18">
      <c r="D61" s="97" t="s">
        <v>433</v>
      </c>
    </row>
    <row r="62" spans="2:18">
      <c r="D62" s="98" t="s">
        <v>434</v>
      </c>
    </row>
    <row r="63" spans="2:18">
      <c r="D63" s="98" t="s">
        <v>435</v>
      </c>
    </row>
    <row r="64" spans="2:18">
      <c r="D64" s="98" t="s">
        <v>436</v>
      </c>
    </row>
    <row r="65" spans="4:4">
      <c r="D65" s="98" t="s">
        <v>437</v>
      </c>
    </row>
    <row r="66" spans="4:4">
      <c r="D66" s="98" t="s">
        <v>438</v>
      </c>
    </row>
    <row r="68" spans="4:4" ht="15">
      <c r="D68" s="99" t="s">
        <v>439</v>
      </c>
    </row>
  </sheetData>
  <mergeCells count="3">
    <mergeCell ref="F4:G4"/>
    <mergeCell ref="C6:D6"/>
    <mergeCell ref="C7:D7"/>
  </mergeCells>
  <conditionalFormatting sqref="B13:B17">
    <cfRule type="colorScale" priority="5">
      <colorScale>
        <cfvo type="min"/>
        <cfvo type="percentile" val="50"/>
        <cfvo type="max"/>
        <color rgb="FFF8696B"/>
        <color rgb="FFFCFCFF"/>
        <color rgb="FF63BE7B"/>
      </colorScale>
    </cfRule>
  </conditionalFormatting>
  <conditionalFormatting sqref="B19:B20">
    <cfRule type="colorScale" priority="4">
      <colorScale>
        <cfvo type="min"/>
        <cfvo type="percentile" val="50"/>
        <cfvo type="max"/>
        <color rgb="FFF8696B"/>
        <color rgb="FFFCFCFF"/>
        <color rgb="FF63BE7B"/>
      </colorScale>
    </cfRule>
  </conditionalFormatting>
  <conditionalFormatting sqref="B21:B24 B18">
    <cfRule type="colorScale" priority="6">
      <colorScale>
        <cfvo type="min"/>
        <cfvo type="percentile" val="50"/>
        <cfvo type="max"/>
        <color rgb="FFF8696B"/>
        <color rgb="FFFCFCFF"/>
        <color rgb="FF63BE7B"/>
      </colorScale>
    </cfRule>
  </conditionalFormatting>
  <conditionalFormatting sqref="B25">
    <cfRule type="colorScale" priority="3">
      <colorScale>
        <cfvo type="min"/>
        <cfvo type="percentile" val="50"/>
        <cfvo type="max"/>
        <color rgb="FFF8696B"/>
        <color rgb="FFFCFCFF"/>
        <color rgb="FF63BE7B"/>
      </colorScale>
    </cfRule>
  </conditionalFormatting>
  <conditionalFormatting sqref="B25:B29">
    <cfRule type="expression" dxfId="131" priority="2">
      <formula>#REF!="Owned"</formula>
    </cfRule>
  </conditionalFormatting>
  <conditionalFormatting sqref="B26:B29">
    <cfRule type="colorScale" priority="7">
      <colorScale>
        <cfvo type="min"/>
        <cfvo type="percentile" val="50"/>
        <cfvo type="max"/>
        <color rgb="FFF8696B"/>
        <color rgb="FFFCFCFF"/>
        <color rgb="FF63BE7B"/>
      </colorScale>
    </cfRule>
  </conditionalFormatting>
  <conditionalFormatting sqref="B30:B32">
    <cfRule type="colorScale" priority="10">
      <colorScale>
        <cfvo type="min"/>
        <cfvo type="percentile" val="50"/>
        <cfvo type="max"/>
        <color rgb="FFF8696B"/>
        <color rgb="FFFCFCFF"/>
        <color rgb="FF63BE7B"/>
      </colorScale>
    </cfRule>
  </conditionalFormatting>
  <conditionalFormatting sqref="B33:B35">
    <cfRule type="colorScale" priority="9">
      <colorScale>
        <cfvo type="min"/>
        <cfvo type="percentile" val="50"/>
        <cfvo type="max"/>
        <color rgb="FFF8696B"/>
        <color rgb="FFFCFCFF"/>
        <color rgb="FF63BE7B"/>
      </colorScale>
    </cfRule>
  </conditionalFormatting>
  <conditionalFormatting sqref="B36:B44">
    <cfRule type="colorScale" priority="8">
      <colorScale>
        <cfvo type="min"/>
        <cfvo type="percentile" val="50"/>
        <cfvo type="max"/>
        <color rgb="FFF8696B"/>
        <color rgb="FFFCFCFF"/>
        <color rgb="FF63BE7B"/>
      </colorScale>
    </cfRule>
  </conditionalFormatting>
  <conditionalFormatting sqref="C25:C32">
    <cfRule type="expression" dxfId="130" priority="1">
      <formula>#REF!="Owned"</formula>
    </cfRule>
  </conditionalFormatting>
  <dataValidations count="1">
    <dataValidation type="list" allowBlank="1" showInputMessage="1" showErrorMessage="1" sqref="E6" xr:uid="{1E4105C3-B548-458F-A54E-EC80D412B1C9}">
      <formula1>"Yes, No"</formula1>
    </dataValidation>
  </dataValidations>
  <pageMargins left="0.7" right="0.7" top="0.75" bottom="0.75" header="0.3" footer="0.3"/>
  <pageSetup scale="22" orientation="portrait" horizontalDpi="90" verticalDpi="90" r:id="rId1"/>
  <headerFooter>
    <oddHeader>&amp;C&amp;"Calibri"&amp;10&amp;K000000 Internal&amp;1#_x000D_&amp;"Arial"&amp;10&amp;K000000&amp;"Arial"&amp;10&amp;K000000</oddHeader>
  </headerFooter>
  <colBreaks count="1" manualBreakCount="1">
    <brk id="8" max="1048575" man="1"/>
  </col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F03EC-3A8D-4C0C-8C34-1C3685118CA6}">
  <sheetPr codeName="Feuil11">
    <tabColor rgb="FF00B050"/>
    <pageSetUpPr fitToPage="1"/>
  </sheetPr>
  <dimension ref="A1:R94"/>
  <sheetViews>
    <sheetView topLeftCell="A52" zoomScale="70" zoomScaleNormal="70" workbookViewId="0">
      <selection activeCell="F14" sqref="F14"/>
    </sheetView>
  </sheetViews>
  <sheetFormatPr baseColWidth="10" defaultColWidth="9.1640625" defaultRowHeight="13"/>
  <cols>
    <col min="1" max="1" width="9.5" style="186" bestFit="1" customWidth="1"/>
    <col min="2" max="2" width="24.1640625" style="139" customWidth="1"/>
    <col min="3" max="3" width="23.1640625" style="139" customWidth="1"/>
    <col min="4" max="9" width="22.83203125" style="139" customWidth="1"/>
    <col min="10" max="16384" width="9.1640625" style="139"/>
  </cols>
  <sheetData>
    <row r="1" spans="1:18" ht="7.5" customHeight="1"/>
    <row r="2" spans="1:18">
      <c r="C2" s="508" t="s">
        <v>323</v>
      </c>
      <c r="D2" s="501"/>
      <c r="E2" s="141"/>
      <c r="F2" s="142"/>
      <c r="G2" s="142"/>
      <c r="H2" s="142"/>
      <c r="I2" s="143"/>
    </row>
    <row r="4" spans="1:18">
      <c r="C4" s="140" t="s">
        <v>324</v>
      </c>
      <c r="D4" s="144" t="s">
        <v>159</v>
      </c>
      <c r="E4" s="144" t="s">
        <v>159</v>
      </c>
      <c r="F4" s="144" t="s">
        <v>159</v>
      </c>
      <c r="G4" s="145"/>
      <c r="H4" s="145"/>
      <c r="I4" s="146"/>
    </row>
    <row r="5" spans="1:18" ht="15.75" customHeight="1">
      <c r="C5" s="187"/>
    </row>
    <row r="6" spans="1:18" ht="26.25" customHeight="1">
      <c r="B6" s="139" t="s">
        <v>326</v>
      </c>
      <c r="C6" s="588" t="s">
        <v>327</v>
      </c>
      <c r="D6" s="588"/>
      <c r="E6" s="148" t="s">
        <v>414</v>
      </c>
      <c r="F6" s="149"/>
      <c r="G6" s="150"/>
      <c r="H6" s="150"/>
    </row>
    <row r="7" spans="1:18" ht="26.25" customHeight="1">
      <c r="B7" s="139" t="s">
        <v>326</v>
      </c>
      <c r="C7" s="588" t="s">
        <v>329</v>
      </c>
      <c r="D7" s="588"/>
      <c r="E7" s="148">
        <v>3</v>
      </c>
      <c r="F7" s="149"/>
      <c r="G7" s="150"/>
      <c r="H7" s="150"/>
    </row>
    <row r="8" spans="1:18" ht="24.5" customHeight="1"/>
    <row r="9" spans="1:18" ht="26" customHeight="1">
      <c r="C9" s="151" t="s">
        <v>330</v>
      </c>
      <c r="D9" s="152"/>
      <c r="E9" s="153"/>
      <c r="F9" s="153"/>
      <c r="G9" s="153"/>
      <c r="H9" s="153"/>
      <c r="I9" s="153"/>
      <c r="J9" s="153"/>
      <c r="K9" s="153"/>
      <c r="L9" s="153"/>
      <c r="M9" s="153"/>
      <c r="N9" s="153"/>
      <c r="O9" s="153"/>
      <c r="P9" s="153"/>
      <c r="Q9" s="153"/>
      <c r="R9" s="153"/>
    </row>
    <row r="10" spans="1:18" ht="26.25" customHeight="1">
      <c r="C10" s="154" t="s">
        <v>331</v>
      </c>
      <c r="D10" s="155" t="s">
        <v>556</v>
      </c>
      <c r="E10" s="188" t="s">
        <v>557</v>
      </c>
      <c r="F10" s="156" t="s">
        <v>558</v>
      </c>
      <c r="G10" s="156" t="s">
        <v>335</v>
      </c>
      <c r="H10" s="156" t="s">
        <v>336</v>
      </c>
      <c r="I10" s="156" t="s">
        <v>337</v>
      </c>
    </row>
    <row r="11" spans="1:18" ht="26.25" customHeight="1">
      <c r="C11" s="157" t="s">
        <v>299</v>
      </c>
      <c r="D11" s="158" t="s">
        <v>559</v>
      </c>
      <c r="E11" s="190" t="s">
        <v>560</v>
      </c>
      <c r="F11" s="158" t="s">
        <v>561</v>
      </c>
      <c r="G11" s="189"/>
      <c r="H11" s="156"/>
      <c r="I11" s="156"/>
    </row>
    <row r="12" spans="1:18" ht="15" customHeight="1">
      <c r="C12" s="159"/>
      <c r="D12" s="160"/>
      <c r="E12" s="160"/>
      <c r="F12" s="160"/>
      <c r="G12" s="191"/>
      <c r="H12" s="160"/>
      <c r="I12" s="160"/>
    </row>
    <row r="13" spans="1:18" ht="30" customHeight="1">
      <c r="A13" s="192"/>
      <c r="B13" s="7" t="s">
        <v>348</v>
      </c>
      <c r="C13" s="8" t="s">
        <v>349</v>
      </c>
      <c r="D13" s="193" t="s">
        <v>562</v>
      </c>
      <c r="E13" s="193" t="s">
        <v>563</v>
      </c>
      <c r="F13" s="193" t="s">
        <v>564</v>
      </c>
      <c r="G13" s="194"/>
      <c r="H13" s="193"/>
      <c r="I13" s="193"/>
    </row>
    <row r="14" spans="1:18" ht="77.25" customHeight="1">
      <c r="A14" s="192"/>
      <c r="B14" s="7" t="s">
        <v>352</v>
      </c>
      <c r="C14" s="8" t="s">
        <v>297</v>
      </c>
      <c r="D14" s="193" t="s">
        <v>163</v>
      </c>
      <c r="E14" s="193" t="s">
        <v>161</v>
      </c>
      <c r="F14" s="193" t="s">
        <v>165</v>
      </c>
      <c r="G14" s="194"/>
      <c r="H14" s="193"/>
      <c r="I14" s="193"/>
    </row>
    <row r="15" spans="1:18" ht="20" customHeight="1">
      <c r="A15" s="192"/>
      <c r="B15" s="7" t="s">
        <v>353</v>
      </c>
      <c r="C15" s="8" t="s">
        <v>354</v>
      </c>
      <c r="D15" s="193" t="s">
        <v>164</v>
      </c>
      <c r="E15" s="193" t="s">
        <v>162</v>
      </c>
      <c r="F15" s="193" t="s">
        <v>166</v>
      </c>
      <c r="G15" s="194"/>
      <c r="H15" s="193"/>
      <c r="I15" s="193"/>
    </row>
    <row r="16" spans="1:18" ht="20" customHeight="1">
      <c r="A16" s="192"/>
      <c r="B16" s="7" t="s">
        <v>355</v>
      </c>
      <c r="C16" s="8" t="s">
        <v>356</v>
      </c>
      <c r="D16" s="193">
        <v>100123</v>
      </c>
      <c r="E16" s="193">
        <v>610041</v>
      </c>
      <c r="F16" s="193">
        <v>200120</v>
      </c>
      <c r="G16" s="194"/>
      <c r="H16" s="193"/>
      <c r="I16" s="193"/>
    </row>
    <row r="17" spans="1:9" ht="20" customHeight="1">
      <c r="A17" s="192"/>
      <c r="B17" s="7" t="s">
        <v>357</v>
      </c>
      <c r="C17" s="8" t="s">
        <v>294</v>
      </c>
      <c r="D17" s="193" t="s">
        <v>160</v>
      </c>
      <c r="E17" s="193" t="s">
        <v>160</v>
      </c>
      <c r="F17" s="193" t="s">
        <v>160</v>
      </c>
      <c r="G17" s="194"/>
      <c r="H17" s="193"/>
      <c r="I17" s="193"/>
    </row>
    <row r="18" spans="1:9" ht="20" customHeight="1">
      <c r="B18" s="9" t="s">
        <v>358</v>
      </c>
      <c r="C18" s="10" t="s">
        <v>359</v>
      </c>
      <c r="D18" s="193" t="s">
        <v>360</v>
      </c>
      <c r="E18" s="193" t="s">
        <v>360</v>
      </c>
      <c r="F18" s="193" t="s">
        <v>360</v>
      </c>
      <c r="G18" s="194"/>
      <c r="H18" s="193"/>
      <c r="I18" s="193"/>
    </row>
    <row r="19" spans="1:9" ht="20" customHeight="1">
      <c r="A19" s="192"/>
      <c r="B19" s="9" t="s">
        <v>361</v>
      </c>
      <c r="C19" s="10" t="s">
        <v>565</v>
      </c>
      <c r="D19" s="193" t="s">
        <v>328</v>
      </c>
      <c r="E19" s="193" t="s">
        <v>328</v>
      </c>
      <c r="F19" s="193" t="s">
        <v>328</v>
      </c>
      <c r="G19" s="194"/>
      <c r="H19" s="193"/>
      <c r="I19" s="193"/>
    </row>
    <row r="20" spans="1:9" ht="20" customHeight="1">
      <c r="A20" s="192"/>
      <c r="B20" s="9" t="s">
        <v>566</v>
      </c>
      <c r="C20" s="10" t="s">
        <v>567</v>
      </c>
      <c r="D20" s="193" t="s">
        <v>568</v>
      </c>
      <c r="E20" s="193" t="s">
        <v>401</v>
      </c>
      <c r="F20" s="193" t="s">
        <v>569</v>
      </c>
      <c r="G20" s="194"/>
      <c r="H20" s="193"/>
      <c r="I20" s="193"/>
    </row>
    <row r="21" spans="1:9" ht="38" customHeight="1">
      <c r="B21" s="11" t="s">
        <v>365</v>
      </c>
      <c r="C21" s="12" t="s">
        <v>366</v>
      </c>
      <c r="D21" s="193" t="s">
        <v>570</v>
      </c>
      <c r="E21" s="193" t="s">
        <v>571</v>
      </c>
      <c r="F21" s="193" t="s">
        <v>572</v>
      </c>
      <c r="G21" s="194"/>
      <c r="H21" s="193"/>
      <c r="I21" s="193"/>
    </row>
    <row r="22" spans="1:9" ht="41.5" customHeight="1">
      <c r="B22" s="11" t="s">
        <v>369</v>
      </c>
      <c r="C22" s="12" t="s">
        <v>370</v>
      </c>
      <c r="D22" s="193" t="s">
        <v>573</v>
      </c>
      <c r="E22" s="193" t="s">
        <v>574</v>
      </c>
      <c r="F22" s="193" t="s">
        <v>575</v>
      </c>
      <c r="G22" s="194"/>
      <c r="H22" s="193"/>
      <c r="I22" s="193"/>
    </row>
    <row r="23" spans="1:9" ht="20" customHeight="1">
      <c r="B23" s="13" t="s">
        <v>372</v>
      </c>
      <c r="C23" s="14" t="s">
        <v>373</v>
      </c>
      <c r="D23" s="193" t="s">
        <v>374</v>
      </c>
      <c r="E23" s="193" t="s">
        <v>374</v>
      </c>
      <c r="F23" s="193" t="s">
        <v>374</v>
      </c>
      <c r="G23" s="194"/>
      <c r="H23" s="193"/>
      <c r="I23" s="193"/>
    </row>
    <row r="24" spans="1:9" ht="20" customHeight="1">
      <c r="B24" s="13" t="s">
        <v>375</v>
      </c>
      <c r="C24" s="14" t="s">
        <v>376</v>
      </c>
      <c r="D24" s="195">
        <v>2845</v>
      </c>
      <c r="E24" s="195">
        <v>2197</v>
      </c>
      <c r="F24" s="195">
        <v>550.16</v>
      </c>
      <c r="G24" s="196"/>
      <c r="H24" s="195"/>
      <c r="I24" s="195"/>
    </row>
    <row r="25" spans="1:9" ht="20" customHeight="1">
      <c r="B25" s="15" t="s">
        <v>377</v>
      </c>
      <c r="C25" s="16" t="s">
        <v>378</v>
      </c>
      <c r="D25" s="197">
        <v>10</v>
      </c>
      <c r="E25" s="197">
        <v>0</v>
      </c>
      <c r="F25" s="193">
        <v>0</v>
      </c>
      <c r="G25" s="194"/>
      <c r="H25" s="193"/>
      <c r="I25" s="193"/>
    </row>
    <row r="26" spans="1:9" ht="20" customHeight="1">
      <c r="B26" s="15" t="s">
        <v>380</v>
      </c>
      <c r="C26" s="16" t="s">
        <v>381</v>
      </c>
      <c r="D26" s="198" t="s">
        <v>576</v>
      </c>
      <c r="E26" s="198" t="s">
        <v>576</v>
      </c>
      <c r="F26" s="195" t="s">
        <v>576</v>
      </c>
      <c r="G26" s="194"/>
      <c r="H26" s="193"/>
      <c r="I26" s="193"/>
    </row>
    <row r="27" spans="1:9" ht="20" customHeight="1">
      <c r="B27" s="15"/>
      <c r="C27" s="167" t="s">
        <v>383</v>
      </c>
      <c r="D27" s="198"/>
      <c r="E27" s="198"/>
      <c r="F27" s="195"/>
      <c r="G27" s="194"/>
      <c r="H27" s="193"/>
      <c r="I27" s="193"/>
    </row>
    <row r="28" spans="1:9" ht="20" customHeight="1">
      <c r="A28" s="192"/>
      <c r="B28" s="15" t="s">
        <v>384</v>
      </c>
      <c r="C28" s="16" t="s">
        <v>385</v>
      </c>
      <c r="D28" s="199">
        <v>1766.6</v>
      </c>
      <c r="E28" s="199">
        <v>840</v>
      </c>
      <c r="F28" s="195">
        <v>3650.04</v>
      </c>
      <c r="G28" s="196"/>
      <c r="H28" s="193"/>
      <c r="I28" s="193"/>
    </row>
    <row r="29" spans="1:9" ht="20" customHeight="1">
      <c r="A29" s="192"/>
      <c r="B29" s="15" t="s">
        <v>387</v>
      </c>
      <c r="C29" s="16" t="s">
        <v>388</v>
      </c>
      <c r="D29" s="198">
        <v>0</v>
      </c>
      <c r="E29" s="198">
        <v>0</v>
      </c>
      <c r="F29" s="198">
        <v>0</v>
      </c>
      <c r="G29" s="200"/>
      <c r="H29" s="193"/>
      <c r="I29" s="193"/>
    </row>
    <row r="30" spans="1:9" ht="20" customHeight="1">
      <c r="B30" s="13" t="s">
        <v>390</v>
      </c>
      <c r="C30" s="17" t="s">
        <v>391</v>
      </c>
      <c r="D30" s="199">
        <v>837.86</v>
      </c>
      <c r="E30" s="195">
        <v>624.35320892130005</v>
      </c>
      <c r="F30" s="195">
        <v>1231.5327272727</v>
      </c>
      <c r="G30" s="201"/>
      <c r="H30" s="193"/>
      <c r="I30" s="193"/>
    </row>
    <row r="31" spans="1:9" ht="20" customHeight="1">
      <c r="B31" s="13"/>
      <c r="C31" s="167" t="s">
        <v>393</v>
      </c>
      <c r="D31" s="199"/>
      <c r="E31" s="195"/>
      <c r="F31" s="195"/>
      <c r="G31" s="201"/>
      <c r="H31" s="193"/>
      <c r="I31" s="193"/>
    </row>
    <row r="32" spans="1:9" ht="20" customHeight="1">
      <c r="B32" s="13" t="s">
        <v>394</v>
      </c>
      <c r="C32" s="17" t="s">
        <v>395</v>
      </c>
      <c r="D32" s="202" t="s">
        <v>577</v>
      </c>
      <c r="E32" s="202" t="s">
        <v>577</v>
      </c>
      <c r="F32" s="202" t="s">
        <v>577</v>
      </c>
      <c r="G32" s="203"/>
      <c r="H32" s="193"/>
      <c r="I32" s="193"/>
    </row>
    <row r="33" spans="1:10" ht="20" customHeight="1">
      <c r="B33" s="18" t="s">
        <v>397</v>
      </c>
      <c r="C33" s="19" t="s">
        <v>313</v>
      </c>
      <c r="D33" s="204">
        <v>45301</v>
      </c>
      <c r="E33" s="204">
        <v>45246</v>
      </c>
      <c r="F33" s="204">
        <v>42975</v>
      </c>
      <c r="G33" s="205"/>
      <c r="H33" s="204"/>
      <c r="I33" s="204"/>
    </row>
    <row r="34" spans="1:10" ht="20" customHeight="1">
      <c r="A34" s="192"/>
      <c r="B34" s="20" t="s">
        <v>578</v>
      </c>
      <c r="C34" s="19" t="s">
        <v>315</v>
      </c>
      <c r="D34" s="204">
        <v>46031</v>
      </c>
      <c r="E34" s="204">
        <v>46022</v>
      </c>
      <c r="F34" s="204">
        <v>45940</v>
      </c>
      <c r="G34" s="205"/>
      <c r="H34" s="204"/>
      <c r="I34" s="204"/>
    </row>
    <row r="35" spans="1:10" ht="20" customHeight="1">
      <c r="A35" s="192"/>
      <c r="B35" s="20" t="s">
        <v>399</v>
      </c>
      <c r="C35" s="19" t="s">
        <v>400</v>
      </c>
      <c r="D35" s="193"/>
      <c r="E35" s="193"/>
      <c r="F35" s="193"/>
      <c r="G35" s="194"/>
      <c r="H35" s="193"/>
      <c r="I35" s="193"/>
    </row>
    <row r="36" spans="1:10" ht="20" customHeight="1">
      <c r="A36" s="192"/>
      <c r="B36" s="20" t="s">
        <v>579</v>
      </c>
      <c r="C36" s="21" t="s">
        <v>580</v>
      </c>
      <c r="D36" s="206" t="s">
        <v>581</v>
      </c>
      <c r="E36" s="206" t="s">
        <v>581</v>
      </c>
      <c r="F36" s="207" t="s">
        <v>581</v>
      </c>
      <c r="G36" s="208"/>
      <c r="H36" s="207"/>
      <c r="I36" s="207"/>
    </row>
    <row r="37" spans="1:10" ht="20" customHeight="1">
      <c r="A37" s="192"/>
      <c r="B37" s="20" t="s">
        <v>404</v>
      </c>
      <c r="C37" s="21" t="s">
        <v>405</v>
      </c>
      <c r="D37" s="206" t="s">
        <v>582</v>
      </c>
      <c r="E37" s="206" t="s">
        <v>582</v>
      </c>
      <c r="F37" s="207"/>
      <c r="G37" s="209"/>
      <c r="H37" s="207"/>
      <c r="I37" s="207"/>
    </row>
    <row r="38" spans="1:10" ht="20" customHeight="1">
      <c r="A38" s="192"/>
      <c r="B38" s="20" t="s">
        <v>406</v>
      </c>
      <c r="C38" s="21" t="s">
        <v>583</v>
      </c>
      <c r="D38" s="206" t="s">
        <v>401</v>
      </c>
      <c r="E38" s="206" t="s">
        <v>401</v>
      </c>
      <c r="F38" s="207" t="s">
        <v>569</v>
      </c>
      <c r="G38" s="208"/>
      <c r="H38" s="207"/>
      <c r="I38" s="207"/>
    </row>
    <row r="39" spans="1:10" ht="20" customHeight="1">
      <c r="A39" s="192"/>
      <c r="B39" s="20" t="s">
        <v>408</v>
      </c>
      <c r="C39" s="21" t="s">
        <v>409</v>
      </c>
      <c r="D39" s="206" t="s">
        <v>584</v>
      </c>
      <c r="E39" s="206" t="s">
        <v>584</v>
      </c>
      <c r="F39" s="206" t="s">
        <v>584</v>
      </c>
      <c r="G39" s="209"/>
      <c r="H39" s="207"/>
      <c r="I39" s="207"/>
    </row>
    <row r="40" spans="1:10" ht="20" customHeight="1">
      <c r="B40" s="20" t="s">
        <v>585</v>
      </c>
      <c r="C40" s="21" t="s">
        <v>314</v>
      </c>
      <c r="D40" s="206">
        <v>46396</v>
      </c>
      <c r="E40" s="206">
        <v>46934</v>
      </c>
      <c r="F40" s="207">
        <v>46644</v>
      </c>
      <c r="G40" s="208"/>
      <c r="H40" s="207"/>
      <c r="I40" s="207"/>
    </row>
    <row r="41" spans="1:10" ht="20" customHeight="1">
      <c r="A41" s="192"/>
      <c r="B41" s="22" t="s">
        <v>412</v>
      </c>
      <c r="C41" s="23" t="s">
        <v>586</v>
      </c>
      <c r="D41" s="206" t="s">
        <v>401</v>
      </c>
      <c r="E41" s="206" t="s">
        <v>569</v>
      </c>
      <c r="F41" s="206" t="s">
        <v>569</v>
      </c>
      <c r="G41" s="209"/>
      <c r="H41" s="206"/>
      <c r="I41" s="206"/>
    </row>
    <row r="42" spans="1:10" ht="20" customHeight="1">
      <c r="A42" s="192"/>
      <c r="B42" s="24" t="s">
        <v>587</v>
      </c>
      <c r="C42" s="23" t="s">
        <v>588</v>
      </c>
      <c r="D42" s="210" t="s">
        <v>584</v>
      </c>
      <c r="E42" s="210" t="s">
        <v>584</v>
      </c>
      <c r="F42" s="210" t="s">
        <v>584</v>
      </c>
      <c r="G42" s="211"/>
      <c r="H42" s="210"/>
      <c r="I42" s="210"/>
    </row>
    <row r="43" spans="1:10" ht="20" customHeight="1">
      <c r="A43" s="192"/>
      <c r="B43" s="25" t="s">
        <v>418</v>
      </c>
      <c r="C43" s="26" t="s">
        <v>589</v>
      </c>
      <c r="D43" s="193" t="s">
        <v>401</v>
      </c>
      <c r="E43" s="193" t="s">
        <v>569</v>
      </c>
      <c r="F43" s="193" t="s">
        <v>569</v>
      </c>
      <c r="G43" s="194"/>
      <c r="H43" s="193"/>
      <c r="I43" s="193"/>
    </row>
    <row r="44" spans="1:10" ht="20" customHeight="1">
      <c r="A44" s="192"/>
      <c r="B44" s="25" t="s">
        <v>420</v>
      </c>
      <c r="C44" s="26" t="s">
        <v>590</v>
      </c>
      <c r="D44" s="193" t="s">
        <v>328</v>
      </c>
      <c r="E44" s="193" t="s">
        <v>328</v>
      </c>
      <c r="F44" s="193" t="s">
        <v>328</v>
      </c>
      <c r="G44" s="194"/>
      <c r="H44" s="193"/>
      <c r="I44" s="193"/>
    </row>
    <row r="45" spans="1:10" ht="20" customHeight="1">
      <c r="B45" s="175"/>
      <c r="C45" s="175"/>
      <c r="D45" s="212"/>
      <c r="E45" s="212"/>
      <c r="F45" s="212"/>
      <c r="G45" s="213"/>
    </row>
    <row r="46" spans="1:10" ht="20" customHeight="1">
      <c r="B46" s="175"/>
      <c r="C46" s="176" t="s">
        <v>423</v>
      </c>
      <c r="D46" s="193">
        <v>319</v>
      </c>
      <c r="E46" s="193">
        <v>256</v>
      </c>
      <c r="F46" s="193">
        <v>37</v>
      </c>
      <c r="G46" s="194"/>
      <c r="H46" s="193"/>
      <c r="I46" s="193"/>
      <c r="J46" s="214" t="s">
        <v>591</v>
      </c>
    </row>
    <row r="47" spans="1:10" ht="20" customHeight="1">
      <c r="B47" s="175"/>
      <c r="C47" s="177" t="s">
        <v>424</v>
      </c>
      <c r="D47" s="193"/>
      <c r="E47" s="193"/>
      <c r="F47" s="193"/>
      <c r="G47" s="194"/>
      <c r="H47" s="193"/>
      <c r="I47" s="193"/>
    </row>
    <row r="48" spans="1:10" ht="20" customHeight="1">
      <c r="B48" s="175"/>
      <c r="C48" s="177" t="s">
        <v>425</v>
      </c>
      <c r="D48" s="193"/>
      <c r="E48" s="193"/>
      <c r="F48" s="193"/>
      <c r="G48" s="194"/>
      <c r="H48" s="193"/>
      <c r="I48" s="193"/>
    </row>
    <row r="49" spans="2:9" ht="20" customHeight="1">
      <c r="B49" s="175"/>
      <c r="C49" s="178"/>
      <c r="D49" s="215"/>
      <c r="E49" s="215"/>
      <c r="F49" s="215"/>
      <c r="G49" s="216"/>
      <c r="H49" s="215"/>
      <c r="I49" s="215"/>
    </row>
    <row r="50" spans="2:9" ht="20" customHeight="1">
      <c r="B50" s="175"/>
      <c r="C50" s="176" t="s">
        <v>426</v>
      </c>
      <c r="D50" s="193">
        <v>303</v>
      </c>
      <c r="E50" s="193">
        <v>398</v>
      </c>
      <c r="F50" s="193">
        <v>52</v>
      </c>
      <c r="G50" s="194"/>
      <c r="H50" s="193"/>
      <c r="I50" s="193"/>
    </row>
    <row r="51" spans="2:9" ht="20" customHeight="1">
      <c r="B51" s="175"/>
      <c r="C51" s="177" t="s">
        <v>424</v>
      </c>
      <c r="D51" s="193"/>
      <c r="E51" s="193"/>
      <c r="F51" s="193"/>
      <c r="G51" s="194"/>
      <c r="H51" s="193"/>
      <c r="I51" s="193"/>
    </row>
    <row r="52" spans="2:9" ht="20" customHeight="1">
      <c r="B52" s="175"/>
      <c r="C52" s="177" t="s">
        <v>425</v>
      </c>
      <c r="D52" s="193"/>
      <c r="E52" s="193"/>
      <c r="F52" s="193"/>
      <c r="G52" s="194"/>
      <c r="H52" s="193"/>
      <c r="I52" s="193"/>
    </row>
    <row r="53" spans="2:9" ht="20" customHeight="1">
      <c r="B53" s="175"/>
      <c r="C53" s="180"/>
      <c r="D53" s="215"/>
      <c r="E53" s="215"/>
      <c r="F53" s="215"/>
      <c r="G53" s="216"/>
      <c r="H53" s="215"/>
      <c r="I53" s="215"/>
    </row>
    <row r="54" spans="2:9" ht="20" customHeight="1">
      <c r="B54" s="175"/>
      <c r="C54" s="76" t="s">
        <v>427</v>
      </c>
      <c r="D54" s="193" t="s">
        <v>414</v>
      </c>
      <c r="E54" s="193"/>
      <c r="F54" s="193"/>
      <c r="G54" s="194"/>
      <c r="H54" s="193"/>
      <c r="I54" s="193"/>
    </row>
    <row r="55" spans="2:9" ht="30" customHeight="1">
      <c r="B55" s="175"/>
      <c r="C55" s="176" t="s">
        <v>428</v>
      </c>
      <c r="D55" s="193" t="s">
        <v>592</v>
      </c>
      <c r="E55" s="193" t="s">
        <v>593</v>
      </c>
      <c r="F55" s="193" t="s">
        <v>593</v>
      </c>
      <c r="G55" s="194"/>
      <c r="H55" s="193"/>
      <c r="I55" s="193"/>
    </row>
    <row r="56" spans="2:9" ht="30" customHeight="1">
      <c r="B56" s="175"/>
      <c r="C56" s="176" t="s">
        <v>429</v>
      </c>
      <c r="D56" s="193" t="s">
        <v>584</v>
      </c>
      <c r="E56" s="193" t="s">
        <v>584</v>
      </c>
      <c r="F56" s="193" t="s">
        <v>584</v>
      </c>
      <c r="G56" s="194"/>
      <c r="H56" s="193"/>
      <c r="I56" s="193"/>
    </row>
    <row r="57" spans="2:9" ht="56">
      <c r="C57" s="181" t="s">
        <v>430</v>
      </c>
      <c r="D57" s="153"/>
      <c r="E57" s="153"/>
      <c r="F57" s="153"/>
      <c r="G57" s="153"/>
      <c r="H57" s="153"/>
      <c r="I57" s="153"/>
    </row>
    <row r="58" spans="2:9" ht="56">
      <c r="C58" s="181" t="s">
        <v>431</v>
      </c>
      <c r="D58" s="153"/>
      <c r="E58" s="153"/>
      <c r="F58" s="153"/>
      <c r="G58" s="153"/>
      <c r="H58" s="153"/>
      <c r="I58" s="153"/>
    </row>
    <row r="59" spans="2:9">
      <c r="C59" s="182"/>
    </row>
    <row r="60" spans="2:9" ht="15">
      <c r="D60" s="139" t="s">
        <v>432</v>
      </c>
    </row>
    <row r="61" spans="2:9">
      <c r="D61" s="183" t="s">
        <v>433</v>
      </c>
    </row>
    <row r="62" spans="2:9">
      <c r="D62" s="184" t="s">
        <v>434</v>
      </c>
    </row>
    <row r="63" spans="2:9">
      <c r="D63" s="184" t="s">
        <v>435</v>
      </c>
    </row>
    <row r="64" spans="2:9">
      <c r="D64" s="184" t="s">
        <v>436</v>
      </c>
    </row>
    <row r="65" spans="4:4">
      <c r="D65" s="184" t="s">
        <v>437</v>
      </c>
    </row>
    <row r="66" spans="4:4">
      <c r="D66" s="184" t="s">
        <v>438</v>
      </c>
    </row>
    <row r="68" spans="4:4" ht="15">
      <c r="D68" s="185" t="s">
        <v>439</v>
      </c>
    </row>
    <row r="88" spans="7:8">
      <c r="G88" s="217"/>
      <c r="H88" s="217"/>
    </row>
    <row r="89" spans="7:8">
      <c r="G89" s="217"/>
      <c r="H89" s="217"/>
    </row>
    <row r="90" spans="7:8">
      <c r="G90" s="217"/>
      <c r="H90" s="217"/>
    </row>
    <row r="93" spans="7:8">
      <c r="G93" s="217"/>
    </row>
    <row r="94" spans="7:8">
      <c r="G94" s="217"/>
    </row>
  </sheetData>
  <mergeCells count="2">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129"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26 C28:C30 C32">
    <cfRule type="expression" dxfId="128" priority="1">
      <formula>#REF!="Owned"</formula>
    </cfRule>
  </conditionalFormatting>
  <dataValidations count="3">
    <dataValidation type="list" allowBlank="1" showInputMessage="1" showErrorMessage="1" sqref="D35:H35" xr:uid="{EA1DD6D7-5A0D-4CA6-AED0-D01FCF9381BF}">
      <formula1>"Y,N"</formula1>
    </dataValidation>
    <dataValidation type="list" allowBlank="1" showInputMessage="1" showErrorMessage="1" sqref="D17:H17" xr:uid="{E9DFD519-C231-48DF-B5C9-385AB8275B56}">
      <formula1>"Office, Serviced Office, Industrial, Residential, Retail, Data Centre, Parking, Other"</formula1>
    </dataValidation>
    <dataValidation type="list" allowBlank="1" showInputMessage="1" showErrorMessage="1" sqref="E6" xr:uid="{5522EAE0-932B-4259-890A-9EF864DFFD07}">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B76DA-C4CB-4C48-B2D5-9F20B43935DD}">
  <sheetPr codeName="Feuil12">
    <tabColor rgb="FF00B050"/>
    <pageSetUpPr fitToPage="1"/>
  </sheetPr>
  <dimension ref="B2:R68"/>
  <sheetViews>
    <sheetView topLeftCell="A14" zoomScale="70" zoomScaleNormal="70" workbookViewId="0">
      <selection activeCell="G25" sqref="G25"/>
    </sheetView>
  </sheetViews>
  <sheetFormatPr baseColWidth="10" defaultColWidth="9.1640625" defaultRowHeight="36.5" customHeight="1"/>
  <cols>
    <col min="1" max="1" width="19.5" style="1" customWidth="1"/>
    <col min="2" max="2" width="24.1640625" style="1" customWidth="1"/>
    <col min="3" max="3" width="25.5" style="1" customWidth="1"/>
    <col min="4" max="4" width="24.83203125" style="1" customWidth="1"/>
    <col min="5" max="18" width="22.83203125" style="1" customWidth="1"/>
    <col min="19" max="16384" width="9.1640625" style="1"/>
  </cols>
  <sheetData>
    <row r="2" spans="2:18" ht="36.5" customHeight="1">
      <c r="C2" s="506" t="s">
        <v>323</v>
      </c>
      <c r="D2" s="109">
        <v>45925</v>
      </c>
      <c r="E2" s="315"/>
      <c r="F2" s="3"/>
      <c r="G2" s="3"/>
      <c r="H2" s="3"/>
      <c r="I2" s="4"/>
    </row>
    <row r="4" spans="2:18" ht="36.5" customHeight="1">
      <c r="C4" s="316" t="s">
        <v>324</v>
      </c>
      <c r="D4" s="82" t="s">
        <v>22</v>
      </c>
      <c r="E4" s="82" t="s">
        <v>22</v>
      </c>
      <c r="I4" s="5"/>
    </row>
    <row r="6" spans="2:18" ht="36.5" customHeight="1">
      <c r="B6" s="1" t="s">
        <v>326</v>
      </c>
      <c r="C6" s="589" t="s">
        <v>327</v>
      </c>
      <c r="D6" s="591"/>
      <c r="E6" s="6" t="s">
        <v>414</v>
      </c>
      <c r="F6" s="101"/>
      <c r="G6" s="101"/>
      <c r="H6" s="101"/>
    </row>
    <row r="7" spans="2:18" ht="36.5" customHeight="1">
      <c r="B7" s="1" t="s">
        <v>326</v>
      </c>
      <c r="C7" s="589" t="s">
        <v>329</v>
      </c>
      <c r="D7" s="591"/>
      <c r="E7" s="6">
        <v>2</v>
      </c>
      <c r="F7" s="101"/>
      <c r="G7" s="101"/>
      <c r="H7" s="101"/>
    </row>
    <row r="8" spans="2:18" ht="36.5" customHeight="1">
      <c r="C8" s="113"/>
      <c r="D8" s="113"/>
      <c r="E8" s="42"/>
      <c r="F8" s="101"/>
      <c r="G8" s="101"/>
      <c r="H8" s="101"/>
    </row>
    <row r="9" spans="2:18" ht="36.5" customHeight="1">
      <c r="C9" s="318" t="s">
        <v>441</v>
      </c>
      <c r="D9" s="67"/>
      <c r="E9" s="67"/>
      <c r="F9" s="67"/>
      <c r="G9" s="67"/>
      <c r="H9" s="67"/>
      <c r="I9" s="67"/>
      <c r="J9" s="67"/>
      <c r="K9" s="67"/>
      <c r="L9" s="67"/>
      <c r="M9" s="67"/>
      <c r="N9" s="67"/>
      <c r="O9" s="67"/>
      <c r="P9" s="67"/>
      <c r="Q9" s="67"/>
    </row>
    <row r="10" spans="2:18" ht="36.5" customHeight="1">
      <c r="C10" s="104" t="s">
        <v>331</v>
      </c>
      <c r="D10" s="319" t="s">
        <v>594</v>
      </c>
      <c r="E10" s="114" t="s">
        <v>595</v>
      </c>
      <c r="F10" s="114" t="s">
        <v>334</v>
      </c>
      <c r="G10" s="114" t="s">
        <v>335</v>
      </c>
      <c r="H10" s="114" t="s">
        <v>336</v>
      </c>
      <c r="I10" s="114" t="s">
        <v>337</v>
      </c>
      <c r="J10" s="114" t="s">
        <v>338</v>
      </c>
      <c r="K10" s="114" t="s">
        <v>339</v>
      </c>
      <c r="L10" s="114" t="s">
        <v>340</v>
      </c>
      <c r="M10" s="114" t="s">
        <v>341</v>
      </c>
      <c r="N10" s="114" t="s">
        <v>342</v>
      </c>
      <c r="O10" s="114" t="s">
        <v>343</v>
      </c>
      <c r="P10" s="114" t="s">
        <v>344</v>
      </c>
      <c r="Q10" s="114" t="s">
        <v>345</v>
      </c>
      <c r="R10" s="114" t="s">
        <v>346</v>
      </c>
    </row>
    <row r="11" spans="2:18" ht="36.5" customHeight="1">
      <c r="C11" s="104"/>
      <c r="D11" s="84" t="s">
        <v>596</v>
      </c>
      <c r="E11" s="84" t="s">
        <v>597</v>
      </c>
      <c r="F11" s="84"/>
      <c r="G11" s="84"/>
      <c r="H11" s="84"/>
      <c r="I11" s="84"/>
      <c r="J11" s="84"/>
      <c r="K11" s="84"/>
      <c r="L11" s="84"/>
      <c r="M11" s="84"/>
      <c r="N11" s="84"/>
      <c r="O11" s="84"/>
      <c r="P11" s="84"/>
      <c r="Q11" s="84"/>
      <c r="R11" s="84"/>
    </row>
    <row r="12" spans="2:18" ht="36.5" customHeight="1">
      <c r="C12" s="68"/>
      <c r="D12" s="320"/>
      <c r="E12" s="321"/>
      <c r="F12" s="321"/>
      <c r="G12" s="321"/>
      <c r="H12" s="321"/>
      <c r="I12" s="321"/>
      <c r="J12" s="322"/>
      <c r="K12" s="322"/>
      <c r="L12" s="322"/>
      <c r="M12" s="322"/>
      <c r="N12" s="322"/>
      <c r="O12" s="322"/>
      <c r="P12" s="322"/>
      <c r="Q12" s="322"/>
      <c r="R12" s="322"/>
    </row>
    <row r="13" spans="2:18" ht="36.5" customHeight="1">
      <c r="B13" s="7" t="s">
        <v>348</v>
      </c>
      <c r="C13" s="8" t="s">
        <v>349</v>
      </c>
      <c r="D13" s="118" t="s">
        <v>598</v>
      </c>
      <c r="E13" s="118" t="s">
        <v>599</v>
      </c>
      <c r="F13" s="118"/>
      <c r="G13" s="118"/>
      <c r="H13" s="118"/>
      <c r="I13" s="118"/>
      <c r="J13" s="118"/>
      <c r="K13" s="118"/>
      <c r="L13" s="118"/>
      <c r="M13" s="118"/>
      <c r="N13" s="118"/>
      <c r="O13" s="118"/>
      <c r="P13" s="118"/>
      <c r="Q13" s="118"/>
      <c r="R13" s="118"/>
    </row>
    <row r="14" spans="2:18" ht="36.5" customHeight="1">
      <c r="B14" s="7" t="s">
        <v>352</v>
      </c>
      <c r="C14" s="8" t="s">
        <v>297</v>
      </c>
      <c r="D14" s="85" t="s">
        <v>26</v>
      </c>
      <c r="E14" s="85" t="s">
        <v>24</v>
      </c>
      <c r="F14" s="85"/>
      <c r="G14" s="85"/>
      <c r="H14" s="85"/>
      <c r="I14" s="85"/>
      <c r="J14" s="85"/>
      <c r="K14" s="85"/>
      <c r="L14" s="85"/>
      <c r="M14" s="85"/>
      <c r="N14" s="85"/>
      <c r="O14" s="85"/>
      <c r="P14" s="85"/>
      <c r="Q14" s="85"/>
      <c r="R14" s="85"/>
    </row>
    <row r="15" spans="2:18" ht="36.5" customHeight="1">
      <c r="B15" s="7" t="s">
        <v>353</v>
      </c>
      <c r="C15" s="8" t="s">
        <v>354</v>
      </c>
      <c r="D15" s="85" t="s">
        <v>27</v>
      </c>
      <c r="E15" s="85" t="s">
        <v>25</v>
      </c>
      <c r="F15" s="85"/>
      <c r="G15" s="85"/>
      <c r="H15" s="85"/>
      <c r="I15" s="85"/>
      <c r="J15" s="85"/>
      <c r="K15" s="85"/>
      <c r="L15" s="85"/>
      <c r="M15" s="85"/>
      <c r="N15" s="85"/>
      <c r="O15" s="85"/>
      <c r="P15" s="85"/>
      <c r="Q15" s="85"/>
      <c r="R15" s="85"/>
    </row>
    <row r="16" spans="2:18" ht="36.5" customHeight="1">
      <c r="B16" s="7" t="s">
        <v>355</v>
      </c>
      <c r="C16" s="8" t="s">
        <v>356</v>
      </c>
      <c r="D16" s="85" t="s">
        <v>600</v>
      </c>
      <c r="E16" s="85" t="s">
        <v>601</v>
      </c>
      <c r="F16" s="85"/>
      <c r="G16" s="85"/>
      <c r="H16" s="85"/>
      <c r="I16" s="85"/>
      <c r="J16" s="85"/>
      <c r="K16" s="85"/>
      <c r="L16" s="85"/>
      <c r="M16" s="85"/>
      <c r="N16" s="85"/>
      <c r="O16" s="85"/>
      <c r="P16" s="85"/>
      <c r="Q16" s="85"/>
      <c r="R16" s="85"/>
    </row>
    <row r="17" spans="2:18" ht="36.5" customHeight="1">
      <c r="B17" s="7" t="s">
        <v>357</v>
      </c>
      <c r="C17" s="8" t="s">
        <v>294</v>
      </c>
      <c r="D17" s="85" t="s">
        <v>23</v>
      </c>
      <c r="E17" s="85" t="s">
        <v>602</v>
      </c>
      <c r="F17" s="85"/>
      <c r="G17" s="85"/>
      <c r="H17" s="85"/>
      <c r="I17" s="85"/>
      <c r="J17" s="85"/>
      <c r="K17" s="85"/>
      <c r="L17" s="85"/>
      <c r="M17" s="85"/>
      <c r="N17" s="85"/>
      <c r="O17" s="85"/>
      <c r="P17" s="85"/>
      <c r="Q17" s="85"/>
      <c r="R17" s="85"/>
    </row>
    <row r="18" spans="2:18" ht="36.5" customHeight="1">
      <c r="B18" s="9" t="s">
        <v>358</v>
      </c>
      <c r="C18" s="10" t="s">
        <v>359</v>
      </c>
      <c r="D18" s="85" t="s">
        <v>360</v>
      </c>
      <c r="E18" s="85" t="s">
        <v>360</v>
      </c>
      <c r="F18" s="85"/>
      <c r="G18" s="85"/>
      <c r="H18" s="85"/>
      <c r="I18" s="85"/>
      <c r="J18" s="85"/>
      <c r="K18" s="85"/>
      <c r="L18" s="85"/>
      <c r="M18" s="85"/>
      <c r="N18" s="85"/>
      <c r="O18" s="85"/>
      <c r="P18" s="85"/>
      <c r="Q18" s="85"/>
      <c r="R18" s="85"/>
    </row>
    <row r="19" spans="2:18" ht="36.5" customHeight="1">
      <c r="B19" s="9" t="s">
        <v>361</v>
      </c>
      <c r="C19" s="10" t="s">
        <v>362</v>
      </c>
      <c r="D19" s="85" t="s">
        <v>328</v>
      </c>
      <c r="E19" s="85" t="s">
        <v>328</v>
      </c>
      <c r="F19" s="85"/>
      <c r="G19" s="85"/>
      <c r="H19" s="85"/>
      <c r="I19" s="85"/>
      <c r="J19" s="85"/>
      <c r="K19" s="85"/>
      <c r="L19" s="85"/>
      <c r="M19" s="85"/>
      <c r="N19" s="85"/>
      <c r="O19" s="85"/>
      <c r="P19" s="85"/>
      <c r="Q19" s="85"/>
      <c r="R19" s="85"/>
    </row>
    <row r="20" spans="2:18" ht="36.5" customHeight="1">
      <c r="B20" s="9" t="s">
        <v>363</v>
      </c>
      <c r="C20" s="10" t="s">
        <v>364</v>
      </c>
      <c r="D20" s="85" t="s">
        <v>328</v>
      </c>
      <c r="E20" s="85" t="s">
        <v>328</v>
      </c>
      <c r="F20" s="85"/>
      <c r="G20" s="85"/>
      <c r="H20" s="85"/>
      <c r="I20" s="85"/>
      <c r="J20" s="85"/>
      <c r="K20" s="85"/>
      <c r="L20" s="85"/>
      <c r="M20" s="85"/>
      <c r="N20" s="85"/>
      <c r="O20" s="85"/>
      <c r="P20" s="85"/>
      <c r="Q20" s="85"/>
      <c r="R20" s="85"/>
    </row>
    <row r="21" spans="2:18" ht="68.25" customHeight="1">
      <c r="B21" s="11" t="s">
        <v>365</v>
      </c>
      <c r="C21" s="12" t="s">
        <v>366</v>
      </c>
      <c r="D21" s="85" t="s">
        <v>603</v>
      </c>
      <c r="E21" s="85" t="s">
        <v>604</v>
      </c>
      <c r="F21" s="85"/>
      <c r="G21" s="85"/>
      <c r="H21" s="85"/>
      <c r="I21" s="85"/>
      <c r="J21" s="85"/>
      <c r="K21" s="85"/>
      <c r="L21" s="85"/>
      <c r="M21" s="85"/>
      <c r="N21" s="85"/>
      <c r="O21" s="85"/>
      <c r="P21" s="85"/>
      <c r="Q21" s="85"/>
      <c r="R21" s="85"/>
    </row>
    <row r="22" spans="2:18" ht="39" customHeight="1">
      <c r="B22" s="11" t="s">
        <v>369</v>
      </c>
      <c r="C22" s="12" t="s">
        <v>370</v>
      </c>
      <c r="D22" s="85" t="s">
        <v>605</v>
      </c>
      <c r="E22" s="85" t="s">
        <v>606</v>
      </c>
      <c r="F22" s="85"/>
      <c r="G22" s="85"/>
      <c r="H22" s="85"/>
      <c r="I22" s="85"/>
      <c r="J22" s="85"/>
      <c r="K22" s="85"/>
      <c r="L22" s="85"/>
      <c r="M22" s="85"/>
      <c r="N22" s="85"/>
      <c r="O22" s="85"/>
      <c r="P22" s="85"/>
      <c r="Q22" s="85"/>
      <c r="R22" s="85"/>
    </row>
    <row r="23" spans="2:18" ht="36.5" customHeight="1">
      <c r="B23" s="13"/>
      <c r="C23" s="87" t="s">
        <v>374</v>
      </c>
      <c r="D23" s="131" t="s">
        <v>374</v>
      </c>
      <c r="E23" s="131" t="s">
        <v>374</v>
      </c>
      <c r="F23" s="131"/>
      <c r="G23" s="131"/>
      <c r="H23" s="131"/>
      <c r="I23" s="131"/>
      <c r="J23" s="131"/>
      <c r="K23" s="131"/>
      <c r="L23" s="131"/>
      <c r="M23" s="131"/>
      <c r="N23" s="131"/>
      <c r="O23" s="131"/>
      <c r="P23" s="131"/>
      <c r="Q23" s="131"/>
      <c r="R23" s="131"/>
    </row>
    <row r="24" spans="2:18" ht="36.5" customHeight="1">
      <c r="B24" s="13" t="s">
        <v>375</v>
      </c>
      <c r="C24" s="14" t="s">
        <v>376</v>
      </c>
      <c r="D24" s="332">
        <v>1293.19</v>
      </c>
      <c r="E24" s="332">
        <v>74</v>
      </c>
      <c r="F24" s="88"/>
      <c r="G24" s="88"/>
      <c r="H24" s="88"/>
      <c r="I24" s="88"/>
      <c r="J24" s="88"/>
      <c r="K24" s="88"/>
      <c r="L24" s="88"/>
      <c r="M24" s="88"/>
      <c r="N24" s="88"/>
      <c r="O24" s="88"/>
      <c r="P24" s="88"/>
      <c r="Q24" s="88"/>
      <c r="R24" s="88"/>
    </row>
    <row r="25" spans="2:18" ht="36.5" customHeight="1">
      <c r="B25" s="15" t="s">
        <v>377</v>
      </c>
      <c r="C25" s="16" t="s">
        <v>378</v>
      </c>
      <c r="D25" s="333">
        <v>14</v>
      </c>
      <c r="E25" s="333">
        <v>1</v>
      </c>
      <c r="F25" s="85"/>
      <c r="G25" s="85"/>
      <c r="H25" s="85"/>
      <c r="I25" s="85"/>
      <c r="J25" s="85"/>
      <c r="K25" s="85"/>
      <c r="L25" s="85"/>
      <c r="M25" s="85"/>
      <c r="N25" s="85"/>
      <c r="O25" s="85"/>
      <c r="P25" s="85"/>
      <c r="Q25" s="85"/>
      <c r="R25" s="85"/>
    </row>
    <row r="26" spans="2:18" ht="36.5" customHeight="1">
      <c r="B26" s="15" t="s">
        <v>380</v>
      </c>
      <c r="C26" s="16" t="s">
        <v>381</v>
      </c>
      <c r="D26" s="334" t="s">
        <v>607</v>
      </c>
      <c r="E26" s="334" t="s">
        <v>449</v>
      </c>
      <c r="F26" s="88"/>
      <c r="G26" s="85"/>
      <c r="H26" s="85"/>
      <c r="I26" s="85"/>
      <c r="J26" s="85"/>
      <c r="K26" s="85"/>
      <c r="L26" s="85"/>
      <c r="M26" s="85"/>
      <c r="N26" s="85"/>
      <c r="O26" s="85"/>
      <c r="P26" s="85"/>
      <c r="Q26" s="85"/>
      <c r="R26" s="85"/>
    </row>
    <row r="27" spans="2:18" ht="36.5" customHeight="1">
      <c r="B27" s="323" t="s">
        <v>383</v>
      </c>
      <c r="C27" s="324" t="s">
        <v>383</v>
      </c>
      <c r="D27" s="335"/>
      <c r="E27" s="335"/>
      <c r="F27" s="88"/>
      <c r="G27" s="85"/>
      <c r="H27" s="85"/>
      <c r="I27" s="85"/>
      <c r="J27" s="85"/>
      <c r="K27" s="85"/>
      <c r="L27" s="85"/>
      <c r="M27" s="85"/>
      <c r="N27" s="85"/>
      <c r="O27" s="85"/>
      <c r="P27" s="85"/>
      <c r="Q27" s="85"/>
      <c r="R27" s="85"/>
    </row>
    <row r="28" spans="2:18" ht="36.5" customHeight="1">
      <c r="B28" s="15" t="s">
        <v>384</v>
      </c>
      <c r="C28" s="16" t="s">
        <v>450</v>
      </c>
      <c r="D28" s="89">
        <v>144</v>
      </c>
      <c r="E28" s="336">
        <v>168</v>
      </c>
      <c r="F28" s="88"/>
      <c r="G28" s="85"/>
      <c r="H28" s="85"/>
      <c r="I28" s="85"/>
      <c r="J28" s="85"/>
      <c r="K28" s="85"/>
      <c r="L28" s="85"/>
      <c r="M28" s="85"/>
      <c r="N28" s="85"/>
      <c r="O28" s="85"/>
      <c r="P28" s="85"/>
      <c r="Q28" s="85"/>
      <c r="R28" s="85"/>
    </row>
    <row r="29" spans="2:18" ht="36.5" customHeight="1">
      <c r="B29" s="15" t="s">
        <v>387</v>
      </c>
      <c r="C29" s="16" t="s">
        <v>388</v>
      </c>
      <c r="D29" s="89" t="s">
        <v>608</v>
      </c>
      <c r="E29" s="89" t="s">
        <v>609</v>
      </c>
      <c r="F29" s="88"/>
      <c r="G29" s="85"/>
      <c r="H29" s="85"/>
      <c r="I29" s="85"/>
      <c r="J29" s="85"/>
      <c r="K29" s="85"/>
      <c r="L29" s="85"/>
      <c r="M29" s="85"/>
      <c r="N29" s="85"/>
      <c r="O29" s="85"/>
      <c r="P29" s="85"/>
      <c r="Q29" s="85"/>
      <c r="R29" s="85"/>
    </row>
    <row r="30" spans="2:18" ht="36.5" customHeight="1">
      <c r="B30" s="13" t="s">
        <v>390</v>
      </c>
      <c r="C30" s="17" t="s">
        <v>453</v>
      </c>
      <c r="D30" s="337">
        <v>90855.8</v>
      </c>
      <c r="E30" s="337">
        <v>50.4</v>
      </c>
      <c r="F30" s="85"/>
      <c r="G30" s="85"/>
      <c r="H30" s="85"/>
      <c r="I30" s="85"/>
      <c r="J30" s="85"/>
      <c r="K30" s="85"/>
      <c r="L30" s="85"/>
      <c r="M30" s="85"/>
      <c r="N30" s="85"/>
      <c r="O30" s="85"/>
      <c r="P30" s="85"/>
      <c r="Q30" s="85"/>
      <c r="R30" s="85"/>
    </row>
    <row r="31" spans="2:18" ht="36.5" customHeight="1">
      <c r="B31" s="326"/>
      <c r="C31" s="327" t="s">
        <v>393</v>
      </c>
      <c r="D31" s="85"/>
      <c r="E31" s="85"/>
      <c r="F31" s="85"/>
      <c r="G31" s="85"/>
      <c r="H31" s="85"/>
      <c r="I31" s="85"/>
      <c r="J31" s="85"/>
      <c r="K31" s="85"/>
      <c r="L31" s="85"/>
      <c r="M31" s="85"/>
      <c r="N31" s="85"/>
      <c r="O31" s="85"/>
      <c r="P31" s="85"/>
      <c r="Q31" s="85"/>
      <c r="R31" s="85"/>
    </row>
    <row r="32" spans="2:18" ht="36.5" customHeight="1">
      <c r="B32" s="13" t="s">
        <v>394</v>
      </c>
      <c r="C32" s="17" t="s">
        <v>395</v>
      </c>
      <c r="D32" s="85" t="s">
        <v>609</v>
      </c>
      <c r="E32" s="85" t="s">
        <v>610</v>
      </c>
      <c r="F32" s="85"/>
      <c r="G32" s="85"/>
      <c r="H32" s="85"/>
      <c r="I32" s="85"/>
      <c r="J32" s="85"/>
      <c r="K32" s="85"/>
      <c r="L32" s="85"/>
      <c r="M32" s="85"/>
      <c r="N32" s="85"/>
      <c r="O32" s="85"/>
      <c r="P32" s="85"/>
      <c r="Q32" s="85"/>
      <c r="R32" s="85"/>
    </row>
    <row r="33" spans="2:18" ht="36.5" customHeight="1">
      <c r="B33" s="18" t="s">
        <v>397</v>
      </c>
      <c r="C33" s="19" t="s">
        <v>313</v>
      </c>
      <c r="D33" s="91">
        <v>40210</v>
      </c>
      <c r="E33" s="91">
        <v>37669</v>
      </c>
      <c r="F33" s="91"/>
      <c r="G33" s="91"/>
      <c r="H33" s="91"/>
      <c r="I33" s="91"/>
      <c r="J33" s="85"/>
      <c r="K33" s="85"/>
      <c r="L33" s="85"/>
      <c r="M33" s="85"/>
      <c r="N33" s="85"/>
      <c r="O33" s="85"/>
      <c r="P33" s="85"/>
      <c r="Q33" s="85"/>
      <c r="R33" s="85"/>
    </row>
    <row r="34" spans="2:18" ht="36.5" customHeight="1">
      <c r="B34" s="20" t="s">
        <v>398</v>
      </c>
      <c r="C34" s="19" t="s">
        <v>315</v>
      </c>
      <c r="D34" s="91">
        <v>45900</v>
      </c>
      <c r="E34" s="91" t="s">
        <v>611</v>
      </c>
      <c r="F34" s="91"/>
      <c r="G34" s="91"/>
      <c r="H34" s="91"/>
      <c r="I34" s="91"/>
      <c r="J34" s="85"/>
      <c r="K34" s="85"/>
      <c r="L34" s="85"/>
      <c r="M34" s="85"/>
      <c r="N34" s="85"/>
      <c r="O34" s="85"/>
      <c r="P34" s="85"/>
      <c r="Q34" s="85"/>
      <c r="R34" s="85"/>
    </row>
    <row r="35" spans="2:18" ht="36.5" customHeight="1">
      <c r="B35" s="20" t="s">
        <v>399</v>
      </c>
      <c r="C35" s="19" t="s">
        <v>400</v>
      </c>
      <c r="D35" s="91" t="s">
        <v>612</v>
      </c>
      <c r="E35" s="85" t="s">
        <v>577</v>
      </c>
      <c r="F35" s="85"/>
      <c r="G35" s="85"/>
      <c r="H35" s="85"/>
      <c r="I35" s="85"/>
      <c r="J35" s="85"/>
      <c r="K35" s="85"/>
      <c r="L35" s="85"/>
      <c r="M35" s="85"/>
      <c r="N35" s="85"/>
      <c r="O35" s="85"/>
      <c r="P35" s="85"/>
      <c r="Q35" s="85"/>
      <c r="R35" s="85"/>
    </row>
    <row r="36" spans="2:18" ht="36.5" customHeight="1">
      <c r="B36" s="20" t="s">
        <v>402</v>
      </c>
      <c r="C36" s="21" t="s">
        <v>403</v>
      </c>
      <c r="D36" s="92" t="s">
        <v>414</v>
      </c>
      <c r="E36" s="92" t="s">
        <v>414</v>
      </c>
      <c r="F36" s="93"/>
      <c r="G36" s="93"/>
      <c r="H36" s="93"/>
      <c r="I36" s="93"/>
      <c r="J36" s="85"/>
      <c r="K36" s="85"/>
      <c r="L36" s="85"/>
      <c r="M36" s="85"/>
      <c r="N36" s="85"/>
      <c r="O36" s="85"/>
      <c r="P36" s="85"/>
      <c r="Q36" s="85"/>
      <c r="R36" s="85"/>
    </row>
    <row r="37" spans="2:18" ht="36.5" customHeight="1">
      <c r="B37" s="20" t="s">
        <v>404</v>
      </c>
      <c r="C37" s="21" t="s">
        <v>405</v>
      </c>
      <c r="D37" s="92" t="s">
        <v>613</v>
      </c>
      <c r="E37" s="92" t="s">
        <v>614</v>
      </c>
      <c r="F37" s="93"/>
      <c r="G37" s="93"/>
      <c r="H37" s="93"/>
      <c r="I37" s="93"/>
      <c r="J37" s="85"/>
      <c r="K37" s="85"/>
      <c r="L37" s="85"/>
      <c r="M37" s="85"/>
      <c r="N37" s="85"/>
      <c r="O37" s="85"/>
      <c r="P37" s="85"/>
      <c r="Q37" s="85"/>
      <c r="R37" s="85"/>
    </row>
    <row r="38" spans="2:18" ht="36.5" customHeight="1">
      <c r="B38" s="20" t="s">
        <v>406</v>
      </c>
      <c r="C38" s="21" t="s">
        <v>407</v>
      </c>
      <c r="D38" s="92" t="s">
        <v>328</v>
      </c>
      <c r="E38" s="92" t="s">
        <v>328</v>
      </c>
      <c r="F38" s="93"/>
      <c r="G38" s="93"/>
      <c r="H38" s="93"/>
      <c r="I38" s="93"/>
      <c r="J38" s="85"/>
      <c r="K38" s="85"/>
      <c r="L38" s="85"/>
      <c r="M38" s="85"/>
      <c r="N38" s="85"/>
      <c r="O38" s="85"/>
      <c r="P38" s="85"/>
      <c r="Q38" s="85"/>
      <c r="R38" s="85"/>
    </row>
    <row r="39" spans="2:18" ht="36.5" customHeight="1">
      <c r="B39" s="20" t="s">
        <v>408</v>
      </c>
      <c r="C39" s="21" t="s">
        <v>409</v>
      </c>
      <c r="D39" s="92" t="s">
        <v>577</v>
      </c>
      <c r="E39" s="92" t="s">
        <v>577</v>
      </c>
      <c r="F39" s="93"/>
      <c r="G39" s="93"/>
      <c r="H39" s="93"/>
      <c r="I39" s="93"/>
      <c r="J39" s="85"/>
      <c r="K39" s="85"/>
      <c r="L39" s="85"/>
      <c r="M39" s="85"/>
      <c r="N39" s="85"/>
      <c r="O39" s="85"/>
      <c r="P39" s="85"/>
      <c r="Q39" s="85"/>
      <c r="R39" s="85"/>
    </row>
    <row r="40" spans="2:18" ht="36.5" customHeight="1">
      <c r="B40" s="20" t="s">
        <v>411</v>
      </c>
      <c r="C40" s="21" t="s">
        <v>314</v>
      </c>
      <c r="D40" s="92">
        <v>46599</v>
      </c>
      <c r="E40" s="92" t="s">
        <v>615</v>
      </c>
      <c r="F40" s="93"/>
      <c r="G40" s="93"/>
      <c r="H40" s="93"/>
      <c r="I40" s="93"/>
      <c r="J40" s="85"/>
      <c r="K40" s="85"/>
      <c r="L40" s="85"/>
      <c r="M40" s="85"/>
      <c r="N40" s="85"/>
      <c r="O40" s="85"/>
      <c r="P40" s="85"/>
      <c r="Q40" s="85"/>
      <c r="R40" s="85"/>
    </row>
    <row r="41" spans="2:18" ht="36.5" customHeight="1">
      <c r="B41" s="22" t="s">
        <v>412</v>
      </c>
      <c r="C41" s="23" t="s">
        <v>413</v>
      </c>
      <c r="D41" s="92" t="s">
        <v>616</v>
      </c>
      <c r="E41" s="92" t="s">
        <v>616</v>
      </c>
      <c r="F41" s="92"/>
      <c r="G41" s="92"/>
      <c r="H41" s="92"/>
      <c r="I41" s="92"/>
      <c r="J41" s="92"/>
      <c r="K41" s="92"/>
      <c r="L41" s="92"/>
      <c r="M41" s="92"/>
      <c r="N41" s="92"/>
      <c r="O41" s="92"/>
      <c r="P41" s="92"/>
      <c r="Q41" s="92"/>
      <c r="R41" s="92"/>
    </row>
    <row r="42" spans="2:18" ht="36.5" customHeight="1">
      <c r="B42" s="24" t="s">
        <v>457</v>
      </c>
      <c r="C42" s="23" t="s">
        <v>458</v>
      </c>
      <c r="D42" s="95" t="s">
        <v>328</v>
      </c>
      <c r="E42" s="95" t="s">
        <v>328</v>
      </c>
      <c r="F42" s="95"/>
      <c r="G42" s="95"/>
      <c r="H42" s="95"/>
      <c r="I42" s="95"/>
      <c r="J42" s="95"/>
      <c r="K42" s="95"/>
      <c r="L42" s="95"/>
      <c r="M42" s="95"/>
      <c r="N42" s="95"/>
      <c r="O42" s="95"/>
      <c r="P42" s="95"/>
      <c r="Q42" s="95"/>
      <c r="R42" s="95"/>
    </row>
    <row r="43" spans="2:18" ht="36.5" customHeight="1">
      <c r="B43" s="25" t="s">
        <v>418</v>
      </c>
      <c r="C43" s="26" t="s">
        <v>419</v>
      </c>
      <c r="D43" s="85" t="s">
        <v>328</v>
      </c>
      <c r="E43" s="85" t="s">
        <v>328</v>
      </c>
      <c r="F43" s="85"/>
      <c r="G43" s="85"/>
      <c r="H43" s="85"/>
      <c r="I43" s="85"/>
      <c r="J43" s="85"/>
      <c r="K43" s="85"/>
      <c r="L43" s="85"/>
      <c r="M43" s="85"/>
      <c r="N43" s="85"/>
      <c r="O43" s="85"/>
      <c r="P43" s="85"/>
      <c r="Q43" s="85"/>
      <c r="R43" s="85"/>
    </row>
    <row r="44" spans="2:18" ht="36.5" customHeight="1">
      <c r="B44" s="25" t="s">
        <v>420</v>
      </c>
      <c r="C44" s="26" t="s">
        <v>421</v>
      </c>
      <c r="D44" s="85" t="s">
        <v>328</v>
      </c>
      <c r="E44" s="85" t="s">
        <v>328</v>
      </c>
      <c r="F44" s="85"/>
      <c r="G44" s="85"/>
      <c r="H44" s="85"/>
      <c r="I44" s="85"/>
      <c r="J44" s="85"/>
      <c r="K44" s="85"/>
      <c r="L44" s="85"/>
      <c r="M44" s="85"/>
      <c r="N44" s="85"/>
      <c r="O44" s="85"/>
      <c r="P44" s="85"/>
      <c r="Q44" s="85"/>
      <c r="R44" s="85"/>
    </row>
    <row r="45" spans="2:18" ht="36.5" customHeight="1">
      <c r="B45" s="27"/>
      <c r="C45" s="27"/>
      <c r="D45" s="338"/>
      <c r="E45" s="27"/>
      <c r="F45" s="27"/>
      <c r="G45" s="27"/>
      <c r="H45" s="27"/>
      <c r="I45" s="27"/>
      <c r="J45" s="27"/>
      <c r="K45" s="27"/>
      <c r="L45" s="27"/>
      <c r="M45" s="27"/>
      <c r="N45" s="27"/>
      <c r="O45" s="27"/>
      <c r="P45" s="27"/>
      <c r="Q45" s="27"/>
      <c r="R45" s="27"/>
    </row>
    <row r="46" spans="2:18" ht="36.5" customHeight="1">
      <c r="B46" s="27"/>
      <c r="C46" s="28" t="s">
        <v>423</v>
      </c>
      <c r="D46" s="339">
        <v>171</v>
      </c>
      <c r="E46" s="339">
        <v>5</v>
      </c>
      <c r="F46" s="85"/>
      <c r="G46" s="85"/>
      <c r="H46" s="85"/>
      <c r="I46" s="85"/>
      <c r="J46" s="85"/>
      <c r="K46" s="85"/>
      <c r="L46" s="85"/>
      <c r="M46" s="85"/>
      <c r="N46" s="85"/>
      <c r="O46" s="85"/>
      <c r="P46" s="85"/>
      <c r="Q46" s="85"/>
      <c r="R46" s="85"/>
    </row>
    <row r="47" spans="2:18" ht="36.5" customHeight="1">
      <c r="B47" s="27"/>
      <c r="C47" s="29" t="s">
        <v>424</v>
      </c>
      <c r="D47" s="339">
        <v>24</v>
      </c>
      <c r="E47" s="339">
        <v>4</v>
      </c>
      <c r="F47" s="85"/>
      <c r="G47" s="85"/>
      <c r="H47" s="85"/>
      <c r="I47" s="85"/>
      <c r="J47" s="85"/>
      <c r="K47" s="85"/>
      <c r="L47" s="85"/>
      <c r="M47" s="85"/>
      <c r="N47" s="85"/>
      <c r="O47" s="85"/>
      <c r="P47" s="85"/>
      <c r="Q47" s="85"/>
      <c r="R47" s="85"/>
    </row>
    <row r="48" spans="2:18" ht="36.5" customHeight="1">
      <c r="B48" s="27"/>
      <c r="C48" s="29" t="s">
        <v>425</v>
      </c>
      <c r="D48" s="339">
        <v>147</v>
      </c>
      <c r="E48" s="339">
        <v>1</v>
      </c>
      <c r="F48" s="85"/>
      <c r="G48" s="85"/>
      <c r="H48" s="85"/>
      <c r="I48" s="85"/>
      <c r="J48" s="85"/>
      <c r="K48" s="85"/>
      <c r="L48" s="85"/>
      <c r="M48" s="85"/>
      <c r="N48" s="85"/>
      <c r="O48" s="85"/>
      <c r="P48" s="85"/>
      <c r="Q48" s="85"/>
      <c r="R48" s="85"/>
    </row>
    <row r="49" spans="2:18" ht="10" customHeight="1">
      <c r="B49" s="27"/>
      <c r="C49" s="30"/>
      <c r="D49" s="340"/>
      <c r="E49" s="340"/>
      <c r="F49" s="96"/>
      <c r="G49" s="96"/>
      <c r="H49" s="96"/>
      <c r="I49" s="96"/>
      <c r="J49" s="96"/>
      <c r="K49" s="96"/>
      <c r="L49" s="96"/>
      <c r="M49" s="96"/>
      <c r="N49" s="96"/>
      <c r="O49" s="96"/>
      <c r="P49" s="96"/>
      <c r="Q49" s="96"/>
      <c r="R49" s="96"/>
    </row>
    <row r="50" spans="2:18" ht="36.5" customHeight="1">
      <c r="B50" s="27"/>
      <c r="C50" s="28" t="s">
        <v>426</v>
      </c>
      <c r="D50" s="339">
        <v>126</v>
      </c>
      <c r="E50" s="339">
        <v>6</v>
      </c>
      <c r="F50" s="85"/>
      <c r="G50" s="85"/>
      <c r="H50" s="85"/>
      <c r="I50" s="85"/>
      <c r="J50" s="85"/>
      <c r="K50" s="85"/>
      <c r="L50" s="85"/>
      <c r="M50" s="85"/>
      <c r="N50" s="85"/>
      <c r="O50" s="85"/>
      <c r="P50" s="85"/>
      <c r="Q50" s="85"/>
      <c r="R50" s="85"/>
    </row>
    <row r="51" spans="2:18" ht="33.5" customHeight="1">
      <c r="B51" s="27"/>
      <c r="C51" s="29" t="s">
        <v>424</v>
      </c>
      <c r="D51" s="339">
        <v>104</v>
      </c>
      <c r="E51" s="339">
        <v>5</v>
      </c>
      <c r="F51" s="85"/>
      <c r="G51" s="85"/>
      <c r="H51" s="85"/>
      <c r="I51" s="85"/>
      <c r="J51" s="85"/>
      <c r="K51" s="85"/>
      <c r="L51" s="85"/>
      <c r="M51" s="85"/>
      <c r="N51" s="85"/>
      <c r="O51" s="85"/>
      <c r="P51" s="85"/>
      <c r="Q51" s="85"/>
      <c r="R51" s="85"/>
    </row>
    <row r="52" spans="2:18" ht="36.5" customHeight="1">
      <c r="B52" s="27"/>
      <c r="C52" s="29" t="s">
        <v>425</v>
      </c>
      <c r="D52" s="339">
        <v>22</v>
      </c>
      <c r="E52" s="339">
        <v>1</v>
      </c>
      <c r="F52" s="85"/>
      <c r="G52" s="85"/>
      <c r="H52" s="85"/>
      <c r="I52" s="85"/>
      <c r="J52" s="85"/>
      <c r="K52" s="85"/>
      <c r="L52" s="85"/>
      <c r="M52" s="85"/>
      <c r="N52" s="85"/>
      <c r="O52" s="85"/>
      <c r="P52" s="85"/>
      <c r="Q52" s="85"/>
      <c r="R52" s="85"/>
    </row>
    <row r="53" spans="2:18" ht="12" customHeight="1">
      <c r="B53" s="27"/>
      <c r="C53" s="31"/>
      <c r="D53" s="340"/>
      <c r="E53" s="340"/>
      <c r="F53" s="96"/>
      <c r="G53" s="96"/>
      <c r="H53" s="96"/>
      <c r="I53" s="96"/>
      <c r="J53" s="96"/>
      <c r="K53" s="96"/>
      <c r="L53" s="96"/>
      <c r="M53" s="96"/>
      <c r="N53" s="96"/>
      <c r="O53" s="96"/>
      <c r="P53" s="96"/>
      <c r="Q53" s="96"/>
      <c r="R53" s="96"/>
    </row>
    <row r="54" spans="2:18" ht="29" customHeight="1">
      <c r="B54" s="27"/>
      <c r="C54" s="28" t="s">
        <v>427</v>
      </c>
      <c r="D54" s="339" t="s">
        <v>414</v>
      </c>
      <c r="E54" s="339" t="s">
        <v>328</v>
      </c>
      <c r="F54" s="85"/>
      <c r="G54" s="85"/>
      <c r="H54" s="85"/>
      <c r="I54" s="85"/>
      <c r="J54" s="85"/>
      <c r="K54" s="85"/>
      <c r="L54" s="85"/>
      <c r="M54" s="85"/>
      <c r="N54" s="85"/>
      <c r="O54" s="85"/>
      <c r="P54" s="85"/>
      <c r="Q54" s="85"/>
      <c r="R54" s="85"/>
    </row>
    <row r="55" spans="2:18" ht="36.5" customHeight="1">
      <c r="B55" s="27"/>
      <c r="C55" s="28" t="s">
        <v>428</v>
      </c>
      <c r="D55" s="339">
        <v>80</v>
      </c>
      <c r="E55" s="339">
        <v>0</v>
      </c>
      <c r="F55" s="85"/>
      <c r="G55" s="85"/>
      <c r="H55" s="85"/>
      <c r="I55" s="85"/>
      <c r="J55" s="85"/>
      <c r="K55" s="85"/>
      <c r="L55" s="85"/>
      <c r="M55" s="85"/>
      <c r="N55" s="85"/>
      <c r="O55" s="85"/>
      <c r="P55" s="85"/>
      <c r="Q55" s="85"/>
      <c r="R55" s="85"/>
    </row>
    <row r="56" spans="2:18" ht="33.5" customHeight="1">
      <c r="B56" s="27"/>
      <c r="C56" s="330" t="s">
        <v>429</v>
      </c>
      <c r="D56" s="341">
        <v>100</v>
      </c>
      <c r="E56" s="341">
        <v>0</v>
      </c>
      <c r="F56" s="95"/>
      <c r="G56" s="95"/>
      <c r="H56" s="95"/>
      <c r="I56" s="95"/>
      <c r="J56" s="95"/>
      <c r="K56" s="95"/>
      <c r="L56" s="95"/>
      <c r="M56" s="95"/>
      <c r="N56" s="95"/>
      <c r="O56" s="95"/>
      <c r="P56" s="95"/>
      <c r="Q56" s="95"/>
      <c r="R56" s="95"/>
    </row>
    <row r="57" spans="2:18" ht="56" customHeight="1">
      <c r="C57" s="331" t="s">
        <v>430</v>
      </c>
      <c r="D57" s="342">
        <v>2</v>
      </c>
      <c r="E57" s="342">
        <v>2</v>
      </c>
      <c r="F57" s="71"/>
      <c r="G57" s="71"/>
      <c r="H57" s="71"/>
      <c r="I57" s="71"/>
      <c r="J57" s="71"/>
      <c r="K57" s="71"/>
      <c r="L57" s="71"/>
      <c r="M57" s="71"/>
      <c r="N57" s="71"/>
      <c r="O57" s="71"/>
      <c r="P57" s="71"/>
      <c r="Q57" s="71"/>
      <c r="R57" s="71"/>
    </row>
    <row r="58" spans="2:18" ht="57" customHeight="1">
      <c r="C58" s="331" t="s">
        <v>431</v>
      </c>
      <c r="D58" s="342">
        <v>1</v>
      </c>
      <c r="E58" s="342">
        <v>1</v>
      </c>
      <c r="F58" s="71"/>
      <c r="G58" s="71"/>
      <c r="H58" s="71"/>
      <c r="I58" s="71"/>
      <c r="J58" s="71"/>
      <c r="K58" s="71"/>
      <c r="L58" s="71"/>
      <c r="M58" s="71"/>
      <c r="N58" s="71"/>
      <c r="O58" s="71"/>
      <c r="P58" s="71"/>
      <c r="Q58" s="71"/>
      <c r="R58" s="71"/>
    </row>
    <row r="60" spans="2:18" ht="17" customHeight="1">
      <c r="D60" s="1" t="s">
        <v>432</v>
      </c>
    </row>
    <row r="61" spans="2:18" ht="17" customHeight="1">
      <c r="D61" s="97" t="s">
        <v>433</v>
      </c>
    </row>
    <row r="62" spans="2:18" ht="17" customHeight="1">
      <c r="D62" s="98" t="s">
        <v>434</v>
      </c>
    </row>
    <row r="63" spans="2:18" ht="17" customHeight="1">
      <c r="D63" s="98" t="s">
        <v>435</v>
      </c>
    </row>
    <row r="64" spans="2:18" ht="17" customHeight="1">
      <c r="D64" s="98" t="s">
        <v>436</v>
      </c>
    </row>
    <row r="65" spans="4:4" ht="17" customHeight="1">
      <c r="D65" s="98" t="s">
        <v>437</v>
      </c>
    </row>
    <row r="66" spans="4:4" ht="17" customHeight="1">
      <c r="D66" s="98" t="s">
        <v>438</v>
      </c>
    </row>
    <row r="67" spans="4:4" ht="17" customHeight="1"/>
    <row r="68" spans="4:4" ht="17" customHeight="1">
      <c r="D68" s="99" t="s">
        <v>439</v>
      </c>
    </row>
  </sheetData>
  <mergeCells count="2">
    <mergeCell ref="C6:D6"/>
    <mergeCell ref="C7:D7"/>
  </mergeCells>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127" priority="3">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2 B30">
    <cfRule type="colorScale" priority="6">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126" priority="5">
      <formula>#REF!="Owned"</formula>
    </cfRule>
  </conditionalFormatting>
  <conditionalFormatting sqref="C27:C32">
    <cfRule type="expression" dxfId="125" priority="1">
      <formula>#REF!="Owned"</formula>
    </cfRule>
  </conditionalFormatting>
  <dataValidations count="1">
    <dataValidation type="list" allowBlank="1" showInputMessage="1" showErrorMessage="1" sqref="E6" xr:uid="{9C0EC885-94AF-440D-84E4-8CC2F70D186D}">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A0F86-4622-4178-B35F-48C403D22A59}">
  <sheetPr codeName="Feuil13">
    <tabColor rgb="FF00B050"/>
  </sheetPr>
  <dimension ref="B2:M58"/>
  <sheetViews>
    <sheetView topLeftCell="A50" zoomScale="70" zoomScaleNormal="70" workbookViewId="0">
      <selection activeCell="D28" sqref="D28"/>
    </sheetView>
  </sheetViews>
  <sheetFormatPr baseColWidth="10" defaultColWidth="11.5" defaultRowHeight="13"/>
  <cols>
    <col min="3" max="3" width="15.5" customWidth="1"/>
    <col min="4" max="13" width="22.83203125" customWidth="1"/>
  </cols>
  <sheetData>
    <row r="2" spans="2:13">
      <c r="C2" s="504" t="s">
        <v>323</v>
      </c>
      <c r="D2" s="397">
        <v>46042</v>
      </c>
      <c r="E2" s="1"/>
      <c r="F2" s="3"/>
      <c r="G2" s="3"/>
      <c r="H2" s="3"/>
      <c r="I2" s="4"/>
      <c r="J2" s="1"/>
      <c r="K2" s="1"/>
      <c r="L2" s="1"/>
      <c r="M2" s="1"/>
    </row>
    <row r="3" spans="2:13">
      <c r="C3" s="1"/>
      <c r="D3" s="1"/>
      <c r="E3" s="1"/>
      <c r="F3" s="1"/>
      <c r="G3" s="1"/>
      <c r="H3" s="1"/>
      <c r="I3" s="1"/>
      <c r="J3" s="1"/>
      <c r="K3" s="1"/>
      <c r="L3" s="1"/>
      <c r="M3" s="1"/>
    </row>
    <row r="4" spans="2:13">
      <c r="C4" s="33" t="s">
        <v>324</v>
      </c>
      <c r="D4" s="82" t="s">
        <v>256</v>
      </c>
      <c r="E4" s="82" t="s">
        <v>256</v>
      </c>
      <c r="F4" s="82" t="s">
        <v>256</v>
      </c>
      <c r="I4" s="5"/>
      <c r="J4" s="1"/>
      <c r="K4" s="1"/>
      <c r="L4" s="1"/>
      <c r="M4" s="1"/>
    </row>
    <row r="5" spans="2:13">
      <c r="C5" s="35"/>
      <c r="E5" s="1"/>
      <c r="F5" s="1"/>
      <c r="G5" s="1"/>
      <c r="H5" s="1"/>
      <c r="I5" s="1"/>
      <c r="J5" s="1"/>
      <c r="K5" s="1"/>
      <c r="L5" s="1"/>
      <c r="M5" s="1"/>
    </row>
    <row r="6" spans="2:13" ht="28.5" customHeight="1">
      <c r="C6" s="589" t="s">
        <v>327</v>
      </c>
      <c r="D6" s="591"/>
      <c r="E6" s="6" t="s">
        <v>328</v>
      </c>
      <c r="F6" s="124"/>
      <c r="G6" s="124"/>
      <c r="H6" s="124"/>
      <c r="J6" s="1"/>
      <c r="K6" s="1"/>
      <c r="L6" s="1"/>
      <c r="M6" s="1"/>
    </row>
    <row r="7" spans="2:13">
      <c r="C7" s="589" t="s">
        <v>329</v>
      </c>
      <c r="D7" s="591"/>
      <c r="E7" s="6"/>
      <c r="F7" s="124"/>
      <c r="G7" s="124"/>
      <c r="H7" s="124"/>
      <c r="J7" s="1"/>
      <c r="K7" s="1"/>
      <c r="L7" s="1"/>
      <c r="M7" s="1"/>
    </row>
    <row r="8" spans="2:13">
      <c r="C8" s="68"/>
      <c r="D8" s="68"/>
      <c r="E8" s="68"/>
      <c r="F8" s="68"/>
      <c r="G8" s="68"/>
      <c r="H8" s="68"/>
      <c r="I8" s="42"/>
      <c r="J8" s="1"/>
      <c r="K8" s="1"/>
      <c r="L8" s="1"/>
      <c r="M8" s="1"/>
    </row>
    <row r="9" spans="2:13">
      <c r="C9" s="69" t="s">
        <v>441</v>
      </c>
      <c r="D9" s="74" t="s">
        <v>617</v>
      </c>
      <c r="E9" s="74" t="s">
        <v>617</v>
      </c>
      <c r="F9" s="74" t="s">
        <v>617</v>
      </c>
      <c r="G9" s="67"/>
      <c r="H9" s="67"/>
      <c r="I9" s="67"/>
      <c r="J9" s="67"/>
      <c r="K9" s="67"/>
      <c r="L9" s="67"/>
      <c r="M9" s="67"/>
    </row>
    <row r="10" spans="2:13" ht="14">
      <c r="C10" s="70" t="s">
        <v>331</v>
      </c>
      <c r="D10" s="417" t="s">
        <v>618</v>
      </c>
      <c r="E10" s="417" t="s">
        <v>619</v>
      </c>
      <c r="F10" s="417" t="s">
        <v>620</v>
      </c>
      <c r="G10" s="84" t="s">
        <v>464</v>
      </c>
      <c r="H10" s="84" t="s">
        <v>465</v>
      </c>
      <c r="I10" s="84" t="s">
        <v>466</v>
      </c>
      <c r="J10" s="84" t="s">
        <v>467</v>
      </c>
      <c r="K10" s="84" t="s">
        <v>468</v>
      </c>
      <c r="L10" s="84" t="s">
        <v>469</v>
      </c>
      <c r="M10" s="84" t="s">
        <v>470</v>
      </c>
    </row>
    <row r="11" spans="2:13" ht="28">
      <c r="C11" s="104" t="s">
        <v>299</v>
      </c>
      <c r="D11" s="417" t="s">
        <v>621</v>
      </c>
      <c r="E11" s="417" t="s">
        <v>621</v>
      </c>
      <c r="F11" s="417" t="s">
        <v>622</v>
      </c>
      <c r="G11" s="84"/>
      <c r="H11" s="84"/>
      <c r="I11" s="84"/>
      <c r="J11" s="84"/>
      <c r="K11" s="84"/>
      <c r="L11" s="84"/>
      <c r="M11" s="84"/>
    </row>
    <row r="12" spans="2:13" ht="14">
      <c r="C12" s="32"/>
      <c r="D12" s="418"/>
      <c r="E12" s="421" t="s">
        <v>623</v>
      </c>
      <c r="F12" s="416" t="s">
        <v>624</v>
      </c>
      <c r="G12" s="44"/>
      <c r="H12" s="45"/>
      <c r="I12" s="46"/>
      <c r="J12" s="44"/>
      <c r="K12" s="47"/>
      <c r="L12" s="48"/>
      <c r="M12" s="44"/>
    </row>
    <row r="13" spans="2:13" ht="48">
      <c r="B13" s="7" t="s">
        <v>348</v>
      </c>
      <c r="C13" s="398" t="s">
        <v>349</v>
      </c>
      <c r="D13" s="422" t="s">
        <v>625</v>
      </c>
      <c r="E13" s="422" t="s">
        <v>626</v>
      </c>
      <c r="F13" s="422" t="s">
        <v>627</v>
      </c>
      <c r="G13" s="71"/>
      <c r="H13" s="71"/>
      <c r="I13" s="71"/>
      <c r="J13" s="71"/>
      <c r="K13" s="71"/>
      <c r="L13" s="71"/>
      <c r="M13" s="71"/>
    </row>
    <row r="14" spans="2:13" ht="56">
      <c r="B14" s="7" t="s">
        <v>352</v>
      </c>
      <c r="C14" s="398" t="s">
        <v>297</v>
      </c>
      <c r="D14" s="422" t="s">
        <v>258</v>
      </c>
      <c r="E14" s="422" t="s">
        <v>258</v>
      </c>
      <c r="F14" s="422" t="s">
        <v>260</v>
      </c>
      <c r="G14" s="71"/>
      <c r="H14" s="71"/>
      <c r="I14" s="71"/>
      <c r="J14" s="71"/>
      <c r="K14" s="71"/>
      <c r="L14" s="71"/>
      <c r="M14" s="71"/>
    </row>
    <row r="15" spans="2:13" ht="36">
      <c r="B15" s="7" t="s">
        <v>353</v>
      </c>
      <c r="C15" s="398" t="s">
        <v>354</v>
      </c>
      <c r="D15" s="422" t="s">
        <v>259</v>
      </c>
      <c r="E15" s="422" t="s">
        <v>259</v>
      </c>
      <c r="F15" s="422" t="s">
        <v>261</v>
      </c>
      <c r="G15" s="71"/>
      <c r="H15" s="71"/>
      <c r="I15" s="71"/>
      <c r="J15" s="71"/>
      <c r="K15" s="71"/>
      <c r="L15" s="71"/>
      <c r="M15" s="71"/>
    </row>
    <row r="16" spans="2:13" ht="24">
      <c r="B16" s="7" t="s">
        <v>355</v>
      </c>
      <c r="C16" s="398" t="s">
        <v>356</v>
      </c>
      <c r="D16" s="422" t="s">
        <v>410</v>
      </c>
      <c r="E16" s="422" t="s">
        <v>410</v>
      </c>
      <c r="F16" s="422" t="s">
        <v>410</v>
      </c>
      <c r="G16" s="71"/>
      <c r="H16" s="71"/>
      <c r="I16" s="71"/>
      <c r="J16" s="71"/>
      <c r="K16" s="71"/>
      <c r="L16" s="71"/>
      <c r="M16" s="71"/>
    </row>
    <row r="17" spans="2:13" ht="24">
      <c r="B17" s="7" t="s">
        <v>357</v>
      </c>
      <c r="C17" s="398" t="s">
        <v>294</v>
      </c>
      <c r="D17" s="422" t="s">
        <v>257</v>
      </c>
      <c r="E17" s="422" t="s">
        <v>257</v>
      </c>
      <c r="F17" s="422" t="s">
        <v>257</v>
      </c>
      <c r="G17" s="71"/>
      <c r="H17" s="71"/>
      <c r="I17" s="71"/>
      <c r="J17" s="71"/>
      <c r="K17" s="71"/>
      <c r="L17" s="71"/>
      <c r="M17" s="71"/>
    </row>
    <row r="18" spans="2:13" ht="14">
      <c r="B18" s="9" t="s">
        <v>358</v>
      </c>
      <c r="C18" s="399" t="s">
        <v>359</v>
      </c>
      <c r="D18" s="422" t="s">
        <v>360</v>
      </c>
      <c r="E18" s="422" t="s">
        <v>360</v>
      </c>
      <c r="F18" s="422" t="s">
        <v>360</v>
      </c>
      <c r="G18" s="71"/>
      <c r="H18" s="71"/>
      <c r="I18" s="71"/>
      <c r="J18" s="71"/>
      <c r="K18" s="71"/>
      <c r="L18" s="71"/>
      <c r="M18" s="71"/>
    </row>
    <row r="19" spans="2:13" ht="70">
      <c r="B19" s="9" t="s">
        <v>361</v>
      </c>
      <c r="C19" s="399" t="s">
        <v>362</v>
      </c>
      <c r="D19" s="422" t="s">
        <v>328</v>
      </c>
      <c r="E19" s="422" t="s">
        <v>328</v>
      </c>
      <c r="F19" s="422" t="s">
        <v>328</v>
      </c>
      <c r="G19" s="71"/>
      <c r="H19" s="71"/>
      <c r="I19" s="71"/>
      <c r="J19" s="71"/>
      <c r="K19" s="71"/>
      <c r="L19" s="71"/>
      <c r="M19" s="71"/>
    </row>
    <row r="20" spans="2:13" ht="72">
      <c r="B20" s="9" t="s">
        <v>363</v>
      </c>
      <c r="C20" s="399" t="s">
        <v>364</v>
      </c>
      <c r="D20" s="422" t="s">
        <v>328</v>
      </c>
      <c r="E20" s="422" t="s">
        <v>328</v>
      </c>
      <c r="F20" s="422" t="s">
        <v>328</v>
      </c>
      <c r="G20" s="71"/>
      <c r="H20" s="71"/>
      <c r="I20" s="71"/>
      <c r="J20" s="71"/>
      <c r="K20" s="71"/>
      <c r="L20" s="71"/>
      <c r="M20" s="71"/>
    </row>
    <row r="21" spans="2:13" ht="36">
      <c r="B21" s="11" t="s">
        <v>365</v>
      </c>
      <c r="C21" s="400" t="s">
        <v>366</v>
      </c>
      <c r="D21" s="422" t="s">
        <v>628</v>
      </c>
      <c r="E21" s="422" t="s">
        <v>628</v>
      </c>
      <c r="F21" s="422" t="s">
        <v>629</v>
      </c>
      <c r="G21" s="71"/>
      <c r="H21" s="71"/>
      <c r="I21" s="71"/>
      <c r="J21" s="71"/>
      <c r="K21" s="71"/>
      <c r="L21" s="71"/>
      <c r="M21" s="71"/>
    </row>
    <row r="22" spans="2:13" ht="42">
      <c r="B22" s="11" t="s">
        <v>369</v>
      </c>
      <c r="C22" s="400" t="s">
        <v>370</v>
      </c>
      <c r="D22" s="422" t="s">
        <v>630</v>
      </c>
      <c r="E22" s="422" t="s">
        <v>630</v>
      </c>
      <c r="F22" s="422" t="s">
        <v>631</v>
      </c>
      <c r="G22" s="71"/>
      <c r="H22" s="71"/>
      <c r="I22" s="71"/>
      <c r="J22" s="71"/>
      <c r="K22" s="71"/>
      <c r="L22" s="71"/>
      <c r="M22" s="71"/>
    </row>
    <row r="23" spans="2:13" ht="14">
      <c r="B23" s="13" t="s">
        <v>477</v>
      </c>
      <c r="C23" s="401" t="s">
        <v>374</v>
      </c>
      <c r="D23" s="422" t="s">
        <v>374</v>
      </c>
      <c r="E23" s="422" t="s">
        <v>632</v>
      </c>
      <c r="F23" s="422" t="s">
        <v>374</v>
      </c>
      <c r="G23" s="71"/>
      <c r="H23" s="71"/>
      <c r="I23" s="71"/>
      <c r="J23" s="71"/>
      <c r="K23" s="71"/>
      <c r="L23" s="71"/>
      <c r="M23" s="71"/>
    </row>
    <row r="24" spans="2:13" ht="60">
      <c r="B24" s="13" t="s">
        <v>375</v>
      </c>
      <c r="C24" s="401" t="s">
        <v>376</v>
      </c>
      <c r="D24" s="424">
        <v>5380</v>
      </c>
      <c r="E24" s="424">
        <v>130</v>
      </c>
      <c r="F24" s="424">
        <v>37.159999999999997</v>
      </c>
      <c r="G24" s="71"/>
      <c r="H24" s="71"/>
      <c r="I24" s="71"/>
      <c r="J24" s="71"/>
      <c r="K24" s="71"/>
      <c r="L24" s="71"/>
      <c r="M24" s="71"/>
    </row>
    <row r="25" spans="2:13" ht="60">
      <c r="B25" s="15" t="s">
        <v>377</v>
      </c>
      <c r="C25" s="402" t="s">
        <v>378</v>
      </c>
      <c r="D25" s="417">
        <v>130</v>
      </c>
      <c r="E25" s="417">
        <v>130</v>
      </c>
      <c r="F25" s="417">
        <v>0</v>
      </c>
      <c r="G25" s="71"/>
      <c r="H25" s="71"/>
      <c r="I25" s="71"/>
      <c r="J25" s="71"/>
      <c r="K25" s="71"/>
      <c r="L25" s="71"/>
      <c r="M25" s="71"/>
    </row>
    <row r="26" spans="2:13" ht="60">
      <c r="B26" s="15" t="s">
        <v>380</v>
      </c>
      <c r="C26" s="402" t="s">
        <v>381</v>
      </c>
      <c r="D26" s="422" t="s">
        <v>633</v>
      </c>
      <c r="E26" s="422" t="s">
        <v>633</v>
      </c>
      <c r="F26" s="422" t="s">
        <v>633</v>
      </c>
      <c r="G26" s="71"/>
      <c r="H26" s="71"/>
      <c r="I26" s="71"/>
      <c r="J26" s="71"/>
      <c r="K26" s="71"/>
      <c r="L26" s="71"/>
      <c r="M26" s="71"/>
    </row>
    <row r="27" spans="2:13" ht="14">
      <c r="B27" s="40" t="s">
        <v>383</v>
      </c>
      <c r="C27" s="403" t="s">
        <v>383</v>
      </c>
      <c r="D27" s="425">
        <f>2196331.2*12</f>
        <v>26355974.400000002</v>
      </c>
      <c r="E27" s="429">
        <v>1170000</v>
      </c>
      <c r="F27" s="425">
        <v>300000</v>
      </c>
      <c r="G27" s="71"/>
      <c r="H27" s="71"/>
      <c r="I27" s="71"/>
      <c r="J27" s="71"/>
      <c r="K27" s="71"/>
      <c r="L27" s="71"/>
      <c r="M27" s="71"/>
    </row>
    <row r="28" spans="2:13" ht="60">
      <c r="B28" s="15" t="s">
        <v>384</v>
      </c>
      <c r="C28" s="402" t="s">
        <v>634</v>
      </c>
      <c r="D28" s="431">
        <f>D27/D24</f>
        <v>4898.88</v>
      </c>
      <c r="E28" s="431">
        <f>E27/E24</f>
        <v>9000</v>
      </c>
      <c r="F28" s="432">
        <f>F27/F24</f>
        <v>8073.1969860064592</v>
      </c>
      <c r="G28" s="71"/>
      <c r="H28" s="71"/>
      <c r="I28" s="71"/>
      <c r="J28" s="71"/>
      <c r="K28" s="71"/>
      <c r="L28" s="71"/>
      <c r="M28" s="71"/>
    </row>
    <row r="29" spans="2:13" ht="72">
      <c r="B29" s="15" t="s">
        <v>387</v>
      </c>
      <c r="C29" s="402" t="s">
        <v>388</v>
      </c>
      <c r="D29" s="422" t="s">
        <v>635</v>
      </c>
      <c r="E29" s="422" t="s">
        <v>636</v>
      </c>
      <c r="F29" s="422" t="s">
        <v>637</v>
      </c>
      <c r="G29" s="71"/>
      <c r="H29" s="71"/>
      <c r="I29" s="71"/>
      <c r="J29" s="71"/>
      <c r="K29" s="71"/>
      <c r="L29" s="71"/>
      <c r="M29" s="71"/>
    </row>
    <row r="30" spans="2:13" ht="86">
      <c r="B30" s="13" t="s">
        <v>390</v>
      </c>
      <c r="C30" s="404" t="s">
        <v>453</v>
      </c>
      <c r="D30" s="433">
        <f>D31/D24</f>
        <v>1554.8203717472118</v>
      </c>
      <c r="E30" s="433">
        <f>E31/E24</f>
        <v>0</v>
      </c>
      <c r="F30" s="433">
        <f>F31/F24</f>
        <v>0</v>
      </c>
      <c r="G30" s="71"/>
      <c r="H30" s="71"/>
      <c r="I30" s="71"/>
      <c r="J30" s="71"/>
      <c r="K30" s="71"/>
      <c r="L30" s="71"/>
      <c r="M30" s="71"/>
    </row>
    <row r="31" spans="2:13" ht="28">
      <c r="B31" s="13"/>
      <c r="C31" s="405" t="s">
        <v>393</v>
      </c>
      <c r="D31" s="433">
        <f>5647708.8+2717224.8</f>
        <v>8364933.5999999996</v>
      </c>
      <c r="E31" s="433"/>
      <c r="F31" s="433"/>
      <c r="G31" s="71"/>
      <c r="H31" s="71"/>
      <c r="I31" s="71"/>
      <c r="J31" s="71"/>
      <c r="K31" s="71"/>
      <c r="L31" s="71"/>
      <c r="M31" s="71"/>
    </row>
    <row r="32" spans="2:13" ht="72">
      <c r="B32" s="13" t="s">
        <v>394</v>
      </c>
      <c r="C32" s="404" t="s">
        <v>395</v>
      </c>
      <c r="D32" s="422" t="s">
        <v>638</v>
      </c>
      <c r="E32" s="75"/>
      <c r="F32" s="75"/>
      <c r="G32" s="71"/>
      <c r="H32" s="71"/>
      <c r="I32" s="71"/>
      <c r="J32" s="71"/>
      <c r="K32" s="71"/>
      <c r="L32" s="71"/>
      <c r="M32" s="71"/>
    </row>
    <row r="33" spans="2:13" ht="24">
      <c r="B33" s="18" t="s">
        <v>397</v>
      </c>
      <c r="C33" s="406" t="s">
        <v>313</v>
      </c>
      <c r="D33" s="436">
        <v>45078</v>
      </c>
      <c r="E33" s="436">
        <v>45261</v>
      </c>
      <c r="F33" s="436">
        <v>44501</v>
      </c>
      <c r="G33" s="71"/>
      <c r="H33" s="71"/>
      <c r="I33" s="71"/>
      <c r="J33" s="71"/>
      <c r="K33" s="71"/>
      <c r="L33" s="71"/>
      <c r="M33" s="71"/>
    </row>
    <row r="34" spans="2:13" ht="36">
      <c r="B34" s="20" t="s">
        <v>398</v>
      </c>
      <c r="C34" s="406" t="s">
        <v>315</v>
      </c>
      <c r="D34" s="436">
        <v>48365</v>
      </c>
      <c r="E34" s="436">
        <v>46356</v>
      </c>
      <c r="F34" s="436">
        <v>46325</v>
      </c>
      <c r="G34" s="71"/>
      <c r="H34" s="71"/>
      <c r="I34" s="71"/>
      <c r="J34" s="71"/>
      <c r="K34" s="71"/>
      <c r="L34" s="71"/>
      <c r="M34" s="71"/>
    </row>
    <row r="35" spans="2:13" ht="36">
      <c r="B35" s="20" t="s">
        <v>399</v>
      </c>
      <c r="C35" s="406" t="s">
        <v>400</v>
      </c>
      <c r="D35" s="422" t="s">
        <v>410</v>
      </c>
      <c r="E35" s="422" t="s">
        <v>636</v>
      </c>
      <c r="F35" s="422" t="s">
        <v>636</v>
      </c>
      <c r="G35" s="71"/>
      <c r="H35" s="71"/>
      <c r="I35" s="71"/>
      <c r="J35" s="71"/>
      <c r="K35" s="71"/>
      <c r="L35" s="71"/>
      <c r="M35" s="71"/>
    </row>
    <row r="36" spans="2:13" ht="56">
      <c r="B36" s="20" t="s">
        <v>402</v>
      </c>
      <c r="C36" s="21" t="s">
        <v>403</v>
      </c>
      <c r="D36" s="422" t="s">
        <v>414</v>
      </c>
      <c r="E36" s="422" t="s">
        <v>498</v>
      </c>
      <c r="F36" s="422" t="s">
        <v>414</v>
      </c>
      <c r="G36" s="71"/>
      <c r="H36" s="71"/>
      <c r="I36" s="71"/>
      <c r="J36" s="71"/>
      <c r="K36" s="71"/>
      <c r="L36" s="71"/>
      <c r="M36" s="71"/>
    </row>
    <row r="37" spans="2:13" ht="84">
      <c r="B37" s="20" t="s">
        <v>404</v>
      </c>
      <c r="C37" s="21" t="s">
        <v>405</v>
      </c>
      <c r="D37" s="422" t="s">
        <v>639</v>
      </c>
      <c r="E37" s="422"/>
      <c r="F37" s="422" t="s">
        <v>640</v>
      </c>
      <c r="G37" s="71"/>
      <c r="H37" s="71"/>
      <c r="I37" s="71"/>
      <c r="J37" s="71"/>
      <c r="K37" s="71"/>
      <c r="L37" s="71"/>
      <c r="M37" s="71"/>
    </row>
    <row r="38" spans="2:13" ht="36">
      <c r="B38" s="20" t="s">
        <v>406</v>
      </c>
      <c r="C38" s="21" t="s">
        <v>407</v>
      </c>
      <c r="D38" s="422" t="s">
        <v>328</v>
      </c>
      <c r="E38" s="422" t="s">
        <v>498</v>
      </c>
      <c r="F38" s="422" t="s">
        <v>498</v>
      </c>
      <c r="G38" s="71"/>
      <c r="H38" s="71"/>
      <c r="I38" s="71"/>
      <c r="J38" s="71"/>
      <c r="K38" s="71"/>
      <c r="L38" s="71"/>
      <c r="M38" s="71"/>
    </row>
    <row r="39" spans="2:13" ht="42">
      <c r="B39" s="20" t="s">
        <v>408</v>
      </c>
      <c r="C39" s="21" t="s">
        <v>409</v>
      </c>
      <c r="D39" s="422" t="s">
        <v>328</v>
      </c>
      <c r="E39" s="422" t="s">
        <v>498</v>
      </c>
      <c r="F39" s="422" t="s">
        <v>498</v>
      </c>
      <c r="G39" s="71"/>
      <c r="H39" s="71"/>
      <c r="I39" s="71"/>
      <c r="J39" s="71"/>
      <c r="K39" s="71"/>
      <c r="L39" s="71"/>
      <c r="M39" s="71"/>
    </row>
    <row r="40" spans="2:13" ht="48">
      <c r="B40" s="20" t="s">
        <v>411</v>
      </c>
      <c r="C40" s="21" t="s">
        <v>314</v>
      </c>
      <c r="D40" s="436">
        <v>48365</v>
      </c>
      <c r="E40" s="436">
        <v>46356</v>
      </c>
      <c r="F40" s="436">
        <v>46325</v>
      </c>
      <c r="G40" s="71"/>
      <c r="H40" s="71"/>
      <c r="I40" s="71"/>
      <c r="J40" s="71"/>
      <c r="K40" s="71"/>
      <c r="L40" s="71"/>
      <c r="M40" s="71"/>
    </row>
    <row r="41" spans="2:13" ht="84">
      <c r="B41" s="22" t="s">
        <v>412</v>
      </c>
      <c r="C41" s="23" t="s">
        <v>413</v>
      </c>
      <c r="D41" s="438" t="s">
        <v>328</v>
      </c>
      <c r="E41" s="438" t="s">
        <v>498</v>
      </c>
      <c r="F41" s="438" t="s">
        <v>498</v>
      </c>
      <c r="G41" s="71"/>
      <c r="H41" s="71"/>
      <c r="I41" s="71"/>
      <c r="J41" s="71"/>
      <c r="K41" s="71"/>
      <c r="L41" s="71"/>
      <c r="M41" s="71"/>
    </row>
    <row r="42" spans="2:13" ht="112">
      <c r="B42" s="24" t="s">
        <v>457</v>
      </c>
      <c r="C42" s="23" t="s">
        <v>483</v>
      </c>
      <c r="D42" s="422" t="s">
        <v>328</v>
      </c>
      <c r="E42" s="422" t="s">
        <v>555</v>
      </c>
      <c r="F42" s="422" t="s">
        <v>498</v>
      </c>
      <c r="G42" s="71"/>
      <c r="H42" s="71"/>
      <c r="I42" s="71"/>
      <c r="J42" s="71"/>
      <c r="K42" s="71"/>
      <c r="L42" s="71"/>
      <c r="M42" s="71"/>
    </row>
    <row r="43" spans="2:13" ht="84">
      <c r="B43" s="25" t="s">
        <v>418</v>
      </c>
      <c r="C43" s="407" t="s">
        <v>419</v>
      </c>
      <c r="D43" s="422" t="s">
        <v>410</v>
      </c>
      <c r="E43" s="422" t="s">
        <v>498</v>
      </c>
      <c r="F43" s="422" t="s">
        <v>498</v>
      </c>
      <c r="G43" s="71"/>
      <c r="H43" s="71"/>
      <c r="I43" s="71"/>
      <c r="J43" s="71"/>
      <c r="K43" s="71"/>
      <c r="L43" s="71"/>
      <c r="M43" s="71"/>
    </row>
    <row r="44" spans="2:13" ht="132">
      <c r="B44" s="25" t="s">
        <v>420</v>
      </c>
      <c r="C44" s="407" t="s">
        <v>421</v>
      </c>
      <c r="D44" s="422" t="s">
        <v>328</v>
      </c>
      <c r="E44" s="422" t="s">
        <v>498</v>
      </c>
      <c r="F44" s="422" t="s">
        <v>498</v>
      </c>
      <c r="G44" s="71"/>
      <c r="H44" s="71"/>
      <c r="I44" s="71"/>
      <c r="J44" s="71"/>
      <c r="K44" s="71"/>
      <c r="L44" s="71"/>
      <c r="M44" s="71"/>
    </row>
    <row r="45" spans="2:13" ht="14">
      <c r="B45" s="27"/>
      <c r="C45" s="27"/>
      <c r="D45" s="72"/>
      <c r="E45" s="72"/>
      <c r="F45" s="72"/>
    </row>
    <row r="46" spans="2:13" ht="42">
      <c r="B46" s="27"/>
      <c r="C46" s="28" t="s">
        <v>484</v>
      </c>
      <c r="D46" s="417">
        <v>1251</v>
      </c>
      <c r="E46" s="417">
        <v>0</v>
      </c>
      <c r="F46" s="417">
        <v>0</v>
      </c>
      <c r="G46" s="71"/>
      <c r="H46" s="71"/>
      <c r="I46" s="71"/>
      <c r="J46" s="71"/>
      <c r="K46" s="71"/>
      <c r="L46" s="71"/>
      <c r="M46" s="71"/>
    </row>
    <row r="47" spans="2:13" ht="70">
      <c r="B47" s="27"/>
      <c r="C47" s="29" t="s">
        <v>485</v>
      </c>
      <c r="D47" s="535">
        <v>61</v>
      </c>
      <c r="E47" s="417">
        <v>0</v>
      </c>
      <c r="F47" s="417">
        <v>0</v>
      </c>
      <c r="G47" s="71"/>
      <c r="H47" s="71"/>
      <c r="I47" s="71"/>
      <c r="J47" s="71"/>
      <c r="K47" s="71"/>
      <c r="L47" s="71"/>
      <c r="M47" s="71"/>
    </row>
    <row r="48" spans="2:13" ht="70">
      <c r="B48" s="27"/>
      <c r="C48" s="29" t="s">
        <v>486</v>
      </c>
      <c r="D48" s="535">
        <f>D46-D47</f>
        <v>1190</v>
      </c>
      <c r="E48" s="417">
        <v>0</v>
      </c>
      <c r="F48" s="417">
        <v>0</v>
      </c>
      <c r="G48" s="71"/>
      <c r="H48" s="71"/>
      <c r="I48" s="71"/>
      <c r="J48" s="71"/>
      <c r="K48" s="71"/>
      <c r="L48" s="71"/>
      <c r="M48" s="71"/>
    </row>
    <row r="49" spans="2:13">
      <c r="B49" s="27"/>
      <c r="C49" s="30"/>
      <c r="D49" s="442"/>
      <c r="E49" s="442"/>
      <c r="F49" s="442"/>
    </row>
    <row r="50" spans="2:13" ht="44">
      <c r="B50" s="27"/>
      <c r="C50" s="28" t="s">
        <v>426</v>
      </c>
      <c r="D50" s="417">
        <v>769</v>
      </c>
      <c r="E50" s="417">
        <v>0</v>
      </c>
      <c r="F50" s="417">
        <v>0</v>
      </c>
      <c r="G50" s="71"/>
      <c r="H50" s="71"/>
      <c r="I50" s="71"/>
      <c r="J50" s="71"/>
      <c r="K50" s="71"/>
      <c r="L50" s="71"/>
      <c r="M50" s="71"/>
    </row>
    <row r="51" spans="2:13" ht="42">
      <c r="B51" s="27"/>
      <c r="C51" s="29" t="s">
        <v>487</v>
      </c>
      <c r="D51" s="417"/>
      <c r="E51" s="417">
        <v>0</v>
      </c>
      <c r="F51" s="417">
        <v>0</v>
      </c>
      <c r="G51" s="71"/>
      <c r="H51" s="71"/>
      <c r="I51" s="71"/>
      <c r="J51" s="71"/>
      <c r="K51" s="71"/>
      <c r="L51" s="71"/>
      <c r="M51" s="71"/>
    </row>
    <row r="52" spans="2:13" ht="42">
      <c r="B52" s="27"/>
      <c r="C52" s="29" t="s">
        <v>488</v>
      </c>
      <c r="D52" s="417"/>
      <c r="E52" s="417"/>
      <c r="F52" s="417">
        <v>0</v>
      </c>
      <c r="G52" s="71"/>
      <c r="H52" s="71"/>
      <c r="I52" s="71"/>
      <c r="J52" s="71"/>
      <c r="K52" s="71"/>
      <c r="L52" s="71"/>
      <c r="M52" s="71"/>
    </row>
    <row r="53" spans="2:13">
      <c r="B53" s="27"/>
      <c r="C53" s="31"/>
      <c r="D53" s="442"/>
      <c r="E53" s="442"/>
      <c r="F53" s="442"/>
    </row>
    <row r="54" spans="2:13" ht="28">
      <c r="B54" s="27"/>
      <c r="C54" s="28" t="s">
        <v>427</v>
      </c>
      <c r="D54" s="417" t="s">
        <v>546</v>
      </c>
      <c r="E54" s="417" t="s">
        <v>555</v>
      </c>
      <c r="F54" s="417" t="s">
        <v>555</v>
      </c>
      <c r="G54" s="71"/>
      <c r="H54" s="71"/>
      <c r="I54" s="71"/>
      <c r="J54" s="71"/>
      <c r="K54" s="71"/>
      <c r="L54" s="71"/>
      <c r="M54" s="71"/>
    </row>
    <row r="55" spans="2:13" ht="42">
      <c r="B55" s="27"/>
      <c r="C55" s="28" t="s">
        <v>489</v>
      </c>
      <c r="D55" s="417">
        <v>2</v>
      </c>
      <c r="E55" s="417">
        <v>0</v>
      </c>
      <c r="F55" s="417">
        <v>0</v>
      </c>
      <c r="G55" s="71"/>
      <c r="H55" s="71"/>
      <c r="I55" s="71"/>
      <c r="J55" s="71"/>
      <c r="K55" s="71"/>
      <c r="L55" s="71"/>
      <c r="M55" s="71"/>
    </row>
    <row r="56" spans="2:13" ht="56">
      <c r="B56" s="27"/>
      <c r="C56" s="28" t="s">
        <v>490</v>
      </c>
      <c r="D56" s="417">
        <v>2</v>
      </c>
      <c r="E56" s="417">
        <v>0</v>
      </c>
      <c r="F56" s="417">
        <v>0</v>
      </c>
      <c r="G56" s="71"/>
      <c r="H56" s="71"/>
      <c r="I56" s="71"/>
      <c r="J56" s="71"/>
      <c r="K56" s="71"/>
      <c r="L56" s="71"/>
      <c r="M56" s="71"/>
    </row>
    <row r="57" spans="2:13" ht="84">
      <c r="B57" s="27"/>
      <c r="C57" s="28" t="s">
        <v>430</v>
      </c>
      <c r="D57" s="75"/>
      <c r="E57" s="75"/>
      <c r="F57" s="75"/>
      <c r="G57" s="71"/>
      <c r="H57" s="71"/>
      <c r="I57" s="71"/>
      <c r="J57" s="71"/>
      <c r="K57" s="71"/>
      <c r="L57" s="71"/>
      <c r="M57" s="71"/>
    </row>
    <row r="58" spans="2:13" ht="84">
      <c r="B58" s="27"/>
      <c r="C58" s="28" t="s">
        <v>431</v>
      </c>
      <c r="D58" s="75"/>
      <c r="E58" s="75"/>
      <c r="F58" s="75"/>
      <c r="G58" s="71"/>
      <c r="H58" s="71"/>
      <c r="I58" s="71"/>
      <c r="J58" s="71"/>
      <c r="K58" s="71"/>
      <c r="L58" s="71"/>
      <c r="M58" s="71"/>
    </row>
  </sheetData>
  <mergeCells count="2">
    <mergeCell ref="C6:D6"/>
    <mergeCell ref="C7:D7"/>
  </mergeCells>
  <conditionalFormatting sqref="B13:B17">
    <cfRule type="colorScale" priority="12">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124" priority="2">
      <formula>#REF!="Owned"</formula>
    </cfRule>
  </conditionalFormatting>
  <conditionalFormatting sqref="B28:B29 B26">
    <cfRule type="colorScale" priority="9">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B25:C26">
    <cfRule type="expression" dxfId="123" priority="4">
      <formula>#REF!="Owned"</formula>
    </cfRule>
  </conditionalFormatting>
  <conditionalFormatting sqref="C27:C32">
    <cfRule type="expression" dxfId="122" priority="1">
      <formula>#REF!="Owned"</formula>
    </cfRule>
  </conditionalFormatting>
  <dataValidations count="1">
    <dataValidation type="list" allowBlank="1" showInputMessage="1" showErrorMessage="1" sqref="E6" xr:uid="{3E2BE05D-477C-43FB-A741-F91C33D5BC01}">
      <formula1>"Yes, No"</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1204-35FB-40D1-90E2-943D6D7B091D}">
  <sheetPr codeName="Feuil53"/>
  <dimension ref="B2:M58"/>
  <sheetViews>
    <sheetView topLeftCell="A32" zoomScale="70" zoomScaleNormal="70" workbookViewId="0">
      <selection activeCell="H36" sqref="H36"/>
    </sheetView>
  </sheetViews>
  <sheetFormatPr baseColWidth="10" defaultColWidth="11.5" defaultRowHeight="13"/>
  <cols>
    <col min="3" max="13" width="22.83203125" customWidth="1"/>
  </cols>
  <sheetData>
    <row r="2" spans="2:13">
      <c r="C2" s="504" t="s">
        <v>323</v>
      </c>
      <c r="D2" s="397">
        <v>45979</v>
      </c>
      <c r="E2" s="1"/>
      <c r="F2" s="3"/>
      <c r="G2" s="3"/>
      <c r="H2" s="3"/>
      <c r="I2" s="4"/>
      <c r="J2" s="1"/>
      <c r="K2" s="1"/>
      <c r="L2" s="1"/>
      <c r="M2" s="1"/>
    </row>
    <row r="3" spans="2:13">
      <c r="C3" s="1"/>
      <c r="D3" s="1"/>
      <c r="E3" s="1"/>
      <c r="F3" s="1"/>
      <c r="G3" s="1"/>
      <c r="H3" s="1"/>
      <c r="I3" s="1"/>
      <c r="J3" s="1"/>
      <c r="K3" s="1"/>
      <c r="L3" s="1"/>
      <c r="M3" s="1"/>
    </row>
    <row r="4" spans="2:13">
      <c r="C4" s="33" t="s">
        <v>324</v>
      </c>
      <c r="D4" s="82" t="s">
        <v>28</v>
      </c>
      <c r="E4" s="82" t="s">
        <v>28</v>
      </c>
      <c r="F4" s="82" t="s">
        <v>28</v>
      </c>
      <c r="G4" s="82" t="s">
        <v>28</v>
      </c>
      <c r="H4" s="82" t="s">
        <v>28</v>
      </c>
      <c r="I4" s="488" t="s">
        <v>130</v>
      </c>
      <c r="J4" s="1"/>
      <c r="K4" s="1"/>
      <c r="L4" s="1"/>
      <c r="M4" s="1"/>
    </row>
    <row r="5" spans="2:13">
      <c r="C5" s="35"/>
      <c r="E5" s="1"/>
      <c r="F5" s="1"/>
      <c r="G5" s="1"/>
      <c r="H5" s="1"/>
      <c r="I5" s="1"/>
      <c r="J5" s="1"/>
      <c r="K5" s="1"/>
      <c r="L5" s="1"/>
      <c r="M5" s="1"/>
    </row>
    <row r="6" spans="2:13">
      <c r="C6" s="589" t="s">
        <v>327</v>
      </c>
      <c r="D6" s="591"/>
      <c r="E6" s="6" t="s">
        <v>414</v>
      </c>
      <c r="F6" s="124"/>
      <c r="G6" s="124"/>
      <c r="H6" s="124"/>
      <c r="J6" s="1"/>
      <c r="K6" s="1"/>
      <c r="L6" s="1"/>
      <c r="M6" s="1"/>
    </row>
    <row r="7" spans="2:13">
      <c r="C7" s="589" t="s">
        <v>329</v>
      </c>
      <c r="D7" s="591"/>
      <c r="E7" s="6">
        <v>5</v>
      </c>
      <c r="F7" s="124"/>
      <c r="G7" s="124"/>
      <c r="H7" s="124"/>
      <c r="J7" s="1"/>
      <c r="K7" s="1"/>
      <c r="L7" s="1"/>
      <c r="M7" s="1"/>
    </row>
    <row r="8" spans="2:13">
      <c r="C8" s="68"/>
      <c r="D8" s="68"/>
      <c r="E8" s="68"/>
      <c r="F8" s="68"/>
      <c r="G8" s="68"/>
      <c r="H8" s="68"/>
      <c r="I8" s="42"/>
      <c r="J8" s="1"/>
      <c r="K8" s="1"/>
      <c r="L8" s="1"/>
      <c r="M8" s="1"/>
    </row>
    <row r="9" spans="2:13">
      <c r="C9" s="69" t="s">
        <v>441</v>
      </c>
      <c r="D9" s="71"/>
      <c r="E9" s="71"/>
      <c r="F9" s="67"/>
      <c r="G9" s="71"/>
      <c r="H9" s="71"/>
      <c r="I9" s="67"/>
      <c r="J9" s="67"/>
      <c r="K9" s="67"/>
      <c r="L9" s="67"/>
      <c r="M9" s="67"/>
    </row>
    <row r="10" spans="2:13" ht="14">
      <c r="C10" s="70" t="s">
        <v>331</v>
      </c>
      <c r="D10" s="84" t="s">
        <v>641</v>
      </c>
      <c r="E10" s="84" t="s">
        <v>642</v>
      </c>
      <c r="F10" s="84" t="s">
        <v>643</v>
      </c>
      <c r="G10" s="84" t="s">
        <v>644</v>
      </c>
      <c r="H10" s="84" t="s">
        <v>645</v>
      </c>
      <c r="I10" s="84" t="s">
        <v>646</v>
      </c>
      <c r="J10" s="84" t="s">
        <v>467</v>
      </c>
      <c r="K10" s="84" t="s">
        <v>468</v>
      </c>
      <c r="L10" s="84" t="s">
        <v>469</v>
      </c>
      <c r="M10" s="84" t="s">
        <v>470</v>
      </c>
    </row>
    <row r="11" spans="2:13" ht="14">
      <c r="C11" s="104" t="s">
        <v>299</v>
      </c>
      <c r="D11" s="131" t="s">
        <v>647</v>
      </c>
      <c r="E11" s="131" t="s">
        <v>648</v>
      </c>
      <c r="F11" s="131" t="s">
        <v>649</v>
      </c>
      <c r="G11" s="131" t="s">
        <v>650</v>
      </c>
      <c r="H11" s="131" t="s">
        <v>651</v>
      </c>
      <c r="I11" s="131" t="s">
        <v>647</v>
      </c>
      <c r="J11" s="84"/>
      <c r="K11" s="84"/>
      <c r="L11" s="84"/>
      <c r="M11" s="84"/>
    </row>
    <row r="12" spans="2:13">
      <c r="C12" s="32"/>
      <c r="D12" s="471"/>
      <c r="E12" s="329"/>
      <c r="F12" s="329"/>
      <c r="G12" s="471"/>
      <c r="H12" s="329"/>
      <c r="I12" s="329"/>
      <c r="J12" s="46"/>
      <c r="K12" s="47"/>
      <c r="L12" s="48"/>
      <c r="M12" s="44"/>
    </row>
    <row r="13" spans="2:13" ht="84">
      <c r="B13" s="7" t="s">
        <v>348</v>
      </c>
      <c r="C13" s="398" t="s">
        <v>349</v>
      </c>
      <c r="D13" s="85" t="s">
        <v>652</v>
      </c>
      <c r="E13" s="85" t="s">
        <v>653</v>
      </c>
      <c r="F13" s="85" t="s">
        <v>445</v>
      </c>
      <c r="G13" s="131" t="s">
        <v>654</v>
      </c>
      <c r="H13" s="85" t="s">
        <v>655</v>
      </c>
      <c r="I13" s="85" t="s">
        <v>656</v>
      </c>
      <c r="J13" s="71"/>
      <c r="K13" s="71"/>
      <c r="L13" s="71"/>
      <c r="M13" s="71"/>
    </row>
    <row r="14" spans="2:13" ht="42">
      <c r="B14" s="7" t="s">
        <v>352</v>
      </c>
      <c r="C14" s="398" t="s">
        <v>297</v>
      </c>
      <c r="D14" s="85" t="s">
        <v>32</v>
      </c>
      <c r="E14" s="85" t="s">
        <v>37</v>
      </c>
      <c r="F14" s="85" t="s">
        <v>30</v>
      </c>
      <c r="G14" s="85" t="s">
        <v>33</v>
      </c>
      <c r="H14" s="85" t="s">
        <v>35</v>
      </c>
      <c r="I14" s="85" t="s">
        <v>131</v>
      </c>
      <c r="J14" s="71"/>
      <c r="K14" s="71"/>
      <c r="L14" s="71"/>
      <c r="M14" s="71"/>
    </row>
    <row r="15" spans="2:13" ht="36">
      <c r="B15" s="7" t="s">
        <v>353</v>
      </c>
      <c r="C15" s="398" t="s">
        <v>354</v>
      </c>
      <c r="D15" s="85" t="s">
        <v>31</v>
      </c>
      <c r="E15" s="85" t="s">
        <v>38</v>
      </c>
      <c r="F15" s="85" t="s">
        <v>31</v>
      </c>
      <c r="G15" s="85" t="s">
        <v>34</v>
      </c>
      <c r="H15" s="85" t="s">
        <v>36</v>
      </c>
      <c r="I15" s="85" t="s">
        <v>31</v>
      </c>
      <c r="J15" s="71"/>
      <c r="K15" s="71"/>
      <c r="L15" s="71"/>
      <c r="M15" s="71"/>
    </row>
    <row r="16" spans="2:13" ht="24">
      <c r="B16" s="7" t="s">
        <v>355</v>
      </c>
      <c r="C16" s="398" t="s">
        <v>356</v>
      </c>
      <c r="D16" s="85">
        <v>93400</v>
      </c>
      <c r="E16" s="85">
        <v>72000</v>
      </c>
      <c r="F16" s="85">
        <v>93400</v>
      </c>
      <c r="G16" s="85">
        <v>92320</v>
      </c>
      <c r="H16" s="85">
        <v>59280</v>
      </c>
      <c r="I16" s="85">
        <v>93400</v>
      </c>
      <c r="J16" s="71"/>
      <c r="K16" s="71"/>
      <c r="L16" s="71"/>
      <c r="M16" s="71"/>
    </row>
    <row r="17" spans="2:13" ht="24">
      <c r="B17" s="7" t="s">
        <v>357</v>
      </c>
      <c r="C17" s="398" t="s">
        <v>294</v>
      </c>
      <c r="D17" s="85" t="s">
        <v>29</v>
      </c>
      <c r="E17" s="85" t="s">
        <v>29</v>
      </c>
      <c r="F17" s="85" t="s">
        <v>29</v>
      </c>
      <c r="G17" s="85" t="s">
        <v>29</v>
      </c>
      <c r="H17" s="85" t="s">
        <v>29</v>
      </c>
      <c r="I17" s="85" t="s">
        <v>29</v>
      </c>
      <c r="J17" s="71"/>
      <c r="K17" s="71"/>
      <c r="L17" s="71"/>
      <c r="M17" s="71"/>
    </row>
    <row r="18" spans="2:13" ht="14">
      <c r="B18" s="9" t="s">
        <v>358</v>
      </c>
      <c r="C18" s="399" t="s">
        <v>359</v>
      </c>
      <c r="D18" s="85" t="s">
        <v>360</v>
      </c>
      <c r="E18" s="85" t="s">
        <v>360</v>
      </c>
      <c r="F18" s="85" t="s">
        <v>360</v>
      </c>
      <c r="G18" s="85" t="s">
        <v>360</v>
      </c>
      <c r="H18" s="85" t="s">
        <v>360</v>
      </c>
      <c r="I18" s="85" t="s">
        <v>360</v>
      </c>
      <c r="J18" s="71"/>
      <c r="K18" s="71"/>
      <c r="L18" s="71"/>
      <c r="M18" s="71"/>
    </row>
    <row r="19" spans="2:13" ht="36">
      <c r="B19" s="9" t="s">
        <v>361</v>
      </c>
      <c r="C19" s="399" t="s">
        <v>362</v>
      </c>
      <c r="D19" s="85" t="s">
        <v>328</v>
      </c>
      <c r="E19" s="85" t="s">
        <v>328</v>
      </c>
      <c r="F19" s="85" t="s">
        <v>328</v>
      </c>
      <c r="G19" s="85" t="s">
        <v>328</v>
      </c>
      <c r="H19" s="85" t="s">
        <v>328</v>
      </c>
      <c r="I19" s="85" t="s">
        <v>328</v>
      </c>
      <c r="J19" s="71"/>
      <c r="K19" s="71"/>
      <c r="L19" s="71"/>
      <c r="M19" s="71"/>
    </row>
    <row r="20" spans="2:13" ht="72">
      <c r="B20" s="9" t="s">
        <v>363</v>
      </c>
      <c r="C20" s="399" t="s">
        <v>364</v>
      </c>
      <c r="D20" s="85" t="s">
        <v>328</v>
      </c>
      <c r="E20" s="85" t="s">
        <v>328</v>
      </c>
      <c r="F20" s="85" t="s">
        <v>414</v>
      </c>
      <c r="G20" s="85" t="s">
        <v>328</v>
      </c>
      <c r="H20" s="85" t="s">
        <v>328</v>
      </c>
      <c r="I20" s="85" t="s">
        <v>414</v>
      </c>
      <c r="J20" s="71"/>
      <c r="K20" s="71"/>
      <c r="L20" s="71"/>
      <c r="M20" s="71"/>
    </row>
    <row r="21" spans="2:13" ht="36">
      <c r="B21" s="11" t="s">
        <v>365</v>
      </c>
      <c r="C21" s="400" t="s">
        <v>366</v>
      </c>
      <c r="D21" s="85" t="s">
        <v>657</v>
      </c>
      <c r="E21" s="85" t="s">
        <v>657</v>
      </c>
      <c r="F21" s="85" t="s">
        <v>658</v>
      </c>
      <c r="G21" s="85" t="s">
        <v>659</v>
      </c>
      <c r="H21" s="85" t="s">
        <v>659</v>
      </c>
      <c r="I21" s="85" t="s">
        <v>658</v>
      </c>
      <c r="J21" s="71"/>
      <c r="K21" s="71"/>
      <c r="L21" s="71"/>
      <c r="M21" s="71"/>
    </row>
    <row r="22" spans="2:13" ht="36">
      <c r="B22" s="11" t="s">
        <v>369</v>
      </c>
      <c r="C22" s="400" t="s">
        <v>370</v>
      </c>
      <c r="D22" s="85" t="s">
        <v>660</v>
      </c>
      <c r="E22" s="85" t="s">
        <v>661</v>
      </c>
      <c r="F22" s="85" t="s">
        <v>662</v>
      </c>
      <c r="G22" s="85" t="s">
        <v>663</v>
      </c>
      <c r="H22" s="85" t="s">
        <v>664</v>
      </c>
      <c r="I22" s="85" t="s">
        <v>665</v>
      </c>
      <c r="J22" s="71"/>
      <c r="K22" s="71"/>
      <c r="L22" s="71"/>
      <c r="M22" s="71"/>
    </row>
    <row r="23" spans="2:13" ht="14">
      <c r="B23" s="13" t="s">
        <v>477</v>
      </c>
      <c r="C23" s="401" t="s">
        <v>374</v>
      </c>
      <c r="D23" s="85" t="s">
        <v>374</v>
      </c>
      <c r="E23" s="85" t="s">
        <v>374</v>
      </c>
      <c r="F23" s="85" t="s">
        <v>374</v>
      </c>
      <c r="G23" s="85" t="s">
        <v>374</v>
      </c>
      <c r="H23" s="85" t="s">
        <v>374</v>
      </c>
      <c r="I23" s="85" t="s">
        <v>374</v>
      </c>
      <c r="J23" s="71"/>
      <c r="K23" s="71"/>
      <c r="L23" s="71"/>
      <c r="M23" s="71"/>
    </row>
    <row r="24" spans="2:13" ht="60">
      <c r="B24" s="13" t="s">
        <v>375</v>
      </c>
      <c r="C24" s="401" t="s">
        <v>376</v>
      </c>
      <c r="D24" s="88">
        <v>12407</v>
      </c>
      <c r="E24" s="88">
        <v>4403</v>
      </c>
      <c r="F24" s="88">
        <v>2127</v>
      </c>
      <c r="G24" s="88">
        <v>1269</v>
      </c>
      <c r="H24" s="88">
        <v>235</v>
      </c>
      <c r="I24" s="88">
        <v>5148</v>
      </c>
      <c r="J24" s="71"/>
      <c r="K24" s="71"/>
      <c r="L24" s="71"/>
      <c r="M24" s="71"/>
    </row>
    <row r="25" spans="2:13" ht="60">
      <c r="B25" s="15" t="s">
        <v>377</v>
      </c>
      <c r="C25" s="402" t="s">
        <v>378</v>
      </c>
      <c r="D25" s="119">
        <v>151</v>
      </c>
      <c r="E25" s="119">
        <v>220</v>
      </c>
      <c r="F25" s="119">
        <v>37</v>
      </c>
      <c r="G25" s="119">
        <v>20</v>
      </c>
      <c r="H25" s="119">
        <v>5</v>
      </c>
      <c r="I25" s="85">
        <v>50</v>
      </c>
      <c r="J25" s="71"/>
      <c r="K25" s="71"/>
      <c r="L25" s="71"/>
      <c r="M25" s="71"/>
    </row>
    <row r="26" spans="2:13" ht="60">
      <c r="B26" s="15" t="s">
        <v>380</v>
      </c>
      <c r="C26" s="402" t="s">
        <v>381</v>
      </c>
      <c r="D26" s="89" t="s">
        <v>449</v>
      </c>
      <c r="E26" s="89" t="s">
        <v>449</v>
      </c>
      <c r="F26" s="89" t="s">
        <v>449</v>
      </c>
      <c r="G26" s="89" t="s">
        <v>449</v>
      </c>
      <c r="H26" s="89" t="s">
        <v>449</v>
      </c>
      <c r="I26" s="88" t="s">
        <v>449</v>
      </c>
      <c r="J26" s="71"/>
      <c r="K26" s="71"/>
      <c r="L26" s="71"/>
      <c r="M26" s="71"/>
    </row>
    <row r="27" spans="2:13" ht="34.5" customHeight="1">
      <c r="B27" s="40" t="s">
        <v>383</v>
      </c>
      <c r="C27" s="403" t="s">
        <v>383</v>
      </c>
      <c r="D27" s="89"/>
      <c r="E27" s="89"/>
      <c r="F27" s="89"/>
      <c r="G27" s="89"/>
      <c r="H27" s="89"/>
      <c r="I27" s="88"/>
      <c r="J27" s="71"/>
      <c r="K27" s="71"/>
      <c r="L27" s="71"/>
      <c r="M27" s="71"/>
    </row>
    <row r="28" spans="2:13" ht="60">
      <c r="B28" s="15" t="s">
        <v>384</v>
      </c>
      <c r="C28" s="402" t="s">
        <v>450</v>
      </c>
      <c r="D28" s="89">
        <v>353.15</v>
      </c>
      <c r="E28" s="89">
        <v>127.46</v>
      </c>
      <c r="F28" s="120">
        <v>368.45980253878702</v>
      </c>
      <c r="G28" s="476">
        <v>308.12</v>
      </c>
      <c r="H28" s="476">
        <v>129.31</v>
      </c>
      <c r="I28" s="122">
        <v>349.65034965034965</v>
      </c>
      <c r="J28" s="71"/>
      <c r="K28" s="71"/>
      <c r="L28" s="71"/>
      <c r="M28" s="71"/>
    </row>
    <row r="29" spans="2:13" ht="72">
      <c r="B29" s="15" t="s">
        <v>387</v>
      </c>
      <c r="C29" s="402" t="s">
        <v>388</v>
      </c>
      <c r="D29" s="89" t="s">
        <v>666</v>
      </c>
      <c r="E29" s="89" t="s">
        <v>667</v>
      </c>
      <c r="F29" s="89" t="s">
        <v>668</v>
      </c>
      <c r="G29" s="89" t="s">
        <v>669</v>
      </c>
      <c r="H29" s="89" t="s">
        <v>670</v>
      </c>
      <c r="I29" s="374">
        <v>0.03</v>
      </c>
      <c r="J29" s="71"/>
      <c r="K29" s="71"/>
      <c r="L29" s="71"/>
      <c r="M29" s="71"/>
    </row>
    <row r="30" spans="2:13" ht="58">
      <c r="B30" s="13" t="s">
        <v>390</v>
      </c>
      <c r="C30" s="404" t="s">
        <v>453</v>
      </c>
      <c r="D30" s="85">
        <f>3209000/D24</f>
        <v>258.64431369388251</v>
      </c>
      <c r="E30" s="85">
        <f>344000/E24</f>
        <v>78.12854871678401</v>
      </c>
      <c r="F30" s="122">
        <v>235.07287259050307</v>
      </c>
      <c r="G30" s="90">
        <v>195000</v>
      </c>
      <c r="H30" s="90">
        <v>50000</v>
      </c>
      <c r="I30" s="122">
        <v>213.67521367521368</v>
      </c>
      <c r="J30" s="71"/>
      <c r="K30" s="71"/>
      <c r="L30" s="71"/>
      <c r="M30" s="71"/>
    </row>
    <row r="31" spans="2:13" ht="28">
      <c r="B31" s="13"/>
      <c r="C31" s="405" t="s">
        <v>393</v>
      </c>
      <c r="D31" s="85"/>
      <c r="E31" s="85"/>
      <c r="F31" s="122"/>
      <c r="G31" s="90"/>
      <c r="H31" s="90"/>
      <c r="I31" s="122"/>
      <c r="J31" s="71"/>
      <c r="K31" s="71"/>
      <c r="L31" s="71"/>
      <c r="M31" s="71"/>
    </row>
    <row r="32" spans="2:13" ht="72">
      <c r="B32" s="13" t="s">
        <v>394</v>
      </c>
      <c r="C32" s="404" t="s">
        <v>395</v>
      </c>
      <c r="D32" s="85" t="s">
        <v>671</v>
      </c>
      <c r="E32" s="85" t="s">
        <v>671</v>
      </c>
      <c r="F32" s="85" t="s">
        <v>410</v>
      </c>
      <c r="G32" s="89" t="s">
        <v>672</v>
      </c>
      <c r="H32" s="89" t="s">
        <v>673</v>
      </c>
      <c r="I32" s="85"/>
      <c r="J32" s="71"/>
      <c r="K32" s="71"/>
      <c r="L32" s="71"/>
      <c r="M32" s="71"/>
    </row>
    <row r="33" spans="2:13" ht="24">
      <c r="B33" s="18" t="s">
        <v>397</v>
      </c>
      <c r="C33" s="406" t="s">
        <v>313</v>
      </c>
      <c r="D33" s="91">
        <v>42125</v>
      </c>
      <c r="E33" s="91">
        <v>43891</v>
      </c>
      <c r="F33" s="91">
        <v>45078</v>
      </c>
      <c r="G33" s="91">
        <v>43009</v>
      </c>
      <c r="H33" s="91">
        <v>43739</v>
      </c>
      <c r="I33" s="91">
        <v>42491</v>
      </c>
      <c r="J33" s="71"/>
      <c r="K33" s="71"/>
      <c r="L33" s="71"/>
      <c r="M33" s="71"/>
    </row>
    <row r="34" spans="2:13" ht="36">
      <c r="B34" s="20" t="s">
        <v>398</v>
      </c>
      <c r="C34" s="406" t="s">
        <v>315</v>
      </c>
      <c r="D34" s="91">
        <v>47968</v>
      </c>
      <c r="E34" s="91">
        <v>46082</v>
      </c>
      <c r="F34" s="91">
        <v>46173</v>
      </c>
      <c r="G34" s="91">
        <v>46295</v>
      </c>
      <c r="H34" s="91">
        <v>45930</v>
      </c>
      <c r="I34" s="91">
        <v>47968</v>
      </c>
      <c r="J34" s="71"/>
      <c r="K34" s="71"/>
      <c r="L34" s="71"/>
      <c r="M34" s="71"/>
    </row>
    <row r="35" spans="2:13" ht="36">
      <c r="B35" s="20" t="s">
        <v>399</v>
      </c>
      <c r="C35" s="406" t="s">
        <v>400</v>
      </c>
      <c r="D35" s="91">
        <v>47603</v>
      </c>
      <c r="E35" s="91">
        <v>45897</v>
      </c>
      <c r="F35" s="91">
        <v>45808</v>
      </c>
      <c r="G35" s="91">
        <v>46082</v>
      </c>
      <c r="H35" s="91">
        <v>45747</v>
      </c>
      <c r="I35" s="91">
        <v>47603</v>
      </c>
      <c r="J35" s="71"/>
      <c r="K35" s="71"/>
      <c r="L35" s="71"/>
      <c r="M35" s="71"/>
    </row>
    <row r="36" spans="2:13" ht="48">
      <c r="B36" s="20" t="s">
        <v>402</v>
      </c>
      <c r="C36" s="21" t="s">
        <v>403</v>
      </c>
      <c r="D36" s="92" t="s">
        <v>674</v>
      </c>
      <c r="E36" s="92" t="s">
        <v>675</v>
      </c>
      <c r="F36" s="92" t="s">
        <v>676</v>
      </c>
      <c r="G36" s="92" t="s">
        <v>328</v>
      </c>
      <c r="H36" s="92">
        <v>46295</v>
      </c>
      <c r="I36" s="92" t="s">
        <v>676</v>
      </c>
      <c r="J36" s="71"/>
      <c r="K36" s="71"/>
      <c r="L36" s="71"/>
      <c r="M36" s="71"/>
    </row>
    <row r="37" spans="2:13" ht="72">
      <c r="B37" s="20" t="s">
        <v>404</v>
      </c>
      <c r="C37" s="21" t="s">
        <v>405</v>
      </c>
      <c r="D37" s="92" t="s">
        <v>677</v>
      </c>
      <c r="E37" s="92" t="s">
        <v>678</v>
      </c>
      <c r="F37" s="92"/>
      <c r="G37" s="92" t="s">
        <v>328</v>
      </c>
      <c r="H37" s="92" t="s">
        <v>679</v>
      </c>
      <c r="I37" s="92" t="s">
        <v>677</v>
      </c>
      <c r="J37" s="71"/>
      <c r="K37" s="71"/>
      <c r="L37" s="71"/>
      <c r="M37" s="71"/>
    </row>
    <row r="38" spans="2:13" ht="36">
      <c r="B38" s="20" t="s">
        <v>406</v>
      </c>
      <c r="C38" s="21" t="s">
        <v>407</v>
      </c>
      <c r="D38" s="92" t="s">
        <v>680</v>
      </c>
      <c r="E38" s="92" t="s">
        <v>680</v>
      </c>
      <c r="F38" s="92" t="s">
        <v>328</v>
      </c>
      <c r="G38" s="92" t="s">
        <v>414</v>
      </c>
      <c r="H38" s="92" t="s">
        <v>414</v>
      </c>
      <c r="I38" s="93" t="s">
        <v>680</v>
      </c>
      <c r="J38" s="71"/>
      <c r="K38" s="71"/>
      <c r="L38" s="71"/>
      <c r="M38" s="71"/>
    </row>
    <row r="39" spans="2:13" ht="36">
      <c r="B39" s="20" t="s">
        <v>408</v>
      </c>
      <c r="C39" s="21" t="s">
        <v>409</v>
      </c>
      <c r="D39" s="136" t="s">
        <v>681</v>
      </c>
      <c r="E39" s="136" t="s">
        <v>682</v>
      </c>
      <c r="F39" s="136" t="s">
        <v>328</v>
      </c>
      <c r="G39" s="136">
        <v>6</v>
      </c>
      <c r="H39" s="136">
        <v>6</v>
      </c>
      <c r="I39" s="95" t="s">
        <v>680</v>
      </c>
      <c r="J39" s="71"/>
      <c r="K39" s="71"/>
      <c r="L39" s="71"/>
      <c r="M39" s="71"/>
    </row>
    <row r="40" spans="2:13" ht="48">
      <c r="B40" s="20" t="s">
        <v>411</v>
      </c>
      <c r="C40" s="21" t="s">
        <v>314</v>
      </c>
      <c r="D40" s="92">
        <v>49064</v>
      </c>
      <c r="E40" s="92">
        <v>47177</v>
      </c>
      <c r="F40" s="92">
        <v>46356</v>
      </c>
      <c r="G40" s="92">
        <v>46295</v>
      </c>
      <c r="H40" s="92">
        <v>47026</v>
      </c>
      <c r="I40" s="93">
        <v>49064</v>
      </c>
      <c r="J40" s="71"/>
      <c r="K40" s="71"/>
      <c r="L40" s="71"/>
      <c r="M40" s="71"/>
    </row>
    <row r="41" spans="2:13" ht="60">
      <c r="B41" s="22" t="s">
        <v>412</v>
      </c>
      <c r="C41" s="23" t="s">
        <v>413</v>
      </c>
      <c r="D41" s="92" t="s">
        <v>683</v>
      </c>
      <c r="E41" s="92" t="s">
        <v>683</v>
      </c>
      <c r="F41" s="92" t="s">
        <v>414</v>
      </c>
      <c r="G41" s="92" t="s">
        <v>414</v>
      </c>
      <c r="H41" s="92" t="s">
        <v>328</v>
      </c>
      <c r="I41" s="92" t="s">
        <v>414</v>
      </c>
      <c r="J41" s="71"/>
      <c r="K41" s="71"/>
      <c r="L41" s="71"/>
      <c r="M41" s="71"/>
    </row>
    <row r="42" spans="2:13" ht="72">
      <c r="B42" s="24" t="s">
        <v>457</v>
      </c>
      <c r="C42" s="23" t="s">
        <v>483</v>
      </c>
      <c r="D42" s="95" t="s">
        <v>414</v>
      </c>
      <c r="E42" s="95" t="s">
        <v>328</v>
      </c>
      <c r="F42" s="95" t="s">
        <v>414</v>
      </c>
      <c r="G42" s="95" t="s">
        <v>328</v>
      </c>
      <c r="H42" s="95" t="s">
        <v>328</v>
      </c>
      <c r="I42" s="95" t="s">
        <v>414</v>
      </c>
      <c r="J42" s="71"/>
      <c r="K42" s="71"/>
      <c r="L42" s="71"/>
      <c r="M42" s="71"/>
    </row>
    <row r="43" spans="2:13" ht="84">
      <c r="B43" s="25" t="s">
        <v>418</v>
      </c>
      <c r="C43" s="407" t="s">
        <v>419</v>
      </c>
      <c r="D43" s="85" t="s">
        <v>498</v>
      </c>
      <c r="E43" s="85" t="s">
        <v>498</v>
      </c>
      <c r="F43" s="85" t="s">
        <v>414</v>
      </c>
      <c r="G43" s="85" t="s">
        <v>328</v>
      </c>
      <c r="H43" s="85" t="s">
        <v>328</v>
      </c>
      <c r="I43" s="85" t="s">
        <v>414</v>
      </c>
      <c r="J43" s="71"/>
      <c r="K43" s="71"/>
      <c r="L43" s="71"/>
      <c r="M43" s="71"/>
    </row>
    <row r="44" spans="2:13" ht="132">
      <c r="B44" s="25" t="s">
        <v>420</v>
      </c>
      <c r="C44" s="407" t="s">
        <v>421</v>
      </c>
      <c r="D44" s="85" t="s">
        <v>328</v>
      </c>
      <c r="E44" s="85" t="s">
        <v>328</v>
      </c>
      <c r="F44" s="85" t="s">
        <v>684</v>
      </c>
      <c r="G44" s="85" t="s">
        <v>328</v>
      </c>
      <c r="H44" s="85" t="s">
        <v>328</v>
      </c>
      <c r="I44" s="85" t="s">
        <v>328</v>
      </c>
      <c r="J44" s="71"/>
      <c r="K44" s="71"/>
      <c r="L44" s="71"/>
      <c r="M44" s="71"/>
    </row>
    <row r="45" spans="2:13">
      <c r="B45" s="27"/>
      <c r="C45" s="27"/>
      <c r="D45" s="27"/>
      <c r="E45" s="27"/>
      <c r="F45" s="27"/>
      <c r="G45" s="27"/>
      <c r="H45" s="27"/>
      <c r="I45" s="27"/>
    </row>
    <row r="46" spans="2:13" ht="28">
      <c r="B46" s="27"/>
      <c r="C46" s="28" t="s">
        <v>484</v>
      </c>
      <c r="D46" s="85">
        <v>1193</v>
      </c>
      <c r="E46" s="85">
        <v>602</v>
      </c>
      <c r="F46" s="85">
        <v>123</v>
      </c>
      <c r="G46" s="85">
        <v>99</v>
      </c>
      <c r="H46" s="85">
        <v>13</v>
      </c>
      <c r="I46" s="85">
        <v>350</v>
      </c>
      <c r="J46" s="71"/>
      <c r="K46" s="71"/>
      <c r="L46" s="71"/>
      <c r="M46" s="71"/>
    </row>
    <row r="47" spans="2:13" ht="42">
      <c r="B47" s="27"/>
      <c r="C47" s="29" t="s">
        <v>485</v>
      </c>
      <c r="D47" s="85">
        <v>190</v>
      </c>
      <c r="E47" s="85">
        <v>5</v>
      </c>
      <c r="F47" s="85"/>
      <c r="G47" s="85"/>
      <c r="H47" s="85"/>
      <c r="I47" s="85"/>
      <c r="J47" s="71"/>
      <c r="K47" s="71"/>
      <c r="L47" s="71"/>
      <c r="M47" s="71"/>
    </row>
    <row r="48" spans="2:13" ht="42">
      <c r="B48" s="27"/>
      <c r="C48" s="29" t="s">
        <v>486</v>
      </c>
      <c r="D48" s="85">
        <f>D46-D47</f>
        <v>1003</v>
      </c>
      <c r="E48" s="85">
        <f>E46-E47</f>
        <v>597</v>
      </c>
      <c r="F48" s="85"/>
      <c r="G48" s="85"/>
      <c r="H48" s="85"/>
      <c r="I48" s="85"/>
      <c r="J48" s="71"/>
      <c r="K48" s="71"/>
      <c r="L48" s="71"/>
      <c r="M48" s="71"/>
    </row>
    <row r="49" spans="2:13">
      <c r="B49" s="27"/>
      <c r="C49" s="30"/>
      <c r="D49" s="96"/>
      <c r="E49" s="96"/>
      <c r="F49" s="96"/>
      <c r="G49" s="96"/>
      <c r="H49" s="96"/>
      <c r="I49" s="96"/>
    </row>
    <row r="50" spans="2:13" ht="30">
      <c r="B50" s="27"/>
      <c r="C50" s="28" t="s">
        <v>426</v>
      </c>
      <c r="D50" s="90">
        <f>172+183+170+162+155+157+21</f>
        <v>1020</v>
      </c>
      <c r="E50" s="85">
        <f>346+55+29</f>
        <v>430</v>
      </c>
      <c r="F50" s="85">
        <v>136</v>
      </c>
      <c r="G50" s="85">
        <v>117</v>
      </c>
      <c r="H50" s="85">
        <v>27</v>
      </c>
      <c r="I50" s="85">
        <v>298</v>
      </c>
      <c r="J50" s="71"/>
      <c r="K50" s="71"/>
      <c r="L50" s="71"/>
      <c r="M50" s="71"/>
    </row>
    <row r="51" spans="2:13" ht="28">
      <c r="B51" s="27"/>
      <c r="C51" s="29" t="s">
        <v>487</v>
      </c>
      <c r="D51" s="85">
        <f>14+16+170+161+135+13</f>
        <v>509</v>
      </c>
      <c r="E51" s="85">
        <v>29</v>
      </c>
      <c r="F51" s="85">
        <v>136</v>
      </c>
      <c r="G51" s="85"/>
      <c r="H51" s="85"/>
      <c r="I51" s="85">
        <v>298</v>
      </c>
      <c r="J51" s="71"/>
      <c r="K51" s="71"/>
      <c r="L51" s="71"/>
      <c r="M51" s="71"/>
    </row>
    <row r="52" spans="2:13" ht="28">
      <c r="B52" s="27"/>
      <c r="C52" s="29" t="s">
        <v>488</v>
      </c>
      <c r="D52" s="85">
        <f>158+167+1+20+157+8</f>
        <v>511</v>
      </c>
      <c r="E52" s="85">
        <v>401</v>
      </c>
      <c r="F52" s="85"/>
      <c r="G52" s="85"/>
      <c r="H52" s="85"/>
      <c r="I52" s="85"/>
      <c r="J52" s="71"/>
      <c r="K52" s="71"/>
      <c r="L52" s="71"/>
      <c r="M52" s="71"/>
    </row>
    <row r="53" spans="2:13">
      <c r="B53" s="27"/>
      <c r="C53" s="31"/>
      <c r="D53" s="96">
        <v>1</v>
      </c>
      <c r="E53" s="96"/>
      <c r="F53" s="96"/>
      <c r="G53" s="96"/>
      <c r="H53" s="96"/>
      <c r="I53" s="96"/>
    </row>
    <row r="54" spans="2:13" ht="28">
      <c r="B54" s="27"/>
      <c r="C54" s="28" t="s">
        <v>427</v>
      </c>
      <c r="D54" s="85">
        <v>2</v>
      </c>
      <c r="E54" s="85">
        <v>3</v>
      </c>
      <c r="F54" s="85"/>
      <c r="G54" s="85"/>
      <c r="H54" s="85"/>
      <c r="I54" s="85"/>
      <c r="J54" s="71"/>
      <c r="K54" s="71"/>
      <c r="L54" s="71"/>
      <c r="M54" s="71"/>
    </row>
    <row r="55" spans="2:13" ht="28">
      <c r="B55" s="27"/>
      <c r="C55" s="28" t="s">
        <v>489</v>
      </c>
      <c r="D55" s="85">
        <v>4</v>
      </c>
      <c r="E55" s="85">
        <v>4</v>
      </c>
      <c r="F55" s="85"/>
      <c r="G55" s="85"/>
      <c r="H55" s="85"/>
      <c r="I55" s="85"/>
      <c r="J55" s="71"/>
      <c r="K55" s="71"/>
      <c r="L55" s="71"/>
      <c r="M55" s="71"/>
    </row>
    <row r="56" spans="2:13" ht="28">
      <c r="B56" s="27"/>
      <c r="C56" s="28" t="s">
        <v>490</v>
      </c>
      <c r="D56" s="85"/>
      <c r="E56" s="85"/>
      <c r="F56" s="85"/>
      <c r="G56" s="85"/>
      <c r="H56" s="85"/>
      <c r="I56" s="85"/>
      <c r="J56" s="71"/>
      <c r="K56" s="71"/>
      <c r="L56" s="71"/>
      <c r="M56" s="71"/>
    </row>
    <row r="57" spans="2:13" ht="56">
      <c r="B57" s="27"/>
      <c r="C57" s="28" t="s">
        <v>430</v>
      </c>
      <c r="D57" s="85"/>
      <c r="E57" s="85"/>
      <c r="F57" s="85"/>
      <c r="G57" s="85"/>
      <c r="H57" s="85"/>
      <c r="I57" s="85"/>
      <c r="J57" s="71"/>
      <c r="K57" s="71"/>
      <c r="L57" s="71"/>
      <c r="M57" s="71"/>
    </row>
    <row r="58" spans="2:13" ht="56">
      <c r="B58" s="27"/>
      <c r="C58" s="28" t="s">
        <v>431</v>
      </c>
      <c r="D58" s="85"/>
      <c r="E58" s="85"/>
      <c r="F58" s="85"/>
      <c r="G58" s="85"/>
      <c r="H58" s="85"/>
      <c r="I58" s="85"/>
      <c r="J58" s="71"/>
      <c r="K58" s="71"/>
      <c r="L58" s="71"/>
      <c r="M58" s="71"/>
    </row>
  </sheetData>
  <mergeCells count="2">
    <mergeCell ref="C6:D6"/>
    <mergeCell ref="C7:D7"/>
  </mergeCells>
  <conditionalFormatting sqref="B13:B17">
    <cfRule type="colorScale" priority="12">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121" priority="2">
      <formula>#REF!="Owned"</formula>
    </cfRule>
  </conditionalFormatting>
  <conditionalFormatting sqref="B28:B29 B26">
    <cfRule type="colorScale" priority="9">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B25:C26">
    <cfRule type="expression" dxfId="120" priority="4">
      <formula>#REF!="Owned"</formula>
    </cfRule>
  </conditionalFormatting>
  <conditionalFormatting sqref="C27:C32">
    <cfRule type="expression" dxfId="119" priority="1">
      <formula>#REF!="Owned"</formula>
    </cfRule>
  </conditionalFormatting>
  <dataValidations count="1">
    <dataValidation type="list" allowBlank="1" showInputMessage="1" showErrorMessage="1" sqref="E6" xr:uid="{72240E4F-9B4C-4059-8068-C196A894734F}">
      <formula1>"Yes, No"</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FA356-CEFE-4CBE-AAF6-0122A30261C7}">
  <sheetPr codeName="Feuil14">
    <tabColor theme="0"/>
    <pageSetUpPr fitToPage="1"/>
  </sheetPr>
  <dimension ref="B2:AE68"/>
  <sheetViews>
    <sheetView topLeftCell="X56" zoomScale="70" zoomScaleNormal="70" workbookViewId="0">
      <selection activeCell="AH29" sqref="AH29"/>
    </sheetView>
  </sheetViews>
  <sheetFormatPr baseColWidth="10" defaultColWidth="9.1640625" defaultRowHeight="36.5" customHeight="1"/>
  <cols>
    <col min="1" max="1" width="4.5" style="1" customWidth="1"/>
    <col min="2" max="2" width="24.1640625" style="1" customWidth="1"/>
    <col min="3" max="3" width="25.5" style="1" customWidth="1"/>
    <col min="4" max="31" width="22.5" style="1" customWidth="1"/>
    <col min="32" max="16384" width="9.1640625" style="1"/>
  </cols>
  <sheetData>
    <row r="2" spans="2:31" ht="36.5" customHeight="1">
      <c r="C2" s="506" t="s">
        <v>323</v>
      </c>
      <c r="D2" s="100">
        <v>45947</v>
      </c>
      <c r="E2" s="315"/>
      <c r="F2" s="3"/>
      <c r="G2" s="3"/>
    </row>
    <row r="4" spans="2:31" ht="36.5" customHeight="1">
      <c r="C4" s="316" t="s">
        <v>324</v>
      </c>
      <c r="D4" s="82" t="s">
        <v>4</v>
      </c>
      <c r="E4" s="82" t="s">
        <v>4</v>
      </c>
      <c r="F4" s="6" t="s">
        <v>39</v>
      </c>
      <c r="G4" s="6" t="s">
        <v>65</v>
      </c>
      <c r="H4" s="6" t="s">
        <v>39</v>
      </c>
      <c r="I4" s="6" t="s">
        <v>39</v>
      </c>
      <c r="J4" s="6" t="s">
        <v>39</v>
      </c>
      <c r="K4" s="6" t="s">
        <v>65</v>
      </c>
      <c r="L4" s="6" t="s">
        <v>65</v>
      </c>
      <c r="M4" s="6" t="s">
        <v>39</v>
      </c>
      <c r="N4" s="6" t="s">
        <v>65</v>
      </c>
      <c r="O4" s="6" t="s">
        <v>65</v>
      </c>
      <c r="P4" s="6" t="s">
        <v>65</v>
      </c>
      <c r="Q4" s="6" t="s">
        <v>65</v>
      </c>
      <c r="R4" s="6" t="s">
        <v>39</v>
      </c>
      <c r="S4" s="6" t="s">
        <v>62</v>
      </c>
      <c r="T4" s="6" t="s">
        <v>65</v>
      </c>
      <c r="U4" s="6" t="s">
        <v>59</v>
      </c>
      <c r="V4" s="6" t="s">
        <v>65</v>
      </c>
      <c r="W4" s="6" t="s">
        <v>53</v>
      </c>
      <c r="X4" s="6" t="s">
        <v>65</v>
      </c>
      <c r="Y4" s="6" t="s">
        <v>39</v>
      </c>
      <c r="Z4" s="6" t="s">
        <v>65</v>
      </c>
      <c r="AA4" s="6" t="s">
        <v>65</v>
      </c>
      <c r="AB4" s="6" t="s">
        <v>56</v>
      </c>
      <c r="AC4" s="6" t="s">
        <v>3</v>
      </c>
      <c r="AD4" s="6" t="s">
        <v>3</v>
      </c>
      <c r="AE4" s="6" t="s">
        <v>130</v>
      </c>
    </row>
    <row r="6" spans="2:31" ht="36.5" customHeight="1">
      <c r="B6" s="1" t="s">
        <v>326</v>
      </c>
      <c r="C6" s="589" t="s">
        <v>327</v>
      </c>
      <c r="D6" s="591"/>
      <c r="E6" s="6" t="s">
        <v>414</v>
      </c>
      <c r="F6" s="101"/>
      <c r="G6" s="101"/>
    </row>
    <row r="7" spans="2:31" ht="36.5" customHeight="1">
      <c r="B7" s="1" t="s">
        <v>326</v>
      </c>
      <c r="C7" s="589" t="s">
        <v>329</v>
      </c>
      <c r="D7" s="591"/>
      <c r="E7" s="6">
        <v>30</v>
      </c>
      <c r="F7" s="101"/>
      <c r="G7" s="101"/>
    </row>
    <row r="8" spans="2:31" ht="36.5" customHeight="1">
      <c r="C8" s="446" t="s">
        <v>685</v>
      </c>
      <c r="D8" s="447" t="s">
        <v>686</v>
      </c>
      <c r="E8" s="447" t="s">
        <v>686</v>
      </c>
      <c r="F8" s="468" t="s">
        <v>687</v>
      </c>
      <c r="G8" s="321"/>
      <c r="H8" s="322"/>
      <c r="I8" s="322"/>
      <c r="J8" s="322"/>
      <c r="K8" s="322"/>
      <c r="L8" s="322"/>
      <c r="M8" s="322"/>
      <c r="N8" s="469" t="s">
        <v>688</v>
      </c>
      <c r="O8" s="322"/>
      <c r="P8" s="322"/>
      <c r="Q8" s="322"/>
      <c r="R8" s="322"/>
      <c r="S8" s="322"/>
      <c r="T8" s="322"/>
      <c r="U8" s="322"/>
      <c r="V8" s="322"/>
      <c r="W8" s="468" t="s">
        <v>689</v>
      </c>
      <c r="X8" s="322"/>
      <c r="Y8" s="322"/>
      <c r="Z8" s="322"/>
      <c r="AA8" s="322"/>
      <c r="AB8" s="363" t="s">
        <v>690</v>
      </c>
    </row>
    <row r="9" spans="2:31" ht="36.5" customHeight="1">
      <c r="C9" s="318" t="s">
        <v>441</v>
      </c>
      <c r="D9" s="67" t="s">
        <v>691</v>
      </c>
      <c r="E9" s="67" t="s">
        <v>691</v>
      </c>
      <c r="F9" s="67" t="s">
        <v>691</v>
      </c>
      <c r="G9" s="67" t="s">
        <v>691</v>
      </c>
      <c r="H9" s="67" t="s">
        <v>691</v>
      </c>
      <c r="I9" s="67" t="s">
        <v>691</v>
      </c>
      <c r="J9" s="67" t="s">
        <v>691</v>
      </c>
      <c r="K9" s="67" t="s">
        <v>691</v>
      </c>
      <c r="L9" s="67" t="s">
        <v>691</v>
      </c>
      <c r="M9" s="67" t="s">
        <v>691</v>
      </c>
      <c r="N9" s="67" t="s">
        <v>691</v>
      </c>
      <c r="O9" s="67" t="s">
        <v>691</v>
      </c>
      <c r="P9" s="67" t="s">
        <v>691</v>
      </c>
      <c r="Q9" s="67" t="s">
        <v>691</v>
      </c>
      <c r="R9" s="67" t="s">
        <v>691</v>
      </c>
      <c r="S9" s="67" t="s">
        <v>691</v>
      </c>
      <c r="T9" s="67" t="s">
        <v>691</v>
      </c>
      <c r="U9" s="67" t="s">
        <v>691</v>
      </c>
      <c r="V9" s="67" t="s">
        <v>691</v>
      </c>
      <c r="W9" s="67" t="s">
        <v>691</v>
      </c>
      <c r="X9" s="67" t="s">
        <v>691</v>
      </c>
      <c r="Y9" s="67" t="s">
        <v>691</v>
      </c>
      <c r="Z9" s="67" t="s">
        <v>691</v>
      </c>
      <c r="AA9" s="67" t="s">
        <v>691</v>
      </c>
      <c r="AB9" s="67" t="s">
        <v>691</v>
      </c>
      <c r="AC9" s="71"/>
      <c r="AD9" s="71"/>
      <c r="AE9" s="71"/>
    </row>
    <row r="10" spans="2:31" ht="36.5" customHeight="1">
      <c r="C10" s="104" t="s">
        <v>331</v>
      </c>
      <c r="D10" s="319" t="s">
        <v>692</v>
      </c>
      <c r="E10" s="114" t="s">
        <v>693</v>
      </c>
      <c r="F10" s="114" t="s">
        <v>694</v>
      </c>
      <c r="G10" s="114" t="s">
        <v>695</v>
      </c>
      <c r="H10" s="114" t="s">
        <v>696</v>
      </c>
      <c r="I10" s="114" t="s">
        <v>697</v>
      </c>
      <c r="J10" s="114" t="s">
        <v>698</v>
      </c>
      <c r="K10" s="114" t="s">
        <v>699</v>
      </c>
      <c r="L10" s="114" t="s">
        <v>700</v>
      </c>
      <c r="M10" s="114" t="s">
        <v>701</v>
      </c>
      <c r="N10" s="114" t="s">
        <v>702</v>
      </c>
      <c r="O10" s="114" t="s">
        <v>703</v>
      </c>
      <c r="P10" s="114" t="s">
        <v>704</v>
      </c>
      <c r="Q10" s="114" t="s">
        <v>705</v>
      </c>
      <c r="R10" s="114" t="s">
        <v>706</v>
      </c>
      <c r="S10" s="114" t="s">
        <v>707</v>
      </c>
      <c r="T10" s="114" t="s">
        <v>708</v>
      </c>
      <c r="U10" s="114" t="s">
        <v>709</v>
      </c>
      <c r="V10" s="114" t="s">
        <v>710</v>
      </c>
      <c r="W10" s="445" t="s">
        <v>711</v>
      </c>
      <c r="X10" s="114" t="s">
        <v>712</v>
      </c>
      <c r="Y10" s="114" t="s">
        <v>713</v>
      </c>
      <c r="Z10" s="114" t="s">
        <v>714</v>
      </c>
      <c r="AA10" s="114" t="s">
        <v>715</v>
      </c>
      <c r="AB10" s="445" t="s">
        <v>716</v>
      </c>
      <c r="AC10" s="84" t="s">
        <v>717</v>
      </c>
      <c r="AD10" s="84" t="s">
        <v>718</v>
      </c>
      <c r="AE10" s="84" t="s">
        <v>717</v>
      </c>
    </row>
    <row r="11" spans="2:31" ht="28.5" customHeight="1">
      <c r="C11" s="157" t="s">
        <v>299</v>
      </c>
      <c r="D11" s="84"/>
      <c r="E11" s="84"/>
      <c r="F11" s="84" t="s">
        <v>719</v>
      </c>
      <c r="G11" s="84" t="s">
        <v>720</v>
      </c>
      <c r="H11" s="84" t="s">
        <v>721</v>
      </c>
      <c r="I11" s="84" t="s">
        <v>722</v>
      </c>
      <c r="J11" s="84" t="s">
        <v>723</v>
      </c>
      <c r="K11" s="84" t="s">
        <v>724</v>
      </c>
      <c r="L11" s="84" t="s">
        <v>725</v>
      </c>
      <c r="M11" s="84" t="s">
        <v>726</v>
      </c>
      <c r="N11" s="84" t="s">
        <v>727</v>
      </c>
      <c r="O11" s="84" t="s">
        <v>728</v>
      </c>
      <c r="P11" s="84" t="s">
        <v>729</v>
      </c>
      <c r="Q11" s="84" t="s">
        <v>730</v>
      </c>
      <c r="R11" s="84" t="s">
        <v>731</v>
      </c>
      <c r="S11" s="84" t="s">
        <v>732</v>
      </c>
      <c r="T11" s="84" t="s">
        <v>733</v>
      </c>
      <c r="U11" s="84" t="s">
        <v>734</v>
      </c>
      <c r="V11" s="84" t="s">
        <v>735</v>
      </c>
      <c r="W11" s="84" t="s">
        <v>736</v>
      </c>
      <c r="X11" s="84" t="s">
        <v>737</v>
      </c>
      <c r="Y11" s="84" t="s">
        <v>738</v>
      </c>
      <c r="Z11" s="84" t="s">
        <v>739</v>
      </c>
      <c r="AA11" s="84" t="s">
        <v>740</v>
      </c>
      <c r="AB11" s="84" t="s">
        <v>741</v>
      </c>
      <c r="AC11" s="131" t="s">
        <v>742</v>
      </c>
      <c r="AD11" s="131" t="s">
        <v>743</v>
      </c>
      <c r="AE11" s="131" t="s">
        <v>744</v>
      </c>
    </row>
    <row r="12" spans="2:31" ht="37.5" customHeight="1">
      <c r="C12" s="446"/>
      <c r="D12" s="467"/>
      <c r="E12" s="467"/>
      <c r="F12" s="468"/>
      <c r="G12" s="321"/>
      <c r="H12" s="322"/>
      <c r="I12" s="322"/>
      <c r="J12" s="322"/>
      <c r="K12" s="322"/>
      <c r="L12" s="322"/>
      <c r="M12" s="322"/>
      <c r="N12" s="469"/>
      <c r="O12" s="322"/>
      <c r="P12" s="322"/>
      <c r="Q12" s="322"/>
      <c r="R12" s="322"/>
      <c r="S12" s="322"/>
      <c r="T12" s="322"/>
      <c r="U12" s="322"/>
      <c r="V12" s="322"/>
      <c r="W12" s="468"/>
      <c r="X12" s="322"/>
      <c r="Y12" s="322"/>
      <c r="Z12" s="322"/>
      <c r="AA12" s="322"/>
      <c r="AB12" s="363"/>
      <c r="AC12" s="471"/>
      <c r="AD12" s="329"/>
      <c r="AE12" s="471"/>
    </row>
    <row r="13" spans="2:31" ht="36.5" customHeight="1">
      <c r="B13" s="7" t="s">
        <v>348</v>
      </c>
      <c r="C13" s="8" t="s">
        <v>349</v>
      </c>
      <c r="D13" s="448" t="s">
        <v>745</v>
      </c>
      <c r="E13" s="448" t="s">
        <v>746</v>
      </c>
      <c r="F13" s="448" t="s">
        <v>747</v>
      </c>
      <c r="G13" s="448" t="s">
        <v>748</v>
      </c>
      <c r="H13" s="448" t="s">
        <v>445</v>
      </c>
      <c r="I13" s="448" t="s">
        <v>749</v>
      </c>
      <c r="J13" s="448" t="s">
        <v>750</v>
      </c>
      <c r="K13" s="448" t="s">
        <v>748</v>
      </c>
      <c r="L13" s="448" t="s">
        <v>748</v>
      </c>
      <c r="M13" s="448" t="s">
        <v>749</v>
      </c>
      <c r="N13" s="448" t="s">
        <v>748</v>
      </c>
      <c r="O13" s="448" t="s">
        <v>751</v>
      </c>
      <c r="P13" s="448" t="s">
        <v>748</v>
      </c>
      <c r="Q13" s="448" t="s">
        <v>752</v>
      </c>
      <c r="R13" s="448" t="s">
        <v>753</v>
      </c>
      <c r="S13" s="448" t="s">
        <v>754</v>
      </c>
      <c r="T13" s="448" t="s">
        <v>755</v>
      </c>
      <c r="U13" s="448" t="s">
        <v>756</v>
      </c>
      <c r="V13" s="448" t="s">
        <v>748</v>
      </c>
      <c r="W13" s="448" t="s">
        <v>757</v>
      </c>
      <c r="X13" s="448" t="s">
        <v>758</v>
      </c>
      <c r="Y13" s="118" t="s">
        <v>759</v>
      </c>
      <c r="Z13" s="448" t="s">
        <v>748</v>
      </c>
      <c r="AA13" s="448" t="s">
        <v>760</v>
      </c>
      <c r="AB13" s="448" t="s">
        <v>761</v>
      </c>
      <c r="AC13" s="352" t="s">
        <v>762</v>
      </c>
      <c r="AD13" s="85" t="s">
        <v>763</v>
      </c>
      <c r="AE13" s="85" t="s">
        <v>764</v>
      </c>
    </row>
    <row r="14" spans="2:31" ht="36.5" customHeight="1">
      <c r="B14" s="7" t="s">
        <v>352</v>
      </c>
      <c r="C14" s="8" t="s">
        <v>297</v>
      </c>
      <c r="D14" s="86" t="s">
        <v>765</v>
      </c>
      <c r="E14" s="86" t="s">
        <v>765</v>
      </c>
      <c r="F14" s="86" t="s">
        <v>40</v>
      </c>
      <c r="G14" s="86" t="s">
        <v>68</v>
      </c>
      <c r="H14" s="86" t="s">
        <v>42</v>
      </c>
      <c r="I14" s="86" t="s">
        <v>44</v>
      </c>
      <c r="J14" s="86" t="s">
        <v>47</v>
      </c>
      <c r="K14" s="86" t="s">
        <v>83</v>
      </c>
      <c r="L14" s="86" t="s">
        <v>66</v>
      </c>
      <c r="M14" s="86" t="s">
        <v>51</v>
      </c>
      <c r="N14" s="86" t="s">
        <v>84</v>
      </c>
      <c r="O14" s="86" t="s">
        <v>79</v>
      </c>
      <c r="P14" s="86" t="s">
        <v>75</v>
      </c>
      <c r="Q14" s="86" t="s">
        <v>72</v>
      </c>
      <c r="R14" s="86" t="s">
        <v>49</v>
      </c>
      <c r="S14" s="86" t="s">
        <v>63</v>
      </c>
      <c r="T14" s="86" t="s">
        <v>74</v>
      </c>
      <c r="U14" s="86" t="s">
        <v>60</v>
      </c>
      <c r="V14" s="86" t="s">
        <v>81</v>
      </c>
      <c r="W14" s="86" t="s">
        <v>54</v>
      </c>
      <c r="X14" s="86" t="s">
        <v>86</v>
      </c>
      <c r="Y14" s="85" t="s">
        <v>46</v>
      </c>
      <c r="Z14" s="86" t="s">
        <v>70</v>
      </c>
      <c r="AA14" s="86" t="s">
        <v>77</v>
      </c>
      <c r="AB14" s="86" t="s">
        <v>57</v>
      </c>
      <c r="AC14" s="85" t="s">
        <v>5</v>
      </c>
      <c r="AD14" s="85" t="s">
        <v>7</v>
      </c>
      <c r="AE14" s="85" t="s">
        <v>132</v>
      </c>
    </row>
    <row r="15" spans="2:31" ht="36.5" customHeight="1">
      <c r="B15" s="7" t="s">
        <v>353</v>
      </c>
      <c r="C15" s="8" t="s">
        <v>354</v>
      </c>
      <c r="D15" s="86" t="s">
        <v>766</v>
      </c>
      <c r="E15" s="86" t="s">
        <v>766</v>
      </c>
      <c r="F15" s="86" t="s">
        <v>41</v>
      </c>
      <c r="G15" s="86" t="s">
        <v>69</v>
      </c>
      <c r="H15" s="86" t="s">
        <v>43</v>
      </c>
      <c r="I15" s="86" t="s">
        <v>45</v>
      </c>
      <c r="J15" s="86" t="s">
        <v>48</v>
      </c>
      <c r="K15" s="86" t="s">
        <v>48</v>
      </c>
      <c r="L15" s="86" t="s">
        <v>67</v>
      </c>
      <c r="M15" s="86" t="s">
        <v>52</v>
      </c>
      <c r="N15" s="86" t="s">
        <v>85</v>
      </c>
      <c r="O15" s="86" t="s">
        <v>80</v>
      </c>
      <c r="P15" s="86" t="s">
        <v>76</v>
      </c>
      <c r="Q15" s="86" t="s">
        <v>73</v>
      </c>
      <c r="R15" s="86" t="s">
        <v>50</v>
      </c>
      <c r="S15" s="86" t="s">
        <v>64</v>
      </c>
      <c r="T15" s="86" t="s">
        <v>64</v>
      </c>
      <c r="U15" s="86" t="s">
        <v>61</v>
      </c>
      <c r="V15" s="86" t="s">
        <v>82</v>
      </c>
      <c r="W15" s="86" t="s">
        <v>55</v>
      </c>
      <c r="X15" s="86" t="s">
        <v>87</v>
      </c>
      <c r="Y15" s="85" t="s">
        <v>8</v>
      </c>
      <c r="Z15" s="86" t="s">
        <v>71</v>
      </c>
      <c r="AA15" s="86" t="s">
        <v>78</v>
      </c>
      <c r="AB15" s="86" t="s">
        <v>58</v>
      </c>
      <c r="AC15" s="85" t="s">
        <v>6</v>
      </c>
      <c r="AD15" s="85" t="s">
        <v>8</v>
      </c>
      <c r="AE15" s="85" t="s">
        <v>6</v>
      </c>
    </row>
    <row r="16" spans="2:31" ht="36.5" customHeight="1">
      <c r="B16" s="7" t="s">
        <v>355</v>
      </c>
      <c r="C16" s="8" t="s">
        <v>356</v>
      </c>
      <c r="D16" s="86">
        <v>85609</v>
      </c>
      <c r="E16" s="86">
        <v>85609</v>
      </c>
      <c r="F16" s="86">
        <v>12489</v>
      </c>
      <c r="G16" s="86">
        <v>61118</v>
      </c>
      <c r="H16" s="86">
        <v>40472</v>
      </c>
      <c r="I16" s="86">
        <v>60528</v>
      </c>
      <c r="J16" s="86">
        <v>22297</v>
      </c>
      <c r="K16" s="86">
        <v>22805</v>
      </c>
      <c r="L16" s="86" t="s">
        <v>767</v>
      </c>
      <c r="M16" s="449" t="s">
        <v>768</v>
      </c>
      <c r="N16" s="86">
        <v>71640</v>
      </c>
      <c r="O16" s="86">
        <v>39104</v>
      </c>
      <c r="P16" s="86">
        <v>55590</v>
      </c>
      <c r="Q16" s="86">
        <v>80337</v>
      </c>
      <c r="R16" s="86">
        <v>67433</v>
      </c>
      <c r="S16" s="86">
        <v>90429</v>
      </c>
      <c r="T16" s="86">
        <v>90402</v>
      </c>
      <c r="U16" s="86">
        <v>73207</v>
      </c>
      <c r="V16" s="86" t="s">
        <v>769</v>
      </c>
      <c r="W16" s="86">
        <v>65428</v>
      </c>
      <c r="X16" s="86">
        <v>57076</v>
      </c>
      <c r="Y16" s="85">
        <v>70565</v>
      </c>
      <c r="Z16" s="86">
        <v>69469</v>
      </c>
      <c r="AA16" s="86">
        <v>59423</v>
      </c>
      <c r="AB16" s="86">
        <v>85774</v>
      </c>
      <c r="AC16" s="85">
        <v>80335</v>
      </c>
      <c r="AD16" s="85">
        <v>70182</v>
      </c>
      <c r="AE16" s="85">
        <v>81671</v>
      </c>
    </row>
    <row r="17" spans="2:31" ht="36.5" customHeight="1">
      <c r="B17" s="7" t="s">
        <v>357</v>
      </c>
      <c r="C17" s="8" t="s">
        <v>294</v>
      </c>
      <c r="D17" s="86" t="s">
        <v>4</v>
      </c>
      <c r="E17" s="86" t="s">
        <v>4</v>
      </c>
      <c r="F17" s="86" t="s">
        <v>4</v>
      </c>
      <c r="G17" s="86" t="s">
        <v>4</v>
      </c>
      <c r="H17" s="86" t="s">
        <v>4</v>
      </c>
      <c r="I17" s="86" t="s">
        <v>4</v>
      </c>
      <c r="J17" s="86" t="s">
        <v>4</v>
      </c>
      <c r="K17" s="86" t="s">
        <v>4</v>
      </c>
      <c r="L17" s="86" t="s">
        <v>4</v>
      </c>
      <c r="M17" s="86" t="s">
        <v>4</v>
      </c>
      <c r="N17" s="86" t="s">
        <v>4</v>
      </c>
      <c r="O17" s="86" t="s">
        <v>4</v>
      </c>
      <c r="P17" s="86" t="s">
        <v>4</v>
      </c>
      <c r="Q17" s="86" t="s">
        <v>4</v>
      </c>
      <c r="R17" s="86" t="s">
        <v>4</v>
      </c>
      <c r="S17" s="86" t="s">
        <v>4</v>
      </c>
      <c r="T17" s="86" t="s">
        <v>4</v>
      </c>
      <c r="U17" s="86" t="s">
        <v>4</v>
      </c>
      <c r="V17" s="86" t="s">
        <v>4</v>
      </c>
      <c r="W17" s="86" t="s">
        <v>4</v>
      </c>
      <c r="X17" s="86" t="s">
        <v>4</v>
      </c>
      <c r="Y17" s="86" t="s">
        <v>4</v>
      </c>
      <c r="Z17" s="86" t="s">
        <v>4</v>
      </c>
      <c r="AA17" s="86" t="s">
        <v>4</v>
      </c>
      <c r="AB17" s="86" t="s">
        <v>4</v>
      </c>
      <c r="AC17" s="85" t="s">
        <v>4</v>
      </c>
      <c r="AD17" s="85" t="s">
        <v>4</v>
      </c>
      <c r="AE17" s="85" t="s">
        <v>4</v>
      </c>
    </row>
    <row r="18" spans="2:31" ht="36.5" customHeight="1">
      <c r="B18" s="66" t="s">
        <v>358</v>
      </c>
      <c r="C18" s="65" t="s">
        <v>359</v>
      </c>
      <c r="D18" s="86" t="s">
        <v>360</v>
      </c>
      <c r="E18" s="86" t="s">
        <v>360</v>
      </c>
      <c r="F18" s="86" t="s">
        <v>360</v>
      </c>
      <c r="G18" s="86" t="s">
        <v>360</v>
      </c>
      <c r="H18" s="86" t="s">
        <v>360</v>
      </c>
      <c r="I18" s="86" t="s">
        <v>360</v>
      </c>
      <c r="J18" s="86" t="s">
        <v>360</v>
      </c>
      <c r="K18" s="86" t="s">
        <v>360</v>
      </c>
      <c r="L18" s="86" t="s">
        <v>360</v>
      </c>
      <c r="M18" s="86" t="s">
        <v>360</v>
      </c>
      <c r="N18" s="86" t="s">
        <v>360</v>
      </c>
      <c r="O18" s="86" t="s">
        <v>360</v>
      </c>
      <c r="P18" s="86" t="s">
        <v>360</v>
      </c>
      <c r="Q18" s="86" t="s">
        <v>360</v>
      </c>
      <c r="R18" s="86" t="s">
        <v>360</v>
      </c>
      <c r="S18" s="86" t="s">
        <v>360</v>
      </c>
      <c r="T18" s="86" t="s">
        <v>360</v>
      </c>
      <c r="U18" s="86" t="s">
        <v>360</v>
      </c>
      <c r="V18" s="86" t="s">
        <v>360</v>
      </c>
      <c r="W18" s="86" t="s">
        <v>360</v>
      </c>
      <c r="X18" s="86" t="s">
        <v>360</v>
      </c>
      <c r="Y18" s="86" t="s">
        <v>360</v>
      </c>
      <c r="Z18" s="86" t="s">
        <v>360</v>
      </c>
      <c r="AA18" s="86" t="s">
        <v>360</v>
      </c>
      <c r="AB18" s="86" t="s">
        <v>360</v>
      </c>
      <c r="AC18" s="85" t="s">
        <v>360</v>
      </c>
      <c r="AD18" s="85" t="s">
        <v>360</v>
      </c>
      <c r="AE18" s="85" t="s">
        <v>360</v>
      </c>
    </row>
    <row r="19" spans="2:31" ht="36.5" customHeight="1">
      <c r="B19" s="66" t="s">
        <v>361</v>
      </c>
      <c r="C19" s="65" t="s">
        <v>362</v>
      </c>
      <c r="D19" s="86" t="s">
        <v>328</v>
      </c>
      <c r="E19" s="86" t="s">
        <v>328</v>
      </c>
      <c r="F19" s="86" t="s">
        <v>328</v>
      </c>
      <c r="G19" s="86" t="s">
        <v>328</v>
      </c>
      <c r="H19" s="86" t="s">
        <v>328</v>
      </c>
      <c r="I19" s="86" t="s">
        <v>328</v>
      </c>
      <c r="J19" s="86" t="s">
        <v>414</v>
      </c>
      <c r="K19" s="86" t="s">
        <v>328</v>
      </c>
      <c r="L19" s="86" t="s">
        <v>328</v>
      </c>
      <c r="M19" s="86" t="s">
        <v>328</v>
      </c>
      <c r="N19" s="86" t="s">
        <v>328</v>
      </c>
      <c r="O19" s="86" t="s">
        <v>328</v>
      </c>
      <c r="P19" s="86" t="s">
        <v>328</v>
      </c>
      <c r="Q19" s="86" t="s">
        <v>328</v>
      </c>
      <c r="R19" s="86" t="s">
        <v>328</v>
      </c>
      <c r="S19" s="86" t="s">
        <v>328</v>
      </c>
      <c r="T19" s="86" t="s">
        <v>328</v>
      </c>
      <c r="U19" s="86" t="s">
        <v>328</v>
      </c>
      <c r="V19" s="86" t="s">
        <v>328</v>
      </c>
      <c r="W19" s="86" t="s">
        <v>328</v>
      </c>
      <c r="X19" s="86" t="s">
        <v>328</v>
      </c>
      <c r="Y19" s="86" t="s">
        <v>414</v>
      </c>
      <c r="Z19" s="86" t="s">
        <v>328</v>
      </c>
      <c r="AA19" s="86" t="s">
        <v>328</v>
      </c>
      <c r="AB19" s="86" t="s">
        <v>414</v>
      </c>
      <c r="AC19" s="85" t="s">
        <v>414</v>
      </c>
      <c r="AD19" s="85" t="s">
        <v>414</v>
      </c>
      <c r="AE19" s="85" t="s">
        <v>328</v>
      </c>
    </row>
    <row r="20" spans="2:31" ht="36.5" customHeight="1">
      <c r="B20" s="66" t="s">
        <v>363</v>
      </c>
      <c r="C20" s="65" t="s">
        <v>364</v>
      </c>
      <c r="D20" s="86" t="s">
        <v>328</v>
      </c>
      <c r="E20" s="86" t="s">
        <v>328</v>
      </c>
      <c r="F20" s="86" t="s">
        <v>328</v>
      </c>
      <c r="G20" s="86" t="s">
        <v>328</v>
      </c>
      <c r="H20" s="86" t="s">
        <v>328</v>
      </c>
      <c r="I20" s="86" t="s">
        <v>328</v>
      </c>
      <c r="J20" s="86" t="s">
        <v>414</v>
      </c>
      <c r="K20" s="86" t="s">
        <v>328</v>
      </c>
      <c r="L20" s="86" t="s">
        <v>328</v>
      </c>
      <c r="M20" s="86" t="s">
        <v>328</v>
      </c>
      <c r="N20" s="86" t="s">
        <v>328</v>
      </c>
      <c r="O20" s="86" t="s">
        <v>328</v>
      </c>
      <c r="P20" s="86" t="s">
        <v>328</v>
      </c>
      <c r="Q20" s="86" t="s">
        <v>328</v>
      </c>
      <c r="R20" s="86" t="s">
        <v>328</v>
      </c>
      <c r="S20" s="86" t="s">
        <v>328</v>
      </c>
      <c r="T20" s="86" t="s">
        <v>328</v>
      </c>
      <c r="U20" s="86" t="s">
        <v>328</v>
      </c>
      <c r="V20" s="86" t="s">
        <v>328</v>
      </c>
      <c r="W20" s="86" t="s">
        <v>328</v>
      </c>
      <c r="X20" s="86" t="s">
        <v>328</v>
      </c>
      <c r="Y20" s="86" t="s">
        <v>414</v>
      </c>
      <c r="Z20" s="86" t="s">
        <v>328</v>
      </c>
      <c r="AA20" s="86" t="s">
        <v>328</v>
      </c>
      <c r="AB20" s="86" t="s">
        <v>414</v>
      </c>
      <c r="AC20" s="85" t="s">
        <v>414</v>
      </c>
      <c r="AD20" s="85" t="s">
        <v>414</v>
      </c>
      <c r="AE20" s="85" t="s">
        <v>414</v>
      </c>
    </row>
    <row r="21" spans="2:31" ht="36.5" customHeight="1">
      <c r="B21" s="64" t="s">
        <v>365</v>
      </c>
      <c r="C21" s="63" t="s">
        <v>366</v>
      </c>
      <c r="D21" s="85" t="s">
        <v>770</v>
      </c>
      <c r="E21" s="85" t="s">
        <v>771</v>
      </c>
      <c r="F21" s="85" t="s">
        <v>770</v>
      </c>
      <c r="G21" s="85" t="s">
        <v>772</v>
      </c>
      <c r="H21" s="85" t="s">
        <v>770</v>
      </c>
      <c r="I21" s="85" t="s">
        <v>770</v>
      </c>
      <c r="J21" s="85" t="s">
        <v>770</v>
      </c>
      <c r="K21" s="85" t="s">
        <v>772</v>
      </c>
      <c r="L21" s="85" t="s">
        <v>772</v>
      </c>
      <c r="M21" s="85" t="s">
        <v>770</v>
      </c>
      <c r="N21" s="85" t="s">
        <v>772</v>
      </c>
      <c r="O21" s="85" t="s">
        <v>772</v>
      </c>
      <c r="P21" s="85" t="s">
        <v>772</v>
      </c>
      <c r="Q21" s="85" t="s">
        <v>772</v>
      </c>
      <c r="R21" s="85" t="s">
        <v>770</v>
      </c>
      <c r="S21" s="85" t="s">
        <v>770</v>
      </c>
      <c r="T21" s="85" t="s">
        <v>772</v>
      </c>
      <c r="U21" s="131" t="s">
        <v>773</v>
      </c>
      <c r="V21" s="85" t="s">
        <v>772</v>
      </c>
      <c r="W21" s="85" t="s">
        <v>770</v>
      </c>
      <c r="X21" s="85" t="s">
        <v>772</v>
      </c>
      <c r="Y21" s="85" t="s">
        <v>770</v>
      </c>
      <c r="Z21" s="85" t="s">
        <v>772</v>
      </c>
      <c r="AA21" s="85" t="s">
        <v>772</v>
      </c>
      <c r="AB21" s="85" t="s">
        <v>774</v>
      </c>
      <c r="AC21" s="85" t="s">
        <v>775</v>
      </c>
      <c r="AD21" s="85" t="s">
        <v>775</v>
      </c>
      <c r="AE21" s="85" t="s">
        <v>776</v>
      </c>
    </row>
    <row r="22" spans="2:31" ht="36.5" customHeight="1">
      <c r="B22" s="64" t="s">
        <v>369</v>
      </c>
      <c r="C22" s="63" t="s">
        <v>370</v>
      </c>
      <c r="D22" s="85" t="s">
        <v>777</v>
      </c>
      <c r="E22" s="85" t="s">
        <v>771</v>
      </c>
      <c r="F22" s="85" t="s">
        <v>778</v>
      </c>
      <c r="G22" s="85" t="s">
        <v>779</v>
      </c>
      <c r="H22" s="85" t="s">
        <v>780</v>
      </c>
      <c r="I22" s="85" t="s">
        <v>781</v>
      </c>
      <c r="J22" s="85" t="s">
        <v>782</v>
      </c>
      <c r="K22" s="85" t="s">
        <v>783</v>
      </c>
      <c r="L22" s="85" t="s">
        <v>784</v>
      </c>
      <c r="M22" s="85" t="s">
        <v>785</v>
      </c>
      <c r="N22" s="85" t="s">
        <v>786</v>
      </c>
      <c r="O22" s="85" t="s">
        <v>787</v>
      </c>
      <c r="P22" s="85" t="s">
        <v>788</v>
      </c>
      <c r="Q22" s="85" t="s">
        <v>789</v>
      </c>
      <c r="R22" s="85" t="s">
        <v>790</v>
      </c>
      <c r="S22" s="85" t="s">
        <v>791</v>
      </c>
      <c r="T22" s="85" t="s">
        <v>792</v>
      </c>
      <c r="U22" s="131" t="s">
        <v>793</v>
      </c>
      <c r="V22" s="85" t="s">
        <v>794</v>
      </c>
      <c r="W22" s="85"/>
      <c r="X22" s="85" t="s">
        <v>795</v>
      </c>
      <c r="Y22" s="85" t="s">
        <v>782</v>
      </c>
      <c r="Z22" s="85" t="s">
        <v>796</v>
      </c>
      <c r="AA22" s="85" t="s">
        <v>797</v>
      </c>
      <c r="AB22" s="85" t="s">
        <v>782</v>
      </c>
      <c r="AC22" s="85" t="s">
        <v>798</v>
      </c>
      <c r="AD22" s="85" t="s">
        <v>799</v>
      </c>
      <c r="AE22" s="85" t="s">
        <v>800</v>
      </c>
    </row>
    <row r="23" spans="2:31" s="452" customFormat="1" ht="36.5" customHeight="1">
      <c r="B23" s="450"/>
      <c r="C23" s="451" t="s">
        <v>374</v>
      </c>
      <c r="D23" s="88">
        <v>8118.35</v>
      </c>
      <c r="E23" s="88" t="s">
        <v>771</v>
      </c>
      <c r="F23" s="88">
        <v>2391.7399999999998</v>
      </c>
      <c r="G23" s="131"/>
      <c r="H23" s="88">
        <v>480.14</v>
      </c>
      <c r="I23" s="88">
        <v>497</v>
      </c>
      <c r="J23" s="88">
        <v>144.85</v>
      </c>
      <c r="K23" s="88">
        <v>42</v>
      </c>
      <c r="L23" s="88">
        <v>48.16</v>
      </c>
      <c r="M23" s="88">
        <v>322.97000000000003</v>
      </c>
      <c r="N23" s="88">
        <v>108</v>
      </c>
      <c r="O23" s="88">
        <v>433</v>
      </c>
      <c r="P23" s="88">
        <v>30</v>
      </c>
      <c r="Q23" s="85">
        <v>385.15</v>
      </c>
      <c r="R23" s="88">
        <v>349</v>
      </c>
      <c r="S23" s="85">
        <v>660</v>
      </c>
      <c r="T23" s="85">
        <v>53.4</v>
      </c>
      <c r="U23" s="131">
        <v>394.61</v>
      </c>
      <c r="V23" s="85">
        <v>40</v>
      </c>
      <c r="W23" s="88"/>
      <c r="X23" s="85">
        <v>20</v>
      </c>
      <c r="Y23" s="88">
        <v>81.16</v>
      </c>
      <c r="Z23" s="85">
        <v>70</v>
      </c>
      <c r="AA23" s="85">
        <v>25</v>
      </c>
      <c r="AB23" s="88">
        <v>320.36</v>
      </c>
      <c r="AC23" s="85" t="s">
        <v>374</v>
      </c>
      <c r="AD23" s="85" t="s">
        <v>374</v>
      </c>
      <c r="AE23" s="85" t="s">
        <v>374</v>
      </c>
    </row>
    <row r="24" spans="2:31" ht="36.5" customHeight="1">
      <c r="B24" s="59" t="s">
        <v>375</v>
      </c>
      <c r="C24" s="62" t="s">
        <v>376</v>
      </c>
      <c r="D24" s="85">
        <v>8118.35</v>
      </c>
      <c r="E24" s="85" t="s">
        <v>771</v>
      </c>
      <c r="F24" s="85">
        <v>2391.7399999999998</v>
      </c>
      <c r="G24" s="88">
        <v>45</v>
      </c>
      <c r="H24" s="85">
        <v>480.14</v>
      </c>
      <c r="I24" s="88">
        <v>497</v>
      </c>
      <c r="J24" s="88">
        <v>144.85</v>
      </c>
      <c r="K24" s="88">
        <v>42</v>
      </c>
      <c r="L24" s="88">
        <v>48.16</v>
      </c>
      <c r="M24" s="85">
        <v>322.97000000000003</v>
      </c>
      <c r="N24" s="88">
        <v>108</v>
      </c>
      <c r="O24" s="88">
        <v>433</v>
      </c>
      <c r="P24" s="88">
        <v>30</v>
      </c>
      <c r="Q24" s="85">
        <v>385.15</v>
      </c>
      <c r="R24" s="88">
        <v>349</v>
      </c>
      <c r="S24" s="85">
        <v>660</v>
      </c>
      <c r="T24" s="88">
        <v>53.4</v>
      </c>
      <c r="U24" s="453">
        <v>394.61</v>
      </c>
      <c r="V24" s="88">
        <v>40</v>
      </c>
      <c r="W24" s="88"/>
      <c r="X24" s="88">
        <v>20</v>
      </c>
      <c r="Y24" s="88">
        <v>81.16</v>
      </c>
      <c r="Z24" s="88">
        <v>70</v>
      </c>
      <c r="AA24" s="88">
        <v>25</v>
      </c>
      <c r="AB24" s="88">
        <v>320.36</v>
      </c>
      <c r="AC24" s="88">
        <v>191.14</v>
      </c>
      <c r="AD24" s="88">
        <v>360</v>
      </c>
      <c r="AE24" s="88">
        <v>1266</v>
      </c>
    </row>
    <row r="25" spans="2:31" ht="36.5" customHeight="1">
      <c r="B25" s="61" t="s">
        <v>377</v>
      </c>
      <c r="C25" s="60" t="s">
        <v>378</v>
      </c>
      <c r="D25" s="119">
        <v>172</v>
      </c>
      <c r="E25" s="85" t="s">
        <v>771</v>
      </c>
      <c r="F25" s="85">
        <v>20</v>
      </c>
      <c r="G25" s="85" t="s">
        <v>801</v>
      </c>
      <c r="H25" s="85">
        <v>18</v>
      </c>
      <c r="I25" s="85">
        <v>15</v>
      </c>
      <c r="J25" s="85">
        <v>0</v>
      </c>
      <c r="K25" s="85">
        <v>0</v>
      </c>
      <c r="L25" s="85" t="s">
        <v>802</v>
      </c>
      <c r="M25" s="85">
        <v>0</v>
      </c>
      <c r="N25" s="85">
        <v>1</v>
      </c>
      <c r="O25" s="85" t="s">
        <v>803</v>
      </c>
      <c r="P25" s="85">
        <v>0</v>
      </c>
      <c r="Q25" s="85" t="s">
        <v>804</v>
      </c>
      <c r="R25" s="85">
        <v>4</v>
      </c>
      <c r="S25" s="85">
        <v>10</v>
      </c>
      <c r="T25" s="85" t="s">
        <v>805</v>
      </c>
      <c r="U25" s="131">
        <v>4</v>
      </c>
      <c r="V25" s="85">
        <v>0</v>
      </c>
      <c r="W25" s="85"/>
      <c r="X25" s="85">
        <v>0</v>
      </c>
      <c r="Y25" s="85">
        <v>0</v>
      </c>
      <c r="Z25" s="85" t="s">
        <v>806</v>
      </c>
      <c r="AA25" s="85" t="s">
        <v>807</v>
      </c>
      <c r="AB25" s="85">
        <v>0</v>
      </c>
      <c r="AC25" s="119">
        <v>0</v>
      </c>
      <c r="AD25" s="119">
        <v>0</v>
      </c>
      <c r="AE25" s="119">
        <v>15</v>
      </c>
    </row>
    <row r="26" spans="2:31" ht="36.5" customHeight="1">
      <c r="B26" s="61" t="s">
        <v>380</v>
      </c>
      <c r="C26" s="60" t="s">
        <v>381</v>
      </c>
      <c r="D26" s="89" t="s">
        <v>449</v>
      </c>
      <c r="E26" s="85" t="s">
        <v>771</v>
      </c>
      <c r="F26" s="88" t="s">
        <v>449</v>
      </c>
      <c r="G26" s="85" t="s">
        <v>449</v>
      </c>
      <c r="H26" s="85" t="s">
        <v>449</v>
      </c>
      <c r="I26" s="85" t="s">
        <v>449</v>
      </c>
      <c r="J26" s="85" t="s">
        <v>449</v>
      </c>
      <c r="K26" s="85" t="s">
        <v>449</v>
      </c>
      <c r="L26" s="85" t="s">
        <v>449</v>
      </c>
      <c r="M26" s="85" t="s">
        <v>449</v>
      </c>
      <c r="N26" s="85" t="s">
        <v>449</v>
      </c>
      <c r="O26" s="85" t="s">
        <v>449</v>
      </c>
      <c r="P26" s="85" t="s">
        <v>449</v>
      </c>
      <c r="Q26" s="85" t="s">
        <v>449</v>
      </c>
      <c r="R26" s="85" t="s">
        <v>449</v>
      </c>
      <c r="S26" s="85" t="s">
        <v>449</v>
      </c>
      <c r="T26" s="85" t="s">
        <v>449</v>
      </c>
      <c r="U26" s="131" t="s">
        <v>449</v>
      </c>
      <c r="V26" s="85" t="s">
        <v>449</v>
      </c>
      <c r="W26" s="85"/>
      <c r="X26" s="85" t="s">
        <v>449</v>
      </c>
      <c r="Y26" s="85" t="s">
        <v>449</v>
      </c>
      <c r="Z26" s="85" t="s">
        <v>449</v>
      </c>
      <c r="AA26" s="85" t="s">
        <v>449</v>
      </c>
      <c r="AB26" s="85" t="s">
        <v>449</v>
      </c>
      <c r="AC26" s="89" t="s">
        <v>449</v>
      </c>
      <c r="AD26" s="89" t="s">
        <v>449</v>
      </c>
      <c r="AE26" s="89" t="s">
        <v>449</v>
      </c>
    </row>
    <row r="27" spans="2:31" ht="36.5" customHeight="1">
      <c r="B27" s="323" t="s">
        <v>383</v>
      </c>
      <c r="C27" s="324" t="s">
        <v>383</v>
      </c>
      <c r="D27" s="88">
        <v>162643.57999999999</v>
      </c>
      <c r="E27" s="88" t="s">
        <v>771</v>
      </c>
      <c r="F27" s="88">
        <v>50733.87</v>
      </c>
      <c r="G27" s="85">
        <v>700</v>
      </c>
      <c r="H27" s="88">
        <f>H28*H23</f>
        <v>7811.8777999999993</v>
      </c>
      <c r="I27" s="88">
        <v>9975.77</v>
      </c>
      <c r="J27" s="88">
        <v>13741.71</v>
      </c>
      <c r="K27" s="85">
        <v>749.7</v>
      </c>
      <c r="L27" s="85">
        <v>596.1</v>
      </c>
      <c r="M27" s="88">
        <v>2987.47</v>
      </c>
      <c r="N27" s="85">
        <v>1492.26</v>
      </c>
      <c r="O27" s="85">
        <v>4474.04</v>
      </c>
      <c r="P27" s="85">
        <v>321.3</v>
      </c>
      <c r="Q27" s="88">
        <v>11480.92</v>
      </c>
      <c r="R27" s="88">
        <f>2870+80+100</f>
        <v>3050</v>
      </c>
      <c r="S27" s="85" t="s">
        <v>808</v>
      </c>
      <c r="T27" s="85">
        <v>1149.27</v>
      </c>
      <c r="U27" s="455">
        <v>5148.6899999999996</v>
      </c>
      <c r="V27" s="85">
        <v>375</v>
      </c>
      <c r="W27" s="88"/>
      <c r="X27" s="85">
        <v>407.62</v>
      </c>
      <c r="Y27" s="88">
        <f>Y28*Y23</f>
        <v>6383.2340000000004</v>
      </c>
      <c r="Z27" s="85">
        <v>1180.3</v>
      </c>
      <c r="AA27" s="85">
        <v>274</v>
      </c>
      <c r="AB27" s="88" t="s">
        <v>809</v>
      </c>
      <c r="AC27" s="89">
        <f>AC28*AC24</f>
        <v>188081.75999999998</v>
      </c>
      <c r="AD27" s="89">
        <f>AD28*AD24</f>
        <v>146880</v>
      </c>
      <c r="AE27" s="89"/>
    </row>
    <row r="28" spans="2:31" ht="36.5" customHeight="1">
      <c r="B28" s="61" t="s">
        <v>384</v>
      </c>
      <c r="C28" s="60" t="s">
        <v>450</v>
      </c>
      <c r="D28" s="120">
        <f>D27/D23</f>
        <v>20.034068499140833</v>
      </c>
      <c r="E28" s="85" t="s">
        <v>771</v>
      </c>
      <c r="F28" s="88">
        <f>F27/F23</f>
        <v>21.21211753785947</v>
      </c>
      <c r="G28" s="85">
        <f>G27/G24</f>
        <v>15.555555555555555</v>
      </c>
      <c r="H28" s="122">
        <v>16.27</v>
      </c>
      <c r="I28" s="122">
        <f>I27/I24</f>
        <v>20.071971830985916</v>
      </c>
      <c r="J28" s="122">
        <f>J27/J24</f>
        <v>94.868553676216777</v>
      </c>
      <c r="K28" s="85">
        <f t="shared" ref="K28:L28" si="0">K27/K24</f>
        <v>17.850000000000001</v>
      </c>
      <c r="L28" s="85">
        <f t="shared" si="0"/>
        <v>12.377491694352161</v>
      </c>
      <c r="M28" s="122">
        <f>M27/M24</f>
        <v>9.2499922593429709</v>
      </c>
      <c r="N28" s="85">
        <f t="shared" ref="N28" si="1">N27/N24</f>
        <v>13.817222222222222</v>
      </c>
      <c r="O28" s="85">
        <f>O27/O24</f>
        <v>10.332655889145496</v>
      </c>
      <c r="P28" s="85">
        <f t="shared" ref="P28:Q28" si="2">P27/P24</f>
        <v>10.71</v>
      </c>
      <c r="Q28" s="85">
        <f t="shared" si="2"/>
        <v>29.808957549006884</v>
      </c>
      <c r="R28" s="122">
        <f>R27/R23</f>
        <v>8.7392550143266483</v>
      </c>
      <c r="S28" s="85" t="s">
        <v>810</v>
      </c>
      <c r="T28" s="85">
        <f t="shared" ref="T28" si="3">T27/T24</f>
        <v>21.521910112359549</v>
      </c>
      <c r="U28" s="454">
        <v>15</v>
      </c>
      <c r="V28" s="85">
        <f t="shared" ref="V28" si="4">V27/V24</f>
        <v>9.375</v>
      </c>
      <c r="W28" s="85"/>
      <c r="X28" s="85">
        <f t="shared" ref="X28" si="5">X27/X24</f>
        <v>20.381</v>
      </c>
      <c r="Y28" s="122">
        <v>78.650000000000006</v>
      </c>
      <c r="Z28" s="85">
        <f t="shared" ref="Z28:AA28" si="6">Z27/Z24</f>
        <v>16.861428571428572</v>
      </c>
      <c r="AA28" s="85">
        <f t="shared" si="6"/>
        <v>10.96</v>
      </c>
      <c r="AB28" s="85"/>
      <c r="AC28" s="353">
        <f>82*12</f>
        <v>984</v>
      </c>
      <c r="AD28" s="353">
        <f>34*12</f>
        <v>408</v>
      </c>
      <c r="AE28" s="120">
        <v>434</v>
      </c>
    </row>
    <row r="29" spans="2:31" ht="36.5" customHeight="1">
      <c r="B29" s="61" t="s">
        <v>387</v>
      </c>
      <c r="C29" s="60" t="s">
        <v>388</v>
      </c>
      <c r="D29" s="121">
        <v>4.3744999999999999E-2</v>
      </c>
      <c r="E29" s="85" t="s">
        <v>771</v>
      </c>
      <c r="F29" s="121">
        <v>0.05</v>
      </c>
      <c r="G29" s="131"/>
      <c r="H29" s="121">
        <v>0.05</v>
      </c>
      <c r="I29" s="121">
        <v>0.05</v>
      </c>
      <c r="J29" s="456" t="s">
        <v>811</v>
      </c>
      <c r="K29" s="85" t="s">
        <v>812</v>
      </c>
      <c r="L29" s="85"/>
      <c r="M29" s="121">
        <v>0.05</v>
      </c>
      <c r="N29" s="85"/>
      <c r="O29" s="85"/>
      <c r="P29" s="85"/>
      <c r="Q29" s="85" t="s">
        <v>813</v>
      </c>
      <c r="R29" s="121">
        <v>0.05</v>
      </c>
      <c r="S29" s="85"/>
      <c r="T29" s="85"/>
      <c r="U29" s="131" t="s">
        <v>814</v>
      </c>
      <c r="V29" s="85"/>
      <c r="W29" s="85"/>
      <c r="X29" s="85"/>
      <c r="Y29" s="456" t="s">
        <v>811</v>
      </c>
      <c r="Z29" s="85"/>
      <c r="AA29" s="85"/>
      <c r="AB29" s="456" t="s">
        <v>811</v>
      </c>
      <c r="AC29" s="89" t="s">
        <v>410</v>
      </c>
      <c r="AD29" s="89" t="s">
        <v>410</v>
      </c>
      <c r="AE29" s="89" t="s">
        <v>452</v>
      </c>
    </row>
    <row r="30" spans="2:31" ht="36.5" customHeight="1">
      <c r="B30" s="59" t="s">
        <v>390</v>
      </c>
      <c r="C30" s="58" t="s">
        <v>453</v>
      </c>
      <c r="D30" s="457" t="s">
        <v>811</v>
      </c>
      <c r="E30" s="85" t="s">
        <v>771</v>
      </c>
      <c r="F30" s="457" t="s">
        <v>811</v>
      </c>
      <c r="G30" s="131"/>
      <c r="H30" s="457">
        <v>3.5</v>
      </c>
      <c r="I30" s="457" t="s">
        <v>811</v>
      </c>
      <c r="J30" s="457" t="s">
        <v>811</v>
      </c>
      <c r="K30" s="457" t="s">
        <v>811</v>
      </c>
      <c r="L30" s="457" t="s">
        <v>811</v>
      </c>
      <c r="M30" s="457">
        <v>2.23</v>
      </c>
      <c r="N30" s="457" t="s">
        <v>811</v>
      </c>
      <c r="O30" s="457" t="s">
        <v>811</v>
      </c>
      <c r="P30" s="457" t="s">
        <v>811</v>
      </c>
      <c r="Q30" s="457" t="s">
        <v>811</v>
      </c>
      <c r="R30" s="457" t="s">
        <v>811</v>
      </c>
      <c r="S30" s="457" t="s">
        <v>811</v>
      </c>
      <c r="T30" s="457" t="s">
        <v>811</v>
      </c>
      <c r="U30" s="455">
        <f>U31/U23</f>
        <v>2.0222498162742961</v>
      </c>
      <c r="V30" s="457" t="s">
        <v>811</v>
      </c>
      <c r="W30" s="457"/>
      <c r="X30" s="457" t="s">
        <v>811</v>
      </c>
      <c r="Y30" s="457" t="s">
        <v>811</v>
      </c>
      <c r="Z30" s="85"/>
      <c r="AA30" s="85"/>
      <c r="AB30" s="457" t="s">
        <v>811</v>
      </c>
      <c r="AC30" s="354">
        <f>21*12</f>
        <v>252</v>
      </c>
      <c r="AD30" s="354">
        <f>9*12</f>
        <v>108</v>
      </c>
      <c r="AE30" s="122">
        <v>400000</v>
      </c>
    </row>
    <row r="31" spans="2:31" ht="36.5" customHeight="1">
      <c r="B31" s="326"/>
      <c r="C31" s="327" t="s">
        <v>393</v>
      </c>
      <c r="D31" s="457" t="s">
        <v>811</v>
      </c>
      <c r="E31" s="85" t="s">
        <v>771</v>
      </c>
      <c r="F31" s="457" t="s">
        <v>811</v>
      </c>
      <c r="G31" s="85">
        <v>282.64</v>
      </c>
      <c r="H31" s="457">
        <f>H30*H23</f>
        <v>1680.49</v>
      </c>
      <c r="I31" s="457" t="s">
        <v>811</v>
      </c>
      <c r="J31" s="457" t="s">
        <v>811</v>
      </c>
      <c r="K31" s="85">
        <v>114</v>
      </c>
      <c r="L31" s="85">
        <v>0</v>
      </c>
      <c r="M31" s="457">
        <f>M30*M23</f>
        <v>720.22310000000004</v>
      </c>
      <c r="N31" s="85">
        <v>332.96</v>
      </c>
      <c r="O31" s="85">
        <v>398.39</v>
      </c>
      <c r="P31" s="85">
        <v>70</v>
      </c>
      <c r="Q31" s="85">
        <v>941.77</v>
      </c>
      <c r="R31" s="457" t="s">
        <v>811</v>
      </c>
      <c r="S31" s="457" t="s">
        <v>811</v>
      </c>
      <c r="T31" s="85">
        <v>171.88</v>
      </c>
      <c r="U31" s="454">
        <v>798</v>
      </c>
      <c r="V31" s="85">
        <v>60</v>
      </c>
      <c r="W31" s="85"/>
      <c r="X31" s="85">
        <v>188.25</v>
      </c>
      <c r="Y31" s="457" t="s">
        <v>815</v>
      </c>
      <c r="Z31" s="85">
        <v>296.60000000000002</v>
      </c>
      <c r="AA31" s="85">
        <v>29</v>
      </c>
      <c r="AB31" s="457" t="s">
        <v>811</v>
      </c>
      <c r="AC31" s="354">
        <f>AC30*AC24</f>
        <v>48167.28</v>
      </c>
      <c r="AD31" s="354">
        <f>AD30*AD24</f>
        <v>38880</v>
      </c>
      <c r="AE31" s="122"/>
    </row>
    <row r="32" spans="2:31" ht="36.5" customHeight="1">
      <c r="B32" s="59" t="s">
        <v>394</v>
      </c>
      <c r="C32" s="58" t="s">
        <v>395</v>
      </c>
      <c r="D32" s="457" t="s">
        <v>811</v>
      </c>
      <c r="E32" s="85" t="s">
        <v>771</v>
      </c>
      <c r="F32" s="457" t="s">
        <v>811</v>
      </c>
      <c r="G32" s="131"/>
      <c r="H32" s="457" t="s">
        <v>811</v>
      </c>
      <c r="I32" s="457" t="s">
        <v>811</v>
      </c>
      <c r="J32" s="457" t="s">
        <v>811</v>
      </c>
      <c r="K32" s="457" t="s">
        <v>811</v>
      </c>
      <c r="L32" s="457" t="s">
        <v>811</v>
      </c>
      <c r="M32" s="542" t="s">
        <v>811</v>
      </c>
      <c r="N32" s="457" t="s">
        <v>811</v>
      </c>
      <c r="O32" s="457" t="s">
        <v>811</v>
      </c>
      <c r="P32" s="457" t="s">
        <v>811</v>
      </c>
      <c r="Q32" s="457" t="s">
        <v>811</v>
      </c>
      <c r="R32" s="457" t="s">
        <v>811</v>
      </c>
      <c r="S32" s="457" t="s">
        <v>811</v>
      </c>
      <c r="T32" s="457" t="s">
        <v>811</v>
      </c>
      <c r="U32" s="131" t="s">
        <v>410</v>
      </c>
      <c r="V32" s="457" t="s">
        <v>811</v>
      </c>
      <c r="W32" s="457"/>
      <c r="X32" s="457" t="s">
        <v>811</v>
      </c>
      <c r="Y32" s="457" t="s">
        <v>811</v>
      </c>
      <c r="Z32" s="85"/>
      <c r="AA32" s="85"/>
      <c r="AB32" s="457" t="s">
        <v>811</v>
      </c>
      <c r="AC32" s="85" t="s">
        <v>410</v>
      </c>
      <c r="AD32" s="85" t="s">
        <v>410</v>
      </c>
      <c r="AE32" s="85" t="s">
        <v>452</v>
      </c>
    </row>
    <row r="33" spans="2:31" ht="36.5" customHeight="1">
      <c r="B33" s="57" t="s">
        <v>397</v>
      </c>
      <c r="C33" s="56" t="s">
        <v>313</v>
      </c>
      <c r="D33" s="91">
        <v>41257</v>
      </c>
      <c r="E33" s="85" t="s">
        <v>771</v>
      </c>
      <c r="F33" s="91" t="s">
        <v>816</v>
      </c>
      <c r="G33" s="91">
        <v>43922</v>
      </c>
      <c r="H33" s="91">
        <v>43466</v>
      </c>
      <c r="I33" s="91">
        <v>39692</v>
      </c>
      <c r="J33" s="459">
        <v>43101</v>
      </c>
      <c r="K33" s="91">
        <v>45884</v>
      </c>
      <c r="L33" s="91">
        <v>43040</v>
      </c>
      <c r="M33" s="91">
        <v>43070</v>
      </c>
      <c r="N33" s="91">
        <v>42826</v>
      </c>
      <c r="O33" s="91">
        <v>40269</v>
      </c>
      <c r="P33" s="91">
        <v>43282</v>
      </c>
      <c r="Q33" s="91">
        <v>43770</v>
      </c>
      <c r="R33" s="91">
        <v>43497</v>
      </c>
      <c r="S33" s="91">
        <v>43770</v>
      </c>
      <c r="T33" s="91">
        <v>43497</v>
      </c>
      <c r="U33" s="458">
        <v>43922</v>
      </c>
      <c r="V33" s="91">
        <v>43891</v>
      </c>
      <c r="W33" s="85"/>
      <c r="X33" s="91">
        <v>41730</v>
      </c>
      <c r="Y33" s="91">
        <v>45839</v>
      </c>
      <c r="Z33" s="91">
        <v>43466</v>
      </c>
      <c r="AA33" s="91">
        <v>42979</v>
      </c>
      <c r="AB33" s="91">
        <v>45870</v>
      </c>
      <c r="AC33" s="91">
        <v>45261</v>
      </c>
      <c r="AD33" s="91">
        <v>43101</v>
      </c>
      <c r="AE33" s="91">
        <v>44317</v>
      </c>
    </row>
    <row r="34" spans="2:31" ht="36.5" customHeight="1">
      <c r="B34" s="55" t="s">
        <v>398</v>
      </c>
      <c r="C34" s="56" t="s">
        <v>315</v>
      </c>
      <c r="D34" s="92">
        <v>47269</v>
      </c>
      <c r="E34" s="85" t="s">
        <v>771</v>
      </c>
      <c r="F34" s="91">
        <v>46143</v>
      </c>
      <c r="G34" s="91" t="s">
        <v>817</v>
      </c>
      <c r="H34" s="91">
        <v>46477</v>
      </c>
      <c r="I34" s="91">
        <v>46266</v>
      </c>
      <c r="J34" s="85" t="s">
        <v>818</v>
      </c>
      <c r="K34" s="85" t="s">
        <v>818</v>
      </c>
      <c r="L34" s="85" t="s">
        <v>818</v>
      </c>
      <c r="M34" s="91">
        <v>46356</v>
      </c>
      <c r="N34" s="85" t="s">
        <v>688</v>
      </c>
      <c r="O34" s="91">
        <v>47573</v>
      </c>
      <c r="P34" s="85" t="s">
        <v>818</v>
      </c>
      <c r="Q34" s="91">
        <v>46691</v>
      </c>
      <c r="R34" s="91">
        <v>46418</v>
      </c>
      <c r="S34" s="91">
        <v>46326</v>
      </c>
      <c r="T34" s="85" t="s">
        <v>818</v>
      </c>
      <c r="U34" s="458">
        <v>46477</v>
      </c>
      <c r="V34" s="85" t="s">
        <v>818</v>
      </c>
      <c r="W34" s="85"/>
      <c r="X34" s="85" t="s">
        <v>818</v>
      </c>
      <c r="Y34" s="85" t="s">
        <v>818</v>
      </c>
      <c r="Z34" s="85" t="s">
        <v>818</v>
      </c>
      <c r="AA34" s="85" t="s">
        <v>818</v>
      </c>
      <c r="AB34" s="85" t="s">
        <v>818</v>
      </c>
      <c r="AC34" s="91">
        <v>47087</v>
      </c>
      <c r="AD34" s="91" t="s">
        <v>480</v>
      </c>
      <c r="AE34" s="91">
        <v>46142</v>
      </c>
    </row>
    <row r="35" spans="2:31" ht="36.5" customHeight="1">
      <c r="B35" s="55" t="s">
        <v>399</v>
      </c>
      <c r="C35" s="56" t="s">
        <v>400</v>
      </c>
      <c r="D35" s="457" t="s">
        <v>811</v>
      </c>
      <c r="E35" s="85" t="s">
        <v>771</v>
      </c>
      <c r="F35" s="91">
        <v>45778</v>
      </c>
      <c r="G35" s="91">
        <v>45961</v>
      </c>
      <c r="H35" s="91">
        <v>46234</v>
      </c>
      <c r="I35" s="91">
        <v>46023</v>
      </c>
      <c r="J35" s="85" t="s">
        <v>818</v>
      </c>
      <c r="K35" s="91">
        <v>46142</v>
      </c>
      <c r="L35" s="91">
        <v>46053</v>
      </c>
      <c r="M35" s="91">
        <v>45991</v>
      </c>
      <c r="N35" s="85" t="s">
        <v>688</v>
      </c>
      <c r="O35" s="91">
        <v>47483</v>
      </c>
      <c r="P35" s="91">
        <v>45961</v>
      </c>
      <c r="Q35" s="91">
        <v>46387</v>
      </c>
      <c r="R35" s="91">
        <v>46234</v>
      </c>
      <c r="S35" s="91" t="s">
        <v>819</v>
      </c>
      <c r="T35" s="91">
        <v>45961</v>
      </c>
      <c r="U35" s="458" t="s">
        <v>820</v>
      </c>
      <c r="V35" s="91">
        <v>45961</v>
      </c>
      <c r="W35" s="85"/>
      <c r="X35" s="91">
        <v>46022</v>
      </c>
      <c r="Y35" s="85" t="s">
        <v>818</v>
      </c>
      <c r="Z35" s="91">
        <v>45961</v>
      </c>
      <c r="AA35" s="91">
        <v>45961</v>
      </c>
      <c r="AB35" s="85" t="s">
        <v>818</v>
      </c>
      <c r="AC35" s="91">
        <v>46721</v>
      </c>
      <c r="AD35" s="85" t="s">
        <v>480</v>
      </c>
      <c r="AE35" s="91">
        <v>46142</v>
      </c>
    </row>
    <row r="36" spans="2:31" ht="36.5" customHeight="1">
      <c r="B36" s="55" t="s">
        <v>402</v>
      </c>
      <c r="C36" s="54" t="s">
        <v>403</v>
      </c>
      <c r="D36" s="92" t="s">
        <v>680</v>
      </c>
      <c r="E36" s="85" t="s">
        <v>771</v>
      </c>
      <c r="F36" s="457"/>
      <c r="G36" s="93" t="s">
        <v>680</v>
      </c>
      <c r="H36" s="85" t="s">
        <v>414</v>
      </c>
      <c r="I36" s="85" t="s">
        <v>414</v>
      </c>
      <c r="J36" s="85" t="s">
        <v>680</v>
      </c>
      <c r="K36" s="85" t="s">
        <v>680</v>
      </c>
      <c r="L36" s="85" t="s">
        <v>680</v>
      </c>
      <c r="M36" s="85" t="s">
        <v>414</v>
      </c>
      <c r="N36" s="85" t="s">
        <v>680</v>
      </c>
      <c r="O36" s="85" t="s">
        <v>680</v>
      </c>
      <c r="P36" s="85" t="s">
        <v>680</v>
      </c>
      <c r="Q36" s="85" t="s">
        <v>680</v>
      </c>
      <c r="R36" s="85" t="s">
        <v>414</v>
      </c>
      <c r="S36" s="85" t="s">
        <v>328</v>
      </c>
      <c r="T36" s="85" t="s">
        <v>680</v>
      </c>
      <c r="U36" s="460" t="s">
        <v>414</v>
      </c>
      <c r="V36" s="85" t="s">
        <v>680</v>
      </c>
      <c r="W36" s="85"/>
      <c r="X36" s="85" t="s">
        <v>680</v>
      </c>
      <c r="Y36" s="85" t="s">
        <v>328</v>
      </c>
      <c r="Z36" s="85" t="s">
        <v>680</v>
      </c>
      <c r="AA36" s="85" t="s">
        <v>680</v>
      </c>
      <c r="AB36" s="85" t="s">
        <v>328</v>
      </c>
      <c r="AC36" s="92" t="s">
        <v>328</v>
      </c>
      <c r="AD36" s="92" t="s">
        <v>328</v>
      </c>
      <c r="AE36" s="92" t="s">
        <v>328</v>
      </c>
    </row>
    <row r="37" spans="2:31" ht="36.5" customHeight="1">
      <c r="B37" s="55" t="s">
        <v>404</v>
      </c>
      <c r="C37" s="54" t="s">
        <v>405</v>
      </c>
      <c r="D37" s="92" t="s">
        <v>811</v>
      </c>
      <c r="E37" s="85" t="s">
        <v>771</v>
      </c>
      <c r="F37" s="131"/>
      <c r="G37" s="93"/>
      <c r="H37" s="85" t="s">
        <v>821</v>
      </c>
      <c r="I37" s="85" t="s">
        <v>822</v>
      </c>
      <c r="J37" s="85"/>
      <c r="K37" s="85"/>
      <c r="L37" s="85"/>
      <c r="M37" s="85" t="s">
        <v>823</v>
      </c>
      <c r="N37" s="85"/>
      <c r="O37" s="85"/>
      <c r="P37" s="85"/>
      <c r="Q37" s="85"/>
      <c r="R37" s="85" t="s">
        <v>824</v>
      </c>
      <c r="S37" s="85"/>
      <c r="T37" s="85"/>
      <c r="U37" s="460" t="s">
        <v>825</v>
      </c>
      <c r="V37" s="85"/>
      <c r="W37" s="85"/>
      <c r="X37" s="85"/>
      <c r="Y37" s="85"/>
      <c r="Z37" s="85"/>
      <c r="AA37" s="85"/>
      <c r="AB37" s="85"/>
      <c r="AC37" s="92" t="s">
        <v>410</v>
      </c>
      <c r="AD37" s="92" t="s">
        <v>410</v>
      </c>
      <c r="AE37" s="92" t="s">
        <v>826</v>
      </c>
    </row>
    <row r="38" spans="2:31" ht="36.5" customHeight="1">
      <c r="B38" s="55" t="s">
        <v>406</v>
      </c>
      <c r="C38" s="54" t="s">
        <v>407</v>
      </c>
      <c r="D38" s="92" t="s">
        <v>680</v>
      </c>
      <c r="E38" s="85" t="s">
        <v>771</v>
      </c>
      <c r="F38" s="93" t="s">
        <v>414</v>
      </c>
      <c r="G38" s="85" t="s">
        <v>674</v>
      </c>
      <c r="H38" s="85" t="s">
        <v>414</v>
      </c>
      <c r="I38" s="85" t="s">
        <v>414</v>
      </c>
      <c r="J38" s="85" t="s">
        <v>414</v>
      </c>
      <c r="K38" s="85" t="s">
        <v>674</v>
      </c>
      <c r="L38" s="85" t="s">
        <v>674</v>
      </c>
      <c r="M38" s="85" t="s">
        <v>414</v>
      </c>
      <c r="N38" s="85" t="s">
        <v>688</v>
      </c>
      <c r="O38" s="85" t="s">
        <v>680</v>
      </c>
      <c r="P38" s="85" t="s">
        <v>674</v>
      </c>
      <c r="Q38" s="85" t="s">
        <v>827</v>
      </c>
      <c r="R38" s="85" t="s">
        <v>414</v>
      </c>
      <c r="S38" s="85" t="s">
        <v>328</v>
      </c>
      <c r="T38" s="85" t="s">
        <v>674</v>
      </c>
      <c r="U38" s="460" t="s">
        <v>414</v>
      </c>
      <c r="V38" s="85" t="s">
        <v>674</v>
      </c>
      <c r="W38" s="85"/>
      <c r="X38" s="85" t="s">
        <v>674</v>
      </c>
      <c r="Y38" s="85" t="s">
        <v>328</v>
      </c>
      <c r="Z38" s="85" t="s">
        <v>674</v>
      </c>
      <c r="AA38" s="85" t="s">
        <v>674</v>
      </c>
      <c r="AB38" s="85" t="s">
        <v>328</v>
      </c>
      <c r="AC38" s="92" t="s">
        <v>328</v>
      </c>
      <c r="AD38" s="92" t="s">
        <v>328</v>
      </c>
      <c r="AE38" s="92" t="s">
        <v>328</v>
      </c>
    </row>
    <row r="39" spans="2:31" ht="36.5" customHeight="1">
      <c r="B39" s="55" t="s">
        <v>408</v>
      </c>
      <c r="C39" s="54" t="s">
        <v>409</v>
      </c>
      <c r="D39" s="136" t="s">
        <v>811</v>
      </c>
      <c r="E39" s="85" t="s">
        <v>771</v>
      </c>
      <c r="F39" s="95">
        <v>12</v>
      </c>
      <c r="G39" s="85">
        <v>6</v>
      </c>
      <c r="H39" s="85">
        <v>9</v>
      </c>
      <c r="I39" s="85">
        <v>8</v>
      </c>
      <c r="J39" s="85" t="s">
        <v>818</v>
      </c>
      <c r="K39" s="85">
        <v>3</v>
      </c>
      <c r="L39" s="85">
        <v>3</v>
      </c>
      <c r="M39" s="85">
        <v>12</v>
      </c>
      <c r="N39" s="85">
        <v>6</v>
      </c>
      <c r="O39" s="85">
        <v>3</v>
      </c>
      <c r="P39" s="85">
        <v>3</v>
      </c>
      <c r="Q39" s="85">
        <v>9</v>
      </c>
      <c r="R39" s="85">
        <v>12</v>
      </c>
      <c r="S39" s="85" t="s">
        <v>828</v>
      </c>
      <c r="T39" s="85">
        <v>3</v>
      </c>
      <c r="U39" s="460" t="s">
        <v>829</v>
      </c>
      <c r="V39" s="85">
        <v>3</v>
      </c>
      <c r="W39" s="85"/>
      <c r="X39" s="85">
        <v>3</v>
      </c>
      <c r="Y39" s="85" t="s">
        <v>818</v>
      </c>
      <c r="Z39" s="85">
        <v>3</v>
      </c>
      <c r="AA39" s="85">
        <v>3</v>
      </c>
      <c r="AB39" s="85" t="s">
        <v>818</v>
      </c>
      <c r="AC39" s="136" t="s">
        <v>410</v>
      </c>
      <c r="AD39" s="136" t="s">
        <v>410</v>
      </c>
      <c r="AE39" s="136" t="s">
        <v>410</v>
      </c>
    </row>
    <row r="40" spans="2:31" ht="36.5" customHeight="1">
      <c r="B40" s="55" t="s">
        <v>411</v>
      </c>
      <c r="C40" s="54" t="s">
        <v>314</v>
      </c>
      <c r="D40" s="92">
        <v>47269</v>
      </c>
      <c r="E40" s="85" t="s">
        <v>771</v>
      </c>
      <c r="F40" s="91">
        <v>46157</v>
      </c>
      <c r="G40" s="85" t="s">
        <v>818</v>
      </c>
      <c r="H40" s="85" t="s">
        <v>818</v>
      </c>
      <c r="I40" s="85" t="s">
        <v>818</v>
      </c>
      <c r="J40" s="85" t="s">
        <v>818</v>
      </c>
      <c r="K40" s="85" t="s">
        <v>818</v>
      </c>
      <c r="L40" s="85" t="s">
        <v>818</v>
      </c>
      <c r="M40" s="91">
        <v>47452</v>
      </c>
      <c r="N40" s="91">
        <v>46112</v>
      </c>
      <c r="O40" s="85" t="s">
        <v>818</v>
      </c>
      <c r="P40" s="85" t="s">
        <v>818</v>
      </c>
      <c r="Q40" s="85" t="s">
        <v>818</v>
      </c>
      <c r="R40" s="91">
        <v>47149</v>
      </c>
      <c r="S40" s="91">
        <v>46326</v>
      </c>
      <c r="T40" s="85"/>
      <c r="U40" s="460">
        <v>46477</v>
      </c>
      <c r="V40" s="85"/>
      <c r="W40" s="85"/>
      <c r="X40" s="85"/>
      <c r="Y40" s="85" t="s">
        <v>818</v>
      </c>
      <c r="Z40" s="85"/>
      <c r="AA40" s="85"/>
      <c r="AB40" s="85" t="s">
        <v>818</v>
      </c>
      <c r="AC40" s="92">
        <v>48913</v>
      </c>
      <c r="AD40" s="92" t="s">
        <v>830</v>
      </c>
      <c r="AE40" s="92">
        <v>46142</v>
      </c>
    </row>
    <row r="41" spans="2:31" ht="36.5" customHeight="1">
      <c r="B41" s="53" t="s">
        <v>412</v>
      </c>
      <c r="C41" s="51" t="s">
        <v>413</v>
      </c>
      <c r="D41" s="92" t="s">
        <v>674</v>
      </c>
      <c r="E41" s="85" t="s">
        <v>771</v>
      </c>
      <c r="F41" s="92" t="s">
        <v>414</v>
      </c>
      <c r="G41" s="92" t="s">
        <v>328</v>
      </c>
      <c r="H41" s="92" t="s">
        <v>414</v>
      </c>
      <c r="I41" s="92" t="s">
        <v>414</v>
      </c>
      <c r="J41" s="92" t="s">
        <v>680</v>
      </c>
      <c r="K41" s="92" t="s">
        <v>328</v>
      </c>
      <c r="L41" s="92" t="s">
        <v>328</v>
      </c>
      <c r="M41" s="92" t="s">
        <v>414</v>
      </c>
      <c r="N41" s="92" t="s">
        <v>328</v>
      </c>
      <c r="O41" s="92" t="s">
        <v>674</v>
      </c>
      <c r="P41" s="92" t="s">
        <v>680</v>
      </c>
      <c r="Q41" s="92" t="s">
        <v>674</v>
      </c>
      <c r="R41" s="92" t="s">
        <v>414</v>
      </c>
      <c r="S41" s="92" t="s">
        <v>831</v>
      </c>
      <c r="T41" s="92" t="s">
        <v>674</v>
      </c>
      <c r="U41" s="461" t="s">
        <v>832</v>
      </c>
      <c r="V41" s="92" t="s">
        <v>680</v>
      </c>
      <c r="W41" s="92"/>
      <c r="X41" s="92" t="s">
        <v>680</v>
      </c>
      <c r="Y41" s="92" t="s">
        <v>328</v>
      </c>
      <c r="Z41" s="92" t="s">
        <v>674</v>
      </c>
      <c r="AA41" s="92" t="s">
        <v>680</v>
      </c>
      <c r="AB41" s="92" t="s">
        <v>328</v>
      </c>
      <c r="AC41" s="92" t="s">
        <v>328</v>
      </c>
      <c r="AD41" s="92" t="s">
        <v>328</v>
      </c>
      <c r="AE41" s="92" t="s">
        <v>833</v>
      </c>
    </row>
    <row r="42" spans="2:31" ht="36.5" customHeight="1">
      <c r="B42" s="52" t="s">
        <v>457</v>
      </c>
      <c r="C42" s="51" t="s">
        <v>458</v>
      </c>
      <c r="D42" s="136" t="s">
        <v>811</v>
      </c>
      <c r="E42" s="85" t="s">
        <v>771</v>
      </c>
      <c r="F42" s="95" t="s">
        <v>328</v>
      </c>
      <c r="G42" s="462"/>
      <c r="H42" s="95" t="s">
        <v>328</v>
      </c>
      <c r="I42" s="95" t="s">
        <v>328</v>
      </c>
      <c r="J42" s="95" t="s">
        <v>328</v>
      </c>
      <c r="K42" s="85"/>
      <c r="L42" s="85"/>
      <c r="M42" s="95"/>
      <c r="N42" s="95"/>
      <c r="O42" s="95"/>
      <c r="P42" s="95"/>
      <c r="Q42" s="95"/>
      <c r="R42" s="95" t="s">
        <v>328</v>
      </c>
      <c r="S42" s="95"/>
      <c r="T42" s="95"/>
      <c r="U42" s="350" t="s">
        <v>834</v>
      </c>
      <c r="V42" s="95" t="s">
        <v>680</v>
      </c>
      <c r="W42" s="95"/>
      <c r="X42" s="95" t="s">
        <v>680</v>
      </c>
      <c r="Y42" s="95" t="s">
        <v>328</v>
      </c>
      <c r="Z42" s="95" t="s">
        <v>680</v>
      </c>
      <c r="AA42" s="95" t="s">
        <v>680</v>
      </c>
      <c r="AB42" s="95" t="s">
        <v>328</v>
      </c>
      <c r="AC42" s="95" t="s">
        <v>328</v>
      </c>
      <c r="AD42" s="95" t="s">
        <v>328</v>
      </c>
      <c r="AE42" s="95" t="s">
        <v>328</v>
      </c>
    </row>
    <row r="43" spans="2:31" ht="36.5" customHeight="1">
      <c r="B43" s="50" t="s">
        <v>418</v>
      </c>
      <c r="C43" s="49" t="s">
        <v>419</v>
      </c>
      <c r="D43" s="85" t="s">
        <v>835</v>
      </c>
      <c r="E43" s="85" t="s">
        <v>771</v>
      </c>
      <c r="F43" s="95" t="s">
        <v>328</v>
      </c>
      <c r="G43" s="85" t="s">
        <v>328</v>
      </c>
      <c r="H43" s="95" t="s">
        <v>328</v>
      </c>
      <c r="I43" s="95" t="s">
        <v>328</v>
      </c>
      <c r="J43" s="85" t="s">
        <v>414</v>
      </c>
      <c r="K43" s="95" t="s">
        <v>328</v>
      </c>
      <c r="L43" s="95" t="s">
        <v>328</v>
      </c>
      <c r="M43" s="95" t="s">
        <v>328</v>
      </c>
      <c r="N43" s="85" t="s">
        <v>328</v>
      </c>
      <c r="O43" s="85" t="s">
        <v>674</v>
      </c>
      <c r="P43" s="95" t="s">
        <v>328</v>
      </c>
      <c r="Q43" s="85" t="s">
        <v>674</v>
      </c>
      <c r="R43" s="95" t="s">
        <v>328</v>
      </c>
      <c r="S43" s="85" t="s">
        <v>328</v>
      </c>
      <c r="T43" s="85" t="s">
        <v>328</v>
      </c>
      <c r="U43" s="131" t="s">
        <v>328</v>
      </c>
      <c r="V43" s="131" t="s">
        <v>328</v>
      </c>
      <c r="W43" s="85"/>
      <c r="X43" s="85" t="s">
        <v>680</v>
      </c>
      <c r="Y43" s="85" t="s">
        <v>414</v>
      </c>
      <c r="Z43" s="85" t="s">
        <v>680</v>
      </c>
      <c r="AA43" s="85" t="s">
        <v>680</v>
      </c>
      <c r="AB43" s="85" t="s">
        <v>414</v>
      </c>
      <c r="AC43" s="85" t="s">
        <v>414</v>
      </c>
      <c r="AD43" s="85" t="s">
        <v>414</v>
      </c>
      <c r="AE43" s="85" t="s">
        <v>414</v>
      </c>
    </row>
    <row r="44" spans="2:31" ht="36.5" customHeight="1">
      <c r="B44" s="50" t="s">
        <v>420</v>
      </c>
      <c r="C44" s="49" t="s">
        <v>421</v>
      </c>
      <c r="D44" s="85" t="s">
        <v>680</v>
      </c>
      <c r="E44" s="85" t="s">
        <v>771</v>
      </c>
      <c r="F44" s="95" t="s">
        <v>328</v>
      </c>
      <c r="G44" s="85" t="s">
        <v>328</v>
      </c>
      <c r="H44" s="95" t="s">
        <v>328</v>
      </c>
      <c r="I44" s="95" t="s">
        <v>328</v>
      </c>
      <c r="J44" s="85" t="s">
        <v>414</v>
      </c>
      <c r="K44" s="85" t="s">
        <v>328</v>
      </c>
      <c r="L44" s="85" t="s">
        <v>328</v>
      </c>
      <c r="M44" s="95" t="s">
        <v>328</v>
      </c>
      <c r="N44" s="85" t="s">
        <v>328</v>
      </c>
      <c r="O44" s="85" t="s">
        <v>680</v>
      </c>
      <c r="P44" s="85" t="s">
        <v>328</v>
      </c>
      <c r="Q44" s="85" t="s">
        <v>328</v>
      </c>
      <c r="R44" s="95" t="s">
        <v>328</v>
      </c>
      <c r="S44" s="85" t="s">
        <v>328</v>
      </c>
      <c r="T44" s="85" t="s">
        <v>328</v>
      </c>
      <c r="U44" s="131" t="s">
        <v>328</v>
      </c>
      <c r="V44" s="85" t="s">
        <v>328</v>
      </c>
      <c r="W44" s="85"/>
      <c r="X44" s="85" t="s">
        <v>328</v>
      </c>
      <c r="Y44" s="85" t="s">
        <v>414</v>
      </c>
      <c r="Z44" s="85"/>
      <c r="AA44" s="85" t="s">
        <v>328</v>
      </c>
      <c r="AB44" s="85" t="s">
        <v>414</v>
      </c>
      <c r="AC44" s="85" t="s">
        <v>328</v>
      </c>
      <c r="AD44" s="85" t="s">
        <v>328</v>
      </c>
      <c r="AE44" s="85" t="s">
        <v>328</v>
      </c>
    </row>
    <row r="45" spans="2:31" ht="36.5" customHeight="1">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row>
    <row r="46" spans="2:31" ht="36.5" customHeight="1">
      <c r="B46" s="27"/>
      <c r="C46" s="28" t="s">
        <v>423</v>
      </c>
      <c r="D46" s="85" t="s">
        <v>836</v>
      </c>
      <c r="E46" s="85" t="s">
        <v>771</v>
      </c>
      <c r="F46" s="85"/>
      <c r="G46" s="85">
        <v>2</v>
      </c>
      <c r="H46" s="85"/>
      <c r="I46" s="85"/>
      <c r="J46" s="85"/>
      <c r="K46" s="85">
        <v>2</v>
      </c>
      <c r="L46" s="85">
        <v>2</v>
      </c>
      <c r="M46" s="85"/>
      <c r="N46" s="85">
        <v>3</v>
      </c>
      <c r="O46" s="85">
        <v>11</v>
      </c>
      <c r="P46" s="85">
        <v>1</v>
      </c>
      <c r="Q46" s="85">
        <v>16</v>
      </c>
      <c r="R46" s="85"/>
      <c r="S46" s="85"/>
      <c r="T46" s="85">
        <v>3</v>
      </c>
      <c r="U46" s="131" t="s">
        <v>837</v>
      </c>
      <c r="V46" s="85">
        <v>3</v>
      </c>
      <c r="W46" s="85"/>
      <c r="X46" s="85">
        <v>1</v>
      </c>
      <c r="Y46" s="85"/>
      <c r="Z46" s="85">
        <v>3</v>
      </c>
      <c r="AA46" s="85">
        <v>1</v>
      </c>
      <c r="AB46" s="85"/>
      <c r="AC46" s="85">
        <v>30</v>
      </c>
      <c r="AD46" s="85">
        <v>30</v>
      </c>
      <c r="AE46" s="85">
        <v>150</v>
      </c>
    </row>
    <row r="47" spans="2:31" ht="36.5" customHeight="1">
      <c r="B47" s="27"/>
      <c r="C47" s="29" t="s">
        <v>424</v>
      </c>
      <c r="D47" s="85" t="s">
        <v>836</v>
      </c>
      <c r="E47" s="85" t="s">
        <v>771</v>
      </c>
      <c r="F47" s="85"/>
      <c r="G47" s="85">
        <v>0</v>
      </c>
      <c r="H47" s="85"/>
      <c r="I47" s="85"/>
      <c r="J47" s="85"/>
      <c r="K47" s="85">
        <v>0</v>
      </c>
      <c r="L47" s="85">
        <v>0</v>
      </c>
      <c r="M47" s="85"/>
      <c r="N47" s="85">
        <v>0</v>
      </c>
      <c r="O47" s="85">
        <v>5</v>
      </c>
      <c r="P47" s="85">
        <v>0</v>
      </c>
      <c r="Q47" s="85">
        <v>1</v>
      </c>
      <c r="R47" s="85"/>
      <c r="S47" s="85"/>
      <c r="T47" s="85">
        <v>0</v>
      </c>
      <c r="U47" s="131">
        <v>6</v>
      </c>
      <c r="V47" s="85">
        <v>0</v>
      </c>
      <c r="W47" s="85"/>
      <c r="X47" s="85">
        <v>0</v>
      </c>
      <c r="Y47" s="85"/>
      <c r="Z47" s="85">
        <v>0</v>
      </c>
      <c r="AA47" s="85">
        <v>0</v>
      </c>
      <c r="AB47" s="85"/>
      <c r="AC47" s="85"/>
      <c r="AD47" s="85"/>
      <c r="AE47" s="85"/>
    </row>
    <row r="48" spans="2:31" ht="36.5" customHeight="1">
      <c r="B48" s="27"/>
      <c r="C48" s="29" t="s">
        <v>425</v>
      </c>
      <c r="D48" s="85" t="s">
        <v>836</v>
      </c>
      <c r="E48" s="85" t="s">
        <v>771</v>
      </c>
      <c r="F48" s="85"/>
      <c r="G48" s="85">
        <v>2</v>
      </c>
      <c r="H48" s="85"/>
      <c r="I48" s="85"/>
      <c r="J48" s="85"/>
      <c r="K48" s="85">
        <v>2</v>
      </c>
      <c r="L48" s="85">
        <v>2</v>
      </c>
      <c r="M48" s="85"/>
      <c r="N48" s="85">
        <v>3</v>
      </c>
      <c r="O48" s="85">
        <v>6</v>
      </c>
      <c r="P48" s="85">
        <v>1</v>
      </c>
      <c r="Q48" s="85">
        <v>15</v>
      </c>
      <c r="R48" s="85"/>
      <c r="S48" s="85"/>
      <c r="T48" s="85">
        <v>3</v>
      </c>
      <c r="U48" s="131">
        <v>8</v>
      </c>
      <c r="V48" s="85">
        <v>3</v>
      </c>
      <c r="W48" s="85"/>
      <c r="X48" s="85">
        <v>1</v>
      </c>
      <c r="Y48" s="85"/>
      <c r="Z48" s="85">
        <v>3</v>
      </c>
      <c r="AA48" s="85">
        <v>1</v>
      </c>
      <c r="AB48" s="85"/>
      <c r="AC48" s="85"/>
      <c r="AD48" s="85"/>
      <c r="AE48" s="85"/>
    </row>
    <row r="49" spans="2:31" ht="10" customHeight="1">
      <c r="B49" s="27"/>
      <c r="C49" s="30"/>
      <c r="D49" s="96"/>
      <c r="E49" s="96"/>
      <c r="F49" s="96"/>
      <c r="G49" s="96"/>
      <c r="H49" s="96"/>
      <c r="I49" s="96"/>
      <c r="J49" s="96"/>
      <c r="K49" s="96"/>
      <c r="L49" s="96"/>
      <c r="M49" s="96"/>
      <c r="N49" s="96"/>
      <c r="O49" s="96"/>
      <c r="P49" s="96"/>
      <c r="Q49" s="96"/>
      <c r="R49" s="96"/>
      <c r="S49" s="96"/>
      <c r="T49" s="96"/>
      <c r="U49" s="379"/>
      <c r="V49" s="96"/>
      <c r="W49" s="96"/>
      <c r="X49" s="96"/>
      <c r="Y49" s="96"/>
      <c r="Z49" s="96"/>
      <c r="AA49" s="96"/>
      <c r="AB49" s="96"/>
      <c r="AC49" s="96"/>
      <c r="AD49" s="96"/>
      <c r="AE49" s="96"/>
    </row>
    <row r="50" spans="2:31" ht="36.5" customHeight="1">
      <c r="B50" s="27"/>
      <c r="C50" s="28" t="s">
        <v>426</v>
      </c>
      <c r="D50" s="85" t="s">
        <v>836</v>
      </c>
      <c r="E50" s="85" t="s">
        <v>771</v>
      </c>
      <c r="F50" s="85"/>
      <c r="G50" s="85">
        <v>2</v>
      </c>
      <c r="H50" s="85"/>
      <c r="I50" s="85"/>
      <c r="J50" s="85"/>
      <c r="K50" s="85">
        <v>2</v>
      </c>
      <c r="L50" s="85">
        <v>2</v>
      </c>
      <c r="M50" s="85"/>
      <c r="N50" s="85">
        <v>3</v>
      </c>
      <c r="O50" s="85">
        <v>11</v>
      </c>
      <c r="P50" s="85">
        <v>1</v>
      </c>
      <c r="Q50" s="85">
        <v>16</v>
      </c>
      <c r="R50" s="85"/>
      <c r="S50" s="85"/>
      <c r="T50" s="85">
        <v>3</v>
      </c>
      <c r="U50" s="131">
        <v>14</v>
      </c>
      <c r="V50" s="85">
        <v>3</v>
      </c>
      <c r="W50" s="85"/>
      <c r="X50" s="85">
        <v>1</v>
      </c>
      <c r="Y50" s="85"/>
      <c r="Z50" s="85">
        <v>3</v>
      </c>
      <c r="AA50" s="85">
        <v>1</v>
      </c>
      <c r="AB50" s="85"/>
      <c r="AC50" s="85">
        <v>22</v>
      </c>
      <c r="AD50" s="85">
        <v>26</v>
      </c>
      <c r="AE50" s="85">
        <v>65</v>
      </c>
    </row>
    <row r="51" spans="2:31" ht="33.5" customHeight="1">
      <c r="B51" s="27"/>
      <c r="C51" s="29" t="s">
        <v>424</v>
      </c>
      <c r="D51" s="85" t="s">
        <v>836</v>
      </c>
      <c r="E51" s="85" t="s">
        <v>771</v>
      </c>
      <c r="F51" s="85"/>
      <c r="G51" s="85">
        <v>0</v>
      </c>
      <c r="H51" s="85"/>
      <c r="I51" s="85"/>
      <c r="J51" s="85"/>
      <c r="K51" s="85">
        <v>0</v>
      </c>
      <c r="L51" s="85">
        <v>0</v>
      </c>
      <c r="M51" s="85"/>
      <c r="N51" s="85">
        <v>0</v>
      </c>
      <c r="O51" s="85">
        <v>5</v>
      </c>
      <c r="P51" s="85">
        <v>0</v>
      </c>
      <c r="Q51" s="85">
        <v>1</v>
      </c>
      <c r="R51" s="85"/>
      <c r="S51" s="85"/>
      <c r="T51" s="85">
        <v>0</v>
      </c>
      <c r="U51" s="131">
        <v>6</v>
      </c>
      <c r="V51" s="85">
        <v>0</v>
      </c>
      <c r="W51" s="85"/>
      <c r="X51" s="85">
        <v>0</v>
      </c>
      <c r="Y51" s="85"/>
      <c r="Z51" s="85">
        <v>0</v>
      </c>
      <c r="AA51" s="85">
        <v>0</v>
      </c>
      <c r="AB51" s="85"/>
      <c r="AC51" s="85"/>
      <c r="AD51" s="85"/>
      <c r="AE51" s="85"/>
    </row>
    <row r="52" spans="2:31" ht="36.5" customHeight="1">
      <c r="B52" s="27"/>
      <c r="C52" s="29" t="s">
        <v>425</v>
      </c>
      <c r="D52" s="85" t="s">
        <v>836</v>
      </c>
      <c r="E52" s="85" t="s">
        <v>771</v>
      </c>
      <c r="F52" s="85"/>
      <c r="G52" s="85">
        <v>2</v>
      </c>
      <c r="H52" s="85"/>
      <c r="I52" s="85"/>
      <c r="J52" s="85"/>
      <c r="K52" s="85">
        <v>2</v>
      </c>
      <c r="L52" s="85">
        <v>2</v>
      </c>
      <c r="M52" s="85"/>
      <c r="N52" s="85">
        <v>3</v>
      </c>
      <c r="O52" s="85">
        <v>6</v>
      </c>
      <c r="P52" s="85">
        <v>1</v>
      </c>
      <c r="Q52" s="85">
        <v>15</v>
      </c>
      <c r="R52" s="85"/>
      <c r="S52" s="85"/>
      <c r="T52" s="85">
        <v>3</v>
      </c>
      <c r="U52" s="131">
        <v>8</v>
      </c>
      <c r="V52" s="85">
        <v>3</v>
      </c>
      <c r="W52" s="85"/>
      <c r="X52" s="85">
        <v>1</v>
      </c>
      <c r="Y52" s="85"/>
      <c r="Z52" s="85">
        <v>3</v>
      </c>
      <c r="AA52" s="85">
        <v>1</v>
      </c>
      <c r="AB52" s="85"/>
      <c r="AC52" s="85"/>
      <c r="AD52" s="85"/>
      <c r="AE52" s="85"/>
    </row>
    <row r="53" spans="2:31" ht="12" customHeight="1">
      <c r="B53" s="27"/>
      <c r="C53" s="31"/>
      <c r="D53" s="96"/>
      <c r="E53" s="96"/>
      <c r="F53" s="96"/>
      <c r="G53" s="96"/>
      <c r="H53" s="96"/>
      <c r="I53" s="96"/>
      <c r="J53" s="96"/>
      <c r="K53" s="96"/>
      <c r="L53" s="96"/>
      <c r="M53" s="96"/>
      <c r="N53" s="96"/>
      <c r="O53" s="96"/>
      <c r="P53" s="96"/>
      <c r="Q53" s="96"/>
      <c r="R53" s="96"/>
      <c r="S53" s="96"/>
      <c r="T53" s="96"/>
      <c r="U53" s="379"/>
      <c r="V53" s="96"/>
      <c r="W53" s="96"/>
      <c r="X53" s="96"/>
      <c r="Y53" s="96"/>
      <c r="Z53" s="96"/>
      <c r="AA53" s="96"/>
      <c r="AB53" s="96"/>
      <c r="AC53" s="96"/>
      <c r="AD53" s="96"/>
      <c r="AE53" s="96"/>
    </row>
    <row r="54" spans="2:31" ht="29" customHeight="1">
      <c r="B54" s="27"/>
      <c r="C54" s="28" t="s">
        <v>427</v>
      </c>
      <c r="D54" s="85" t="s">
        <v>836</v>
      </c>
      <c r="E54" s="85" t="s">
        <v>771</v>
      </c>
      <c r="F54" s="85"/>
      <c r="G54" s="131" t="s">
        <v>328</v>
      </c>
      <c r="H54" s="85"/>
      <c r="I54" s="85"/>
      <c r="J54" s="85"/>
      <c r="K54" s="85" t="s">
        <v>328</v>
      </c>
      <c r="L54" s="85" t="s">
        <v>328</v>
      </c>
      <c r="M54" s="85"/>
      <c r="N54" s="85" t="s">
        <v>328</v>
      </c>
      <c r="O54" s="85" t="s">
        <v>328</v>
      </c>
      <c r="P54" s="85" t="s">
        <v>328</v>
      </c>
      <c r="Q54" s="85" t="s">
        <v>328</v>
      </c>
      <c r="R54" s="85"/>
      <c r="S54" s="85"/>
      <c r="T54" s="85" t="s">
        <v>328</v>
      </c>
      <c r="U54" s="131" t="s">
        <v>498</v>
      </c>
      <c r="V54" s="85" t="s">
        <v>328</v>
      </c>
      <c r="W54" s="85"/>
      <c r="X54" s="85" t="s">
        <v>328</v>
      </c>
      <c r="Y54" s="85"/>
      <c r="Z54" s="85" t="s">
        <v>328</v>
      </c>
      <c r="AA54" s="85" t="s">
        <v>328</v>
      </c>
      <c r="AB54" s="85"/>
      <c r="AC54" s="85"/>
      <c r="AD54" s="85"/>
      <c r="AE54" s="85"/>
    </row>
    <row r="55" spans="2:31" s="463" customFormat="1" ht="36.5" customHeight="1">
      <c r="B55" s="101"/>
      <c r="C55" s="28" t="s">
        <v>428</v>
      </c>
      <c r="D55" s="85" t="s">
        <v>836</v>
      </c>
      <c r="E55" s="85" t="s">
        <v>771</v>
      </c>
      <c r="F55" s="85"/>
      <c r="G55" s="85">
        <v>1</v>
      </c>
      <c r="H55" s="85"/>
      <c r="I55" s="85"/>
      <c r="J55" s="85"/>
      <c r="K55" s="85">
        <v>1</v>
      </c>
      <c r="L55" s="85">
        <v>1</v>
      </c>
      <c r="M55" s="85"/>
      <c r="N55" s="85">
        <v>1</v>
      </c>
      <c r="O55" s="85">
        <v>1</v>
      </c>
      <c r="P55" s="85">
        <v>1</v>
      </c>
      <c r="Q55" s="85">
        <v>1</v>
      </c>
      <c r="R55" s="85"/>
      <c r="S55" s="85">
        <v>3</v>
      </c>
      <c r="T55" s="85">
        <v>1</v>
      </c>
      <c r="U55" s="131" t="s">
        <v>838</v>
      </c>
      <c r="V55" s="85">
        <v>1</v>
      </c>
      <c r="W55" s="85"/>
      <c r="X55" s="85">
        <v>1</v>
      </c>
      <c r="Y55" s="85"/>
      <c r="Z55" s="85">
        <v>1</v>
      </c>
      <c r="AA55" s="85">
        <v>1</v>
      </c>
      <c r="AB55" s="85"/>
      <c r="AC55" s="85"/>
      <c r="AD55" s="85"/>
      <c r="AE55" s="85"/>
    </row>
    <row r="56" spans="2:31" s="463" customFormat="1" ht="33.5" customHeight="1">
      <c r="B56" s="101"/>
      <c r="C56" s="330" t="s">
        <v>429</v>
      </c>
      <c r="D56" s="85" t="s">
        <v>836</v>
      </c>
      <c r="E56" s="85" t="s">
        <v>771</v>
      </c>
      <c r="F56" s="85"/>
      <c r="G56" s="95">
        <v>1</v>
      </c>
      <c r="H56" s="95"/>
      <c r="I56" s="95"/>
      <c r="J56" s="95"/>
      <c r="K56" s="95">
        <v>1</v>
      </c>
      <c r="L56" s="95">
        <v>1</v>
      </c>
      <c r="M56" s="95"/>
      <c r="N56" s="95">
        <v>1</v>
      </c>
      <c r="O56" s="95">
        <v>1</v>
      </c>
      <c r="P56" s="85">
        <v>1</v>
      </c>
      <c r="Q56" s="85">
        <v>1</v>
      </c>
      <c r="R56" s="85"/>
      <c r="S56" s="85">
        <v>3</v>
      </c>
      <c r="T56" s="85">
        <v>1</v>
      </c>
      <c r="U56" s="350">
        <v>1</v>
      </c>
      <c r="V56" s="85">
        <v>1</v>
      </c>
      <c r="W56" s="85"/>
      <c r="X56" s="85">
        <v>1</v>
      </c>
      <c r="Y56" s="85"/>
      <c r="Z56" s="85">
        <v>1</v>
      </c>
      <c r="AA56" s="85">
        <v>1</v>
      </c>
      <c r="AB56" s="85"/>
      <c r="AC56" s="85"/>
      <c r="AD56" s="85"/>
      <c r="AE56" s="85"/>
    </row>
    <row r="57" spans="2:31" s="463" customFormat="1" ht="56" customHeight="1">
      <c r="C57" s="331" t="s">
        <v>430</v>
      </c>
      <c r="D57" s="85" t="s">
        <v>836</v>
      </c>
      <c r="E57" s="85" t="s">
        <v>771</v>
      </c>
      <c r="F57" s="85"/>
      <c r="G57" s="95">
        <v>1</v>
      </c>
      <c r="H57" s="464"/>
      <c r="I57" s="464"/>
      <c r="J57" s="464"/>
      <c r="K57" s="95">
        <v>1</v>
      </c>
      <c r="L57" s="95">
        <v>1</v>
      </c>
      <c r="M57" s="464"/>
      <c r="N57" s="95">
        <v>1</v>
      </c>
      <c r="O57" s="95">
        <v>1</v>
      </c>
      <c r="P57" s="85">
        <v>1</v>
      </c>
      <c r="Q57" s="85">
        <v>1</v>
      </c>
      <c r="R57" s="464"/>
      <c r="S57" s="464" t="s">
        <v>839</v>
      </c>
      <c r="T57" s="85">
        <v>1</v>
      </c>
      <c r="U57" s="465" t="s">
        <v>840</v>
      </c>
      <c r="V57" s="85">
        <v>1</v>
      </c>
      <c r="W57" s="85"/>
      <c r="X57" s="85">
        <v>1</v>
      </c>
      <c r="Y57" s="85"/>
      <c r="Z57" s="85">
        <v>1</v>
      </c>
      <c r="AA57" s="85">
        <v>1</v>
      </c>
      <c r="AB57" s="85"/>
      <c r="AC57" s="85"/>
      <c r="AD57" s="85"/>
      <c r="AE57" s="85"/>
    </row>
    <row r="58" spans="2:31" s="463" customFormat="1" ht="57" customHeight="1">
      <c r="C58" s="331" t="s">
        <v>431</v>
      </c>
      <c r="D58" s="85" t="s">
        <v>836</v>
      </c>
      <c r="E58" s="85" t="s">
        <v>771</v>
      </c>
      <c r="F58" s="85"/>
      <c r="G58" s="71" t="s">
        <v>841</v>
      </c>
      <c r="H58" s="464"/>
      <c r="I58" s="464"/>
      <c r="J58" s="464"/>
      <c r="K58" s="71" t="s">
        <v>841</v>
      </c>
      <c r="L58" s="71" t="s">
        <v>841</v>
      </c>
      <c r="M58" s="464"/>
      <c r="N58" s="71" t="s">
        <v>841</v>
      </c>
      <c r="O58" s="466" t="s">
        <v>842</v>
      </c>
      <c r="P58" s="85">
        <v>1</v>
      </c>
      <c r="Q58" s="85">
        <v>1</v>
      </c>
      <c r="R58" s="464"/>
      <c r="S58" s="464" t="s">
        <v>839</v>
      </c>
      <c r="T58" s="85">
        <v>1</v>
      </c>
      <c r="U58" s="465" t="s">
        <v>840</v>
      </c>
      <c r="V58" s="85">
        <v>1</v>
      </c>
      <c r="W58" s="85"/>
      <c r="X58" s="85">
        <v>1</v>
      </c>
      <c r="Y58" s="85"/>
      <c r="Z58" s="85">
        <v>1</v>
      </c>
      <c r="AA58" s="85">
        <v>1</v>
      </c>
      <c r="AB58" s="85"/>
      <c r="AC58" s="85"/>
      <c r="AD58" s="85"/>
      <c r="AE58" s="85"/>
    </row>
    <row r="60" spans="2:31" ht="17" customHeight="1">
      <c r="D60" s="1" t="s">
        <v>432</v>
      </c>
    </row>
    <row r="61" spans="2:31" ht="17" customHeight="1">
      <c r="D61" s="97" t="s">
        <v>433</v>
      </c>
    </row>
    <row r="62" spans="2:31" ht="17" customHeight="1">
      <c r="D62" s="98" t="s">
        <v>434</v>
      </c>
    </row>
    <row r="63" spans="2:31" ht="17" customHeight="1">
      <c r="D63" s="98" t="s">
        <v>435</v>
      </c>
    </row>
    <row r="64" spans="2:31" ht="17" customHeight="1">
      <c r="D64" s="98" t="s">
        <v>436</v>
      </c>
    </row>
    <row r="65" spans="4:4" ht="17" customHeight="1">
      <c r="D65" s="98" t="s">
        <v>437</v>
      </c>
    </row>
    <row r="66" spans="4:4" ht="17" customHeight="1">
      <c r="D66" s="98" t="s">
        <v>438</v>
      </c>
    </row>
    <row r="67" spans="4:4" ht="17" customHeight="1"/>
    <row r="68" spans="4:4" ht="17" customHeight="1">
      <c r="D68" s="99" t="s">
        <v>439</v>
      </c>
    </row>
  </sheetData>
  <mergeCells count="2">
    <mergeCell ref="C6:D6"/>
    <mergeCell ref="C7:D7"/>
  </mergeCells>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expression" dxfId="118" priority="3">
      <formula>#REF!="Owned"</formula>
    </cfRule>
    <cfRule type="colorScale" priority="4">
      <colorScale>
        <cfvo type="min"/>
        <cfvo type="percentile" val="50"/>
        <cfvo type="max"/>
        <color rgb="FFF8696B"/>
        <color rgb="FFFCFCFF"/>
        <color rgb="FF63BE7B"/>
      </colorScale>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0 B32">
    <cfRule type="colorScale" priority="5">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B28:C29">
    <cfRule type="expression" dxfId="117" priority="6">
      <formula>#REF!="Owned"</formula>
    </cfRule>
  </conditionalFormatting>
  <conditionalFormatting sqref="C25:C32">
    <cfRule type="expression" dxfId="116" priority="1">
      <formula>#REF!="Owned"</formula>
    </cfRule>
  </conditionalFormatting>
  <dataValidations count="1">
    <dataValidation type="list" allowBlank="1" showInputMessage="1" showErrorMessage="1" sqref="E6" xr:uid="{31D66B69-0472-415A-9D5D-F04E3240FCE7}">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470A-F4A8-4BD1-A5EE-36835B593CF9}">
  <sheetPr codeName="Feuil16">
    <tabColor rgb="FF00B050"/>
    <pageSetUpPr fitToPage="1"/>
  </sheetPr>
  <dimension ref="B2:R68"/>
  <sheetViews>
    <sheetView topLeftCell="A56" zoomScale="70" zoomScaleNormal="70" workbookViewId="0">
      <selection activeCell="C27" sqref="C27"/>
    </sheetView>
  </sheetViews>
  <sheetFormatPr baseColWidth="10" defaultColWidth="9.1640625" defaultRowHeight="36.5" customHeight="1"/>
  <cols>
    <col min="1" max="1" width="19.5" style="1" customWidth="1"/>
    <col min="2" max="2" width="24.1640625" style="1" customWidth="1"/>
    <col min="3" max="3" width="25.5" style="1" customWidth="1"/>
    <col min="4" max="18" width="22.83203125" style="1" customWidth="1"/>
    <col min="19" max="16384" width="9.1640625" style="1"/>
  </cols>
  <sheetData>
    <row r="2" spans="2:18" ht="36.5" customHeight="1">
      <c r="C2" s="506" t="s">
        <v>323</v>
      </c>
      <c r="D2" s="100">
        <v>45926</v>
      </c>
      <c r="E2" s="315"/>
      <c r="I2" s="4"/>
    </row>
    <row r="4" spans="2:18" ht="36.5" customHeight="1">
      <c r="C4" s="316" t="s">
        <v>324</v>
      </c>
      <c r="D4" s="82" t="s">
        <v>88</v>
      </c>
      <c r="E4" s="82" t="s">
        <v>88</v>
      </c>
      <c r="F4" s="82" t="s">
        <v>88</v>
      </c>
      <c r="G4" s="82" t="s">
        <v>88</v>
      </c>
      <c r="I4" s="5"/>
    </row>
    <row r="6" spans="2:18" ht="36.5" customHeight="1">
      <c r="B6" s="1" t="s">
        <v>326</v>
      </c>
      <c r="C6" s="589" t="s">
        <v>327</v>
      </c>
      <c r="D6" s="591"/>
      <c r="E6" s="6" t="s">
        <v>414</v>
      </c>
      <c r="F6" s="101"/>
      <c r="G6" s="101"/>
      <c r="H6" s="101"/>
    </row>
    <row r="7" spans="2:18" ht="36.5" customHeight="1">
      <c r="B7" s="1" t="s">
        <v>326</v>
      </c>
      <c r="C7" s="589" t="s">
        <v>329</v>
      </c>
      <c r="D7" s="591"/>
      <c r="E7" s="6">
        <v>4</v>
      </c>
      <c r="F7" s="101"/>
      <c r="G7" s="101"/>
      <c r="H7" s="101"/>
    </row>
    <row r="8" spans="2:18" ht="36.5" customHeight="1">
      <c r="C8" s="113"/>
      <c r="D8" s="113"/>
      <c r="E8" s="42"/>
      <c r="F8" s="101"/>
      <c r="G8" s="101"/>
      <c r="H8" s="101"/>
    </row>
    <row r="9" spans="2:18" ht="36.5" customHeight="1">
      <c r="C9" s="343" t="s">
        <v>441</v>
      </c>
      <c r="D9" s="67"/>
      <c r="E9" s="67"/>
      <c r="F9" s="67"/>
      <c r="G9" s="67"/>
      <c r="H9" s="67"/>
      <c r="I9" s="67"/>
      <c r="J9" s="67"/>
      <c r="K9" s="67"/>
      <c r="L9" s="67"/>
      <c r="M9" s="67"/>
      <c r="N9" s="67"/>
      <c r="O9" s="67"/>
      <c r="P9" s="67"/>
      <c r="Q9" s="67"/>
    </row>
    <row r="10" spans="2:18" ht="36.5" customHeight="1">
      <c r="C10" s="344" t="s">
        <v>331</v>
      </c>
      <c r="D10" s="345" t="s">
        <v>843</v>
      </c>
      <c r="E10" s="346" t="s">
        <v>844</v>
      </c>
      <c r="F10" s="114" t="s">
        <v>845</v>
      </c>
      <c r="G10" s="114" t="s">
        <v>846</v>
      </c>
      <c r="H10" s="114" t="s">
        <v>336</v>
      </c>
      <c r="I10" s="114" t="s">
        <v>337</v>
      </c>
      <c r="J10" s="114" t="s">
        <v>338</v>
      </c>
      <c r="K10" s="114" t="s">
        <v>339</v>
      </c>
      <c r="L10" s="114" t="s">
        <v>340</v>
      </c>
      <c r="M10" s="114" t="s">
        <v>341</v>
      </c>
      <c r="N10" s="114" t="s">
        <v>342</v>
      </c>
      <c r="O10" s="114" t="s">
        <v>343</v>
      </c>
      <c r="P10" s="114" t="s">
        <v>344</v>
      </c>
      <c r="Q10" s="114" t="s">
        <v>345</v>
      </c>
      <c r="R10" s="114" t="s">
        <v>346</v>
      </c>
    </row>
    <row r="11" spans="2:18" ht="36.5" customHeight="1">
      <c r="C11" s="157" t="str">
        <f>D4</f>
        <v>BU Greece</v>
      </c>
      <c r="D11" s="84" t="s">
        <v>847</v>
      </c>
      <c r="E11" s="84" t="s">
        <v>848</v>
      </c>
      <c r="F11" s="84" t="s">
        <v>849</v>
      </c>
      <c r="G11" s="84" t="s">
        <v>850</v>
      </c>
      <c r="H11" s="84"/>
      <c r="I11" s="84"/>
      <c r="J11" s="84"/>
      <c r="K11" s="84"/>
      <c r="L11" s="84"/>
      <c r="M11" s="84"/>
      <c r="N11" s="84"/>
      <c r="O11" s="84"/>
      <c r="P11" s="84"/>
      <c r="Q11" s="84"/>
      <c r="R11" s="84"/>
    </row>
    <row r="12" spans="2:18" ht="36.5" customHeight="1">
      <c r="C12" s="68"/>
      <c r="D12" s="320"/>
      <c r="E12" s="321"/>
      <c r="F12" s="321"/>
      <c r="G12" s="321"/>
      <c r="H12" s="321"/>
      <c r="I12" s="321"/>
      <c r="J12" s="322"/>
      <c r="K12" s="322"/>
      <c r="L12" s="322"/>
      <c r="M12" s="322"/>
      <c r="N12" s="322"/>
      <c r="O12" s="322"/>
      <c r="P12" s="322"/>
      <c r="Q12" s="322"/>
      <c r="R12" s="322"/>
    </row>
    <row r="13" spans="2:18" ht="36.5" customHeight="1">
      <c r="B13" s="7" t="s">
        <v>348</v>
      </c>
      <c r="C13" s="8" t="s">
        <v>349</v>
      </c>
      <c r="D13" s="118" t="s">
        <v>851</v>
      </c>
      <c r="E13" s="118" t="s">
        <v>852</v>
      </c>
      <c r="F13" s="118" t="s">
        <v>851</v>
      </c>
      <c r="G13" s="118" t="s">
        <v>852</v>
      </c>
      <c r="H13" s="118"/>
      <c r="I13" s="118"/>
      <c r="J13" s="118"/>
      <c r="K13" s="118"/>
      <c r="L13" s="118"/>
      <c r="M13" s="118"/>
      <c r="N13" s="118"/>
      <c r="O13" s="118"/>
      <c r="P13" s="118"/>
      <c r="Q13" s="118"/>
      <c r="R13" s="118"/>
    </row>
    <row r="14" spans="2:18" ht="36.5" customHeight="1">
      <c r="B14" s="7" t="s">
        <v>352</v>
      </c>
      <c r="C14" s="8" t="s">
        <v>297</v>
      </c>
      <c r="D14" s="85" t="s">
        <v>90</v>
      </c>
      <c r="E14" s="85" t="s">
        <v>94</v>
      </c>
      <c r="F14" s="85" t="s">
        <v>92</v>
      </c>
      <c r="G14" s="85" t="s">
        <v>95</v>
      </c>
      <c r="H14" s="85"/>
      <c r="I14" s="85"/>
      <c r="J14" s="85"/>
      <c r="K14" s="85"/>
      <c r="L14" s="85"/>
      <c r="M14" s="85"/>
      <c r="N14" s="85"/>
      <c r="O14" s="85"/>
      <c r="P14" s="85"/>
      <c r="Q14" s="85"/>
      <c r="R14" s="85"/>
    </row>
    <row r="15" spans="2:18" ht="36.5" customHeight="1">
      <c r="B15" s="7" t="s">
        <v>353</v>
      </c>
      <c r="C15" s="8" t="s">
        <v>354</v>
      </c>
      <c r="D15" s="85" t="s">
        <v>91</v>
      </c>
      <c r="E15" s="85" t="s">
        <v>91</v>
      </c>
      <c r="F15" s="85" t="s">
        <v>93</v>
      </c>
      <c r="G15" s="85" t="s">
        <v>91</v>
      </c>
      <c r="H15" s="85"/>
      <c r="I15" s="85"/>
      <c r="J15" s="85"/>
      <c r="K15" s="85"/>
      <c r="L15" s="85"/>
      <c r="M15" s="85"/>
      <c r="N15" s="85"/>
      <c r="O15" s="85"/>
      <c r="P15" s="85"/>
      <c r="Q15" s="85"/>
      <c r="R15" s="85"/>
    </row>
    <row r="16" spans="2:18" ht="36.5" customHeight="1">
      <c r="B16" s="7" t="s">
        <v>355</v>
      </c>
      <c r="C16" s="8" t="s">
        <v>356</v>
      </c>
      <c r="D16" s="85">
        <v>17342</v>
      </c>
      <c r="E16" s="85">
        <v>17342</v>
      </c>
      <c r="F16" s="85">
        <v>57001</v>
      </c>
      <c r="G16" s="85">
        <v>17342</v>
      </c>
      <c r="H16" s="85"/>
      <c r="I16" s="85"/>
      <c r="J16" s="85"/>
      <c r="K16" s="85"/>
      <c r="L16" s="85"/>
      <c r="M16" s="85"/>
      <c r="N16" s="85"/>
      <c r="O16" s="85"/>
      <c r="P16" s="85"/>
      <c r="Q16" s="85"/>
      <c r="R16" s="85"/>
    </row>
    <row r="17" spans="2:18" ht="36.5" customHeight="1">
      <c r="B17" s="7" t="s">
        <v>357</v>
      </c>
      <c r="C17" s="8" t="s">
        <v>294</v>
      </c>
      <c r="D17" s="85" t="s">
        <v>89</v>
      </c>
      <c r="E17" s="85" t="s">
        <v>89</v>
      </c>
      <c r="F17" s="85" t="s">
        <v>89</v>
      </c>
      <c r="G17" s="85" t="s">
        <v>89</v>
      </c>
      <c r="H17" s="85"/>
      <c r="I17" s="85"/>
      <c r="J17" s="85"/>
      <c r="K17" s="85"/>
      <c r="L17" s="85"/>
      <c r="M17" s="85"/>
      <c r="N17" s="85"/>
      <c r="O17" s="85"/>
      <c r="P17" s="85"/>
      <c r="Q17" s="85"/>
      <c r="R17" s="85"/>
    </row>
    <row r="18" spans="2:18" ht="36.5" customHeight="1">
      <c r="B18" s="9" t="s">
        <v>358</v>
      </c>
      <c r="C18" s="10" t="s">
        <v>359</v>
      </c>
      <c r="D18" s="85" t="s">
        <v>360</v>
      </c>
      <c r="E18" s="85" t="s">
        <v>360</v>
      </c>
      <c r="F18" s="85" t="s">
        <v>360</v>
      </c>
      <c r="G18" s="85" t="s">
        <v>360</v>
      </c>
      <c r="H18" s="85"/>
      <c r="I18" s="85"/>
      <c r="J18" s="85"/>
      <c r="K18" s="85"/>
      <c r="L18" s="85"/>
      <c r="M18" s="85"/>
      <c r="N18" s="85"/>
      <c r="O18" s="85"/>
      <c r="P18" s="85"/>
      <c r="Q18" s="85"/>
      <c r="R18" s="85"/>
    </row>
    <row r="19" spans="2:18" ht="36.5" customHeight="1">
      <c r="B19" s="9" t="s">
        <v>361</v>
      </c>
      <c r="C19" s="10" t="s">
        <v>362</v>
      </c>
      <c r="D19" s="85" t="s">
        <v>328</v>
      </c>
      <c r="E19" s="85" t="s">
        <v>328</v>
      </c>
      <c r="F19" s="85" t="s">
        <v>328</v>
      </c>
      <c r="G19" s="85" t="s">
        <v>328</v>
      </c>
      <c r="H19" s="85"/>
      <c r="I19" s="85"/>
      <c r="J19" s="85"/>
      <c r="K19" s="85"/>
      <c r="L19" s="85"/>
      <c r="M19" s="85"/>
      <c r="N19" s="85"/>
      <c r="O19" s="85"/>
      <c r="P19" s="85"/>
      <c r="Q19" s="85"/>
      <c r="R19" s="85"/>
    </row>
    <row r="20" spans="2:18" ht="36.5" customHeight="1">
      <c r="B20" s="9" t="s">
        <v>363</v>
      </c>
      <c r="C20" s="10" t="s">
        <v>364</v>
      </c>
      <c r="D20" s="85" t="s">
        <v>328</v>
      </c>
      <c r="E20" s="85" t="s">
        <v>328</v>
      </c>
      <c r="F20" s="85" t="s">
        <v>328</v>
      </c>
      <c r="G20" s="85" t="s">
        <v>328</v>
      </c>
      <c r="H20" s="85"/>
      <c r="I20" s="85"/>
      <c r="J20" s="85"/>
      <c r="K20" s="85"/>
      <c r="L20" s="85"/>
      <c r="M20" s="85"/>
      <c r="N20" s="85"/>
      <c r="O20" s="85"/>
      <c r="P20" s="85"/>
      <c r="Q20" s="85"/>
      <c r="R20" s="85"/>
    </row>
    <row r="21" spans="2:18" ht="36.5" customHeight="1">
      <c r="B21" s="11" t="s">
        <v>365</v>
      </c>
      <c r="C21" s="12" t="s">
        <v>366</v>
      </c>
      <c r="D21" s="85" t="s">
        <v>853</v>
      </c>
      <c r="E21" s="85" t="s">
        <v>853</v>
      </c>
      <c r="F21" s="85" t="s">
        <v>853</v>
      </c>
      <c r="G21" s="85" t="s">
        <v>853</v>
      </c>
      <c r="H21" s="85"/>
      <c r="I21" s="85"/>
      <c r="J21" s="85"/>
      <c r="K21" s="85"/>
      <c r="L21" s="85"/>
      <c r="M21" s="85"/>
      <c r="N21" s="85"/>
      <c r="O21" s="85"/>
      <c r="P21" s="85"/>
      <c r="Q21" s="85"/>
      <c r="R21" s="85"/>
    </row>
    <row r="22" spans="2:18" ht="36.5" customHeight="1">
      <c r="B22" s="11" t="s">
        <v>369</v>
      </c>
      <c r="C22" s="12" t="s">
        <v>370</v>
      </c>
      <c r="D22" s="85" t="s">
        <v>854</v>
      </c>
      <c r="E22" s="85" t="s">
        <v>855</v>
      </c>
      <c r="F22" s="85" t="s">
        <v>856</v>
      </c>
      <c r="G22" s="85" t="s">
        <v>857</v>
      </c>
      <c r="H22" s="85"/>
      <c r="I22" s="85"/>
      <c r="J22" s="85"/>
      <c r="K22" s="85"/>
      <c r="L22" s="85"/>
      <c r="M22" s="85"/>
      <c r="N22" s="85"/>
      <c r="O22" s="85"/>
      <c r="P22" s="85"/>
      <c r="Q22" s="85"/>
      <c r="R22" s="85"/>
    </row>
    <row r="23" spans="2:18" ht="36.5" customHeight="1">
      <c r="B23" s="13"/>
      <c r="C23" s="87" t="s">
        <v>374</v>
      </c>
      <c r="D23" s="131" t="s">
        <v>374</v>
      </c>
      <c r="E23" s="131" t="s">
        <v>374</v>
      </c>
      <c r="F23" s="131" t="s">
        <v>374</v>
      </c>
      <c r="G23" s="131" t="s">
        <v>374</v>
      </c>
      <c r="H23" s="131"/>
      <c r="I23" s="131"/>
      <c r="J23" s="131"/>
      <c r="K23" s="131"/>
      <c r="L23" s="131"/>
      <c r="M23" s="131"/>
      <c r="N23" s="131"/>
      <c r="O23" s="131"/>
      <c r="P23" s="131"/>
      <c r="Q23" s="131"/>
      <c r="R23" s="131"/>
    </row>
    <row r="24" spans="2:18" ht="36.5" customHeight="1">
      <c r="B24" s="13" t="s">
        <v>375</v>
      </c>
      <c r="C24" s="14" t="s">
        <v>376</v>
      </c>
      <c r="D24" s="88">
        <v>843.18</v>
      </c>
      <c r="E24" s="88">
        <v>210</v>
      </c>
      <c r="F24" s="88">
        <v>440</v>
      </c>
      <c r="G24" s="88">
        <v>687.32</v>
      </c>
      <c r="H24" s="88"/>
      <c r="I24" s="88"/>
      <c r="J24" s="88"/>
      <c r="K24" s="88"/>
      <c r="L24" s="88"/>
      <c r="M24" s="88"/>
      <c r="N24" s="88"/>
      <c r="O24" s="88"/>
      <c r="P24" s="88"/>
      <c r="Q24" s="88"/>
      <c r="R24" s="88"/>
    </row>
    <row r="25" spans="2:18" ht="36.5" customHeight="1">
      <c r="B25" s="15" t="s">
        <v>377</v>
      </c>
      <c r="C25" s="16" t="s">
        <v>378</v>
      </c>
      <c r="D25" s="119" t="s">
        <v>858</v>
      </c>
      <c r="E25" s="119" t="s">
        <v>858</v>
      </c>
      <c r="F25" s="119" t="s">
        <v>859</v>
      </c>
      <c r="G25" s="119" t="s">
        <v>858</v>
      </c>
      <c r="H25" s="85"/>
      <c r="I25" s="85"/>
      <c r="J25" s="85"/>
      <c r="K25" s="85"/>
      <c r="L25" s="85"/>
      <c r="M25" s="85"/>
      <c r="N25" s="85"/>
      <c r="O25" s="85"/>
      <c r="P25" s="85"/>
      <c r="Q25" s="85"/>
      <c r="R25" s="85"/>
    </row>
    <row r="26" spans="2:18" ht="36.5" customHeight="1">
      <c r="B26" s="15" t="s">
        <v>380</v>
      </c>
      <c r="C26" s="16" t="s">
        <v>381</v>
      </c>
      <c r="D26" s="89" t="s">
        <v>449</v>
      </c>
      <c r="E26" s="89" t="s">
        <v>449</v>
      </c>
      <c r="F26" s="88" t="s">
        <v>449</v>
      </c>
      <c r="G26" s="85" t="s">
        <v>449</v>
      </c>
      <c r="H26" s="85"/>
      <c r="I26" s="85"/>
      <c r="J26" s="85"/>
      <c r="K26" s="85"/>
      <c r="L26" s="85"/>
      <c r="M26" s="85"/>
      <c r="N26" s="85"/>
      <c r="O26" s="85"/>
      <c r="P26" s="85"/>
      <c r="Q26" s="85"/>
      <c r="R26" s="85"/>
    </row>
    <row r="27" spans="2:18" ht="36.5" customHeight="1">
      <c r="B27" s="323" t="s">
        <v>383</v>
      </c>
      <c r="C27" s="324" t="s">
        <v>383</v>
      </c>
      <c r="D27" s="89"/>
      <c r="E27" s="89"/>
      <c r="F27" s="88"/>
      <c r="G27" s="85"/>
      <c r="H27" s="85"/>
      <c r="I27" s="85"/>
      <c r="J27" s="85"/>
      <c r="K27" s="85"/>
      <c r="L27" s="85"/>
      <c r="M27" s="85"/>
      <c r="N27" s="85"/>
      <c r="O27" s="85"/>
      <c r="P27" s="85"/>
      <c r="Q27" s="85"/>
      <c r="R27" s="85"/>
    </row>
    <row r="28" spans="2:18" ht="36.5" customHeight="1">
      <c r="B28" s="15" t="s">
        <v>384</v>
      </c>
      <c r="C28" s="16" t="s">
        <v>450</v>
      </c>
      <c r="D28" s="347">
        <v>136.16</v>
      </c>
      <c r="E28" s="347">
        <v>161.65</v>
      </c>
      <c r="F28" s="88">
        <v>62.73</v>
      </c>
      <c r="G28" s="88">
        <v>66.92</v>
      </c>
      <c r="H28" s="85"/>
      <c r="I28" s="85"/>
      <c r="J28" s="85"/>
      <c r="K28" s="85"/>
      <c r="L28" s="85"/>
      <c r="M28" s="85"/>
      <c r="N28" s="85"/>
      <c r="O28" s="85"/>
      <c r="P28" s="85"/>
      <c r="Q28" s="85"/>
      <c r="R28" s="85"/>
    </row>
    <row r="29" spans="2:18" ht="36.5" customHeight="1">
      <c r="B29" s="15" t="s">
        <v>387</v>
      </c>
      <c r="C29" s="16" t="s">
        <v>388</v>
      </c>
      <c r="D29" s="121">
        <v>0.03</v>
      </c>
      <c r="E29" s="121">
        <v>0.03</v>
      </c>
      <c r="F29" s="121">
        <v>0.03</v>
      </c>
      <c r="G29" s="121">
        <v>0.03</v>
      </c>
      <c r="H29" s="85"/>
      <c r="I29" s="85"/>
      <c r="J29" s="85"/>
      <c r="K29" s="85"/>
      <c r="L29" s="85"/>
      <c r="M29" s="85"/>
      <c r="N29" s="85"/>
      <c r="O29" s="85"/>
      <c r="P29" s="85"/>
      <c r="Q29" s="85"/>
      <c r="R29" s="85"/>
    </row>
    <row r="30" spans="2:18" ht="36.5" customHeight="1">
      <c r="B30" s="13" t="s">
        <v>390</v>
      </c>
      <c r="C30" s="17" t="s">
        <v>453</v>
      </c>
      <c r="D30" s="88">
        <f>(373000/(D24+E24+F24+G24))*D24</f>
        <v>144235.78995643201</v>
      </c>
      <c r="E30" s="88">
        <v>48000</v>
      </c>
      <c r="F30" s="88">
        <f>(373000/(D24+E24+F24+G24))*F24</f>
        <v>75267.140564090805</v>
      </c>
      <c r="G30" s="88">
        <v>85500</v>
      </c>
      <c r="H30" s="85"/>
      <c r="I30" s="85"/>
      <c r="J30" s="85"/>
      <c r="K30" s="85"/>
      <c r="L30" s="85"/>
      <c r="M30" s="85"/>
      <c r="N30" s="85"/>
      <c r="O30" s="85"/>
      <c r="P30" s="85"/>
      <c r="Q30" s="85"/>
      <c r="R30" s="85"/>
    </row>
    <row r="31" spans="2:18" ht="36.5" customHeight="1">
      <c r="B31" s="326"/>
      <c r="C31" s="327" t="s">
        <v>393</v>
      </c>
      <c r="D31" s="88"/>
      <c r="E31" s="88"/>
      <c r="F31" s="88"/>
      <c r="G31" s="88"/>
      <c r="H31" s="85"/>
      <c r="I31" s="85"/>
      <c r="J31" s="85"/>
      <c r="K31" s="85"/>
      <c r="L31" s="85"/>
      <c r="M31" s="85"/>
      <c r="N31" s="85"/>
      <c r="O31" s="85"/>
      <c r="P31" s="85"/>
      <c r="Q31" s="85"/>
      <c r="R31" s="85"/>
    </row>
    <row r="32" spans="2:18" ht="36.5" customHeight="1">
      <c r="B32" s="13" t="s">
        <v>394</v>
      </c>
      <c r="C32" s="17" t="s">
        <v>395</v>
      </c>
      <c r="D32" s="85"/>
      <c r="E32" s="85"/>
      <c r="F32" s="85"/>
      <c r="G32" s="85"/>
      <c r="H32" s="85"/>
      <c r="I32" s="85"/>
      <c r="J32" s="85"/>
      <c r="K32" s="85"/>
      <c r="L32" s="85"/>
      <c r="M32" s="85"/>
      <c r="N32" s="85"/>
      <c r="O32" s="85"/>
      <c r="P32" s="85"/>
      <c r="Q32" s="85"/>
      <c r="R32" s="85"/>
    </row>
    <row r="33" spans="2:18" ht="36.5" customHeight="1">
      <c r="B33" s="18" t="s">
        <v>397</v>
      </c>
      <c r="C33" s="19" t="s">
        <v>313</v>
      </c>
      <c r="D33" s="91">
        <v>44927</v>
      </c>
      <c r="E33" s="91" t="s">
        <v>860</v>
      </c>
      <c r="F33" s="91">
        <v>44562</v>
      </c>
      <c r="G33" s="91" t="s">
        <v>860</v>
      </c>
      <c r="H33" s="91"/>
      <c r="I33" s="91"/>
      <c r="J33" s="85"/>
      <c r="K33" s="85"/>
      <c r="L33" s="85"/>
      <c r="M33" s="85"/>
      <c r="N33" s="85"/>
      <c r="O33" s="85"/>
      <c r="P33" s="85"/>
      <c r="Q33" s="85"/>
      <c r="R33" s="85"/>
    </row>
    <row r="34" spans="2:18" ht="36.5" customHeight="1">
      <c r="B34" s="20" t="s">
        <v>398</v>
      </c>
      <c r="C34" s="19" t="s">
        <v>315</v>
      </c>
      <c r="D34" s="91">
        <v>46752</v>
      </c>
      <c r="E34" s="91" t="s">
        <v>830</v>
      </c>
      <c r="F34" s="91">
        <v>46752</v>
      </c>
      <c r="G34" s="91" t="s">
        <v>830</v>
      </c>
      <c r="H34" s="91"/>
      <c r="I34" s="91"/>
      <c r="J34" s="85"/>
      <c r="K34" s="85"/>
      <c r="L34" s="85"/>
      <c r="M34" s="85"/>
      <c r="N34" s="85"/>
      <c r="O34" s="85"/>
      <c r="P34" s="85"/>
      <c r="Q34" s="85"/>
      <c r="R34" s="85"/>
    </row>
    <row r="35" spans="2:18" ht="36.5" customHeight="1">
      <c r="B35" s="20" t="s">
        <v>399</v>
      </c>
      <c r="C35" s="19" t="s">
        <v>400</v>
      </c>
      <c r="D35" s="85"/>
      <c r="E35" s="85"/>
      <c r="F35" s="85"/>
      <c r="G35" s="85"/>
      <c r="H35" s="85"/>
      <c r="I35" s="85"/>
      <c r="J35" s="85"/>
      <c r="K35" s="85"/>
      <c r="L35" s="85"/>
      <c r="M35" s="85"/>
      <c r="N35" s="85"/>
      <c r="O35" s="85"/>
      <c r="P35" s="85"/>
      <c r="Q35" s="85"/>
      <c r="R35" s="85"/>
    </row>
    <row r="36" spans="2:18" ht="36.5" customHeight="1">
      <c r="B36" s="20" t="s">
        <v>402</v>
      </c>
      <c r="C36" s="21" t="s">
        <v>403</v>
      </c>
      <c r="D36" s="92"/>
      <c r="E36" s="92"/>
      <c r="F36" s="93"/>
      <c r="G36" s="93"/>
      <c r="H36" s="93"/>
      <c r="I36" s="93"/>
      <c r="J36" s="85"/>
      <c r="K36" s="85"/>
      <c r="L36" s="85"/>
      <c r="M36" s="85"/>
      <c r="N36" s="85"/>
      <c r="O36" s="85"/>
      <c r="P36" s="85"/>
      <c r="Q36" s="85"/>
      <c r="R36" s="85"/>
    </row>
    <row r="37" spans="2:18" ht="36.5" customHeight="1">
      <c r="B37" s="20" t="s">
        <v>404</v>
      </c>
      <c r="C37" s="21" t="s">
        <v>405</v>
      </c>
      <c r="D37" s="92"/>
      <c r="E37" s="92"/>
      <c r="F37" s="93"/>
      <c r="G37" s="93"/>
      <c r="H37" s="93"/>
      <c r="I37" s="93"/>
      <c r="J37" s="85"/>
      <c r="K37" s="85"/>
      <c r="L37" s="85"/>
      <c r="M37" s="85"/>
      <c r="N37" s="85"/>
      <c r="O37" s="85"/>
      <c r="P37" s="85"/>
      <c r="Q37" s="85"/>
      <c r="R37" s="85"/>
    </row>
    <row r="38" spans="2:18" ht="36.5" customHeight="1">
      <c r="B38" s="20" t="s">
        <v>406</v>
      </c>
      <c r="C38" s="21" t="s">
        <v>407</v>
      </c>
      <c r="D38" s="92"/>
      <c r="E38" s="92"/>
      <c r="F38" s="93"/>
      <c r="G38" s="93"/>
      <c r="H38" s="93"/>
      <c r="I38" s="93"/>
      <c r="J38" s="85"/>
      <c r="K38" s="85"/>
      <c r="L38" s="85"/>
      <c r="M38" s="85"/>
      <c r="N38" s="85"/>
      <c r="O38" s="85"/>
      <c r="P38" s="85"/>
      <c r="Q38" s="85"/>
      <c r="R38" s="85"/>
    </row>
    <row r="39" spans="2:18" ht="36.5" customHeight="1">
      <c r="B39" s="20" t="s">
        <v>408</v>
      </c>
      <c r="C39" s="21" t="s">
        <v>409</v>
      </c>
      <c r="D39" s="92"/>
      <c r="E39" s="92"/>
      <c r="F39" s="93"/>
      <c r="G39" s="93"/>
      <c r="H39" s="93"/>
      <c r="I39" s="93"/>
      <c r="J39" s="85"/>
      <c r="K39" s="85"/>
      <c r="L39" s="85"/>
      <c r="M39" s="85"/>
      <c r="N39" s="85"/>
      <c r="O39" s="85"/>
      <c r="P39" s="85"/>
      <c r="Q39" s="85"/>
      <c r="R39" s="85"/>
    </row>
    <row r="40" spans="2:18" ht="36.5" customHeight="1">
      <c r="B40" s="20" t="s">
        <v>411</v>
      </c>
      <c r="C40" s="21" t="s">
        <v>314</v>
      </c>
      <c r="D40" s="92">
        <v>46752</v>
      </c>
      <c r="E40" s="92" t="s">
        <v>830</v>
      </c>
      <c r="F40" s="92">
        <v>46752</v>
      </c>
      <c r="G40" s="92" t="s">
        <v>830</v>
      </c>
      <c r="H40" s="93"/>
      <c r="I40" s="93"/>
      <c r="J40" s="85"/>
      <c r="K40" s="85"/>
      <c r="L40" s="85"/>
      <c r="M40" s="85"/>
      <c r="N40" s="85"/>
      <c r="O40" s="85"/>
      <c r="P40" s="85"/>
      <c r="Q40" s="85"/>
      <c r="R40" s="85"/>
    </row>
    <row r="41" spans="2:18" ht="36.5" customHeight="1">
      <c r="B41" s="22" t="s">
        <v>412</v>
      </c>
      <c r="C41" s="23" t="s">
        <v>413</v>
      </c>
      <c r="D41" s="95" t="s">
        <v>498</v>
      </c>
      <c r="E41" s="95" t="s">
        <v>498</v>
      </c>
      <c r="F41" s="95" t="s">
        <v>498</v>
      </c>
      <c r="G41" s="95" t="s">
        <v>498</v>
      </c>
      <c r="H41" s="92"/>
      <c r="I41" s="92"/>
      <c r="J41" s="92"/>
      <c r="K41" s="92"/>
      <c r="L41" s="92"/>
      <c r="M41" s="92"/>
      <c r="N41" s="92"/>
      <c r="O41" s="92"/>
      <c r="P41" s="92"/>
      <c r="Q41" s="92"/>
      <c r="R41" s="92"/>
    </row>
    <row r="42" spans="2:18" ht="36.5" customHeight="1">
      <c r="B42" s="24" t="s">
        <v>457</v>
      </c>
      <c r="C42" s="23" t="s">
        <v>458</v>
      </c>
      <c r="D42" s="95" t="s">
        <v>328</v>
      </c>
      <c r="E42" s="95" t="s">
        <v>328</v>
      </c>
      <c r="F42" s="95" t="s">
        <v>328</v>
      </c>
      <c r="G42" s="95" t="s">
        <v>328</v>
      </c>
      <c r="H42" s="95"/>
      <c r="I42" s="95"/>
      <c r="J42" s="95"/>
      <c r="K42" s="95"/>
      <c r="L42" s="95"/>
      <c r="M42" s="95"/>
      <c r="N42" s="95"/>
      <c r="O42" s="95"/>
      <c r="P42" s="95"/>
      <c r="Q42" s="95"/>
      <c r="R42" s="95"/>
    </row>
    <row r="43" spans="2:18" ht="36.5" customHeight="1">
      <c r="B43" s="25" t="s">
        <v>418</v>
      </c>
      <c r="C43" s="26" t="s">
        <v>419</v>
      </c>
      <c r="D43" s="85" t="s">
        <v>498</v>
      </c>
      <c r="E43" s="85" t="s">
        <v>498</v>
      </c>
      <c r="F43" s="85" t="s">
        <v>498</v>
      </c>
      <c r="G43" s="85" t="s">
        <v>498</v>
      </c>
      <c r="H43" s="85"/>
      <c r="I43" s="85"/>
      <c r="J43" s="85"/>
      <c r="K43" s="85"/>
      <c r="L43" s="85"/>
      <c r="M43" s="85"/>
      <c r="N43" s="85"/>
      <c r="O43" s="85"/>
      <c r="P43" s="85"/>
      <c r="Q43" s="85"/>
      <c r="R43" s="85"/>
    </row>
    <row r="44" spans="2:18" ht="36.5" customHeight="1">
      <c r="B44" s="25" t="s">
        <v>420</v>
      </c>
      <c r="C44" s="26" t="s">
        <v>421</v>
      </c>
      <c r="D44" s="85" t="s">
        <v>328</v>
      </c>
      <c r="E44" s="85" t="s">
        <v>328</v>
      </c>
      <c r="F44" s="85" t="s">
        <v>328</v>
      </c>
      <c r="G44" s="85" t="s">
        <v>328</v>
      </c>
      <c r="H44" s="85"/>
      <c r="I44" s="85"/>
      <c r="J44" s="85"/>
      <c r="K44" s="85"/>
      <c r="L44" s="85"/>
      <c r="M44" s="85"/>
      <c r="N44" s="85"/>
      <c r="O44" s="85"/>
      <c r="P44" s="85"/>
      <c r="Q44" s="85"/>
      <c r="R44" s="85"/>
    </row>
    <row r="45" spans="2:18" ht="36.5" customHeight="1">
      <c r="B45" s="27"/>
      <c r="C45" s="27"/>
      <c r="D45" s="27"/>
      <c r="E45" s="27"/>
      <c r="F45" s="27"/>
      <c r="G45" s="27"/>
      <c r="H45" s="27"/>
      <c r="I45" s="27"/>
      <c r="J45" s="27"/>
      <c r="K45" s="27"/>
      <c r="L45" s="27"/>
      <c r="M45" s="27"/>
      <c r="N45" s="27"/>
      <c r="O45" s="27"/>
      <c r="P45" s="27"/>
      <c r="Q45" s="27"/>
      <c r="R45" s="27"/>
    </row>
    <row r="46" spans="2:18" ht="36.5" customHeight="1">
      <c r="B46" s="27"/>
      <c r="C46" s="28" t="s">
        <v>423</v>
      </c>
      <c r="D46" s="85">
        <v>54</v>
      </c>
      <c r="E46" s="85">
        <v>55</v>
      </c>
      <c r="F46" s="85">
        <v>70</v>
      </c>
      <c r="G46" s="85">
        <v>181</v>
      </c>
      <c r="H46" s="85"/>
      <c r="I46" s="85"/>
      <c r="J46" s="85"/>
      <c r="K46" s="85"/>
      <c r="L46" s="85"/>
      <c r="M46" s="85"/>
      <c r="N46" s="85"/>
      <c r="O46" s="85"/>
      <c r="P46" s="85"/>
      <c r="Q46" s="85"/>
      <c r="R46" s="85"/>
    </row>
    <row r="47" spans="2:18" ht="36.5" customHeight="1">
      <c r="B47" s="27"/>
      <c r="C47" s="29" t="s">
        <v>424</v>
      </c>
      <c r="D47" s="85">
        <v>30</v>
      </c>
      <c r="E47" s="85" t="s">
        <v>577</v>
      </c>
      <c r="F47" s="85" t="s">
        <v>577</v>
      </c>
      <c r="G47" s="85" t="s">
        <v>577</v>
      </c>
      <c r="H47" s="85"/>
      <c r="I47" s="85"/>
      <c r="J47" s="85"/>
      <c r="K47" s="85"/>
      <c r="L47" s="85"/>
      <c r="M47" s="85"/>
      <c r="N47" s="85"/>
      <c r="O47" s="85"/>
      <c r="P47" s="85"/>
      <c r="Q47" s="85"/>
      <c r="R47" s="85"/>
    </row>
    <row r="48" spans="2:18" ht="36.5" customHeight="1">
      <c r="B48" s="27"/>
      <c r="C48" s="29" t="s">
        <v>425</v>
      </c>
      <c r="D48" s="85">
        <v>13</v>
      </c>
      <c r="E48" s="85">
        <v>55</v>
      </c>
      <c r="F48" s="85">
        <v>70</v>
      </c>
      <c r="G48" s="85">
        <v>181</v>
      </c>
      <c r="H48" s="85"/>
      <c r="I48" s="85"/>
      <c r="J48" s="85"/>
      <c r="K48" s="85"/>
      <c r="L48" s="85"/>
      <c r="M48" s="85"/>
      <c r="N48" s="85"/>
      <c r="O48" s="85"/>
      <c r="P48" s="85"/>
      <c r="Q48" s="85"/>
      <c r="R48" s="85"/>
    </row>
    <row r="49" spans="2:18" ht="10" customHeight="1">
      <c r="B49" s="27"/>
      <c r="C49" s="30"/>
      <c r="D49" s="96"/>
      <c r="E49" s="96"/>
      <c r="F49" s="96"/>
      <c r="G49" s="96"/>
      <c r="H49" s="96"/>
      <c r="I49" s="96"/>
      <c r="J49" s="96"/>
      <c r="K49" s="96"/>
      <c r="L49" s="96"/>
      <c r="M49" s="96"/>
      <c r="N49" s="96"/>
      <c r="O49" s="96"/>
      <c r="P49" s="96"/>
      <c r="Q49" s="96"/>
      <c r="R49" s="96"/>
    </row>
    <row r="50" spans="2:18" ht="36.5" customHeight="1">
      <c r="B50" s="27"/>
      <c r="C50" s="28" t="s">
        <v>426</v>
      </c>
      <c r="D50" s="85">
        <v>50</v>
      </c>
      <c r="E50" s="85">
        <v>53</v>
      </c>
      <c r="F50" s="85">
        <v>60</v>
      </c>
      <c r="G50" s="85">
        <v>50</v>
      </c>
      <c r="H50" s="85"/>
      <c r="I50" s="85"/>
      <c r="J50" s="85"/>
      <c r="K50" s="85"/>
      <c r="L50" s="85"/>
      <c r="M50" s="85"/>
      <c r="N50" s="85"/>
      <c r="O50" s="85"/>
      <c r="P50" s="85"/>
      <c r="Q50" s="85"/>
      <c r="R50" s="85"/>
    </row>
    <row r="51" spans="2:18" ht="33.5" customHeight="1">
      <c r="B51" s="27"/>
      <c r="C51" s="29" t="s">
        <v>424</v>
      </c>
      <c r="D51" s="85"/>
      <c r="E51" s="85"/>
      <c r="F51" s="85"/>
      <c r="G51" s="85"/>
      <c r="H51" s="85"/>
      <c r="I51" s="85"/>
      <c r="J51" s="85"/>
      <c r="K51" s="85"/>
      <c r="L51" s="85"/>
      <c r="M51" s="85"/>
      <c r="N51" s="85"/>
      <c r="O51" s="85"/>
      <c r="P51" s="85"/>
      <c r="Q51" s="85"/>
      <c r="R51" s="85"/>
    </row>
    <row r="52" spans="2:18" ht="36.5" customHeight="1">
      <c r="B52" s="27"/>
      <c r="C52" s="29" t="s">
        <v>425</v>
      </c>
      <c r="D52" s="85"/>
      <c r="E52" s="85"/>
      <c r="F52" s="85"/>
      <c r="G52" s="85"/>
      <c r="H52" s="85"/>
      <c r="I52" s="85"/>
      <c r="J52" s="85"/>
      <c r="K52" s="85"/>
      <c r="L52" s="85"/>
      <c r="M52" s="85"/>
      <c r="N52" s="85"/>
      <c r="O52" s="85"/>
      <c r="P52" s="85"/>
      <c r="Q52" s="85"/>
      <c r="R52" s="85"/>
    </row>
    <row r="53" spans="2:18" ht="12" customHeight="1">
      <c r="B53" s="27"/>
      <c r="C53" s="31"/>
      <c r="D53" s="96"/>
      <c r="E53" s="96"/>
      <c r="F53" s="96"/>
      <c r="G53" s="96"/>
      <c r="H53" s="96"/>
      <c r="I53" s="96"/>
      <c r="J53" s="96"/>
      <c r="K53" s="96"/>
      <c r="L53" s="96"/>
      <c r="M53" s="96"/>
      <c r="N53" s="96"/>
      <c r="O53" s="96"/>
      <c r="P53" s="96"/>
      <c r="Q53" s="96"/>
      <c r="R53" s="96"/>
    </row>
    <row r="54" spans="2:18" ht="29" customHeight="1">
      <c r="B54" s="27"/>
      <c r="C54" s="28" t="s">
        <v>427</v>
      </c>
      <c r="D54" s="85"/>
      <c r="E54" s="85"/>
      <c r="F54" s="85"/>
      <c r="G54" s="85"/>
      <c r="H54" s="85"/>
      <c r="I54" s="85"/>
      <c r="J54" s="85"/>
      <c r="K54" s="85"/>
      <c r="L54" s="85"/>
      <c r="M54" s="85"/>
      <c r="N54" s="85"/>
      <c r="O54" s="85"/>
      <c r="P54" s="85"/>
      <c r="Q54" s="85"/>
      <c r="R54" s="85"/>
    </row>
    <row r="55" spans="2:18" ht="36.5" customHeight="1">
      <c r="B55" s="27"/>
      <c r="C55" s="28" t="s">
        <v>428</v>
      </c>
      <c r="D55" s="85">
        <v>4</v>
      </c>
      <c r="E55" s="85">
        <v>5</v>
      </c>
      <c r="F55" s="85">
        <v>5</v>
      </c>
      <c r="G55" s="85">
        <v>10</v>
      </c>
      <c r="H55" s="85"/>
      <c r="I55" s="85"/>
      <c r="J55" s="85"/>
      <c r="K55" s="85"/>
      <c r="L55" s="85"/>
      <c r="M55" s="85"/>
      <c r="N55" s="85"/>
      <c r="O55" s="85"/>
      <c r="P55" s="85"/>
      <c r="Q55" s="85"/>
      <c r="R55" s="85"/>
    </row>
    <row r="56" spans="2:18" ht="33.5" customHeight="1">
      <c r="B56" s="27"/>
      <c r="C56" s="330" t="s">
        <v>429</v>
      </c>
      <c r="D56" s="95">
        <v>4</v>
      </c>
      <c r="E56" s="95">
        <v>5</v>
      </c>
      <c r="F56" s="95">
        <v>5</v>
      </c>
      <c r="G56" s="95">
        <v>10</v>
      </c>
      <c r="H56" s="95"/>
      <c r="I56" s="95"/>
      <c r="J56" s="95"/>
      <c r="K56" s="95"/>
      <c r="L56" s="95"/>
      <c r="M56" s="95"/>
      <c r="N56" s="95"/>
      <c r="O56" s="95"/>
      <c r="P56" s="95"/>
      <c r="Q56" s="95"/>
      <c r="R56" s="95"/>
    </row>
    <row r="57" spans="2:18" ht="56" customHeight="1">
      <c r="C57" s="331" t="s">
        <v>430</v>
      </c>
      <c r="D57" s="71"/>
      <c r="E57" s="71"/>
      <c r="F57" s="71"/>
      <c r="G57" s="71"/>
      <c r="H57" s="71"/>
      <c r="I57" s="71"/>
      <c r="J57" s="71"/>
      <c r="K57" s="71"/>
      <c r="L57" s="71"/>
      <c r="M57" s="71"/>
      <c r="N57" s="71"/>
      <c r="O57" s="71"/>
      <c r="P57" s="71"/>
      <c r="Q57" s="71"/>
      <c r="R57" s="71"/>
    </row>
    <row r="58" spans="2:18" ht="57" customHeight="1">
      <c r="C58" s="331" t="s">
        <v>431</v>
      </c>
      <c r="D58" s="71"/>
      <c r="E58" s="71"/>
      <c r="F58" s="71"/>
      <c r="G58" s="71"/>
      <c r="H58" s="71"/>
      <c r="I58" s="71"/>
      <c r="J58" s="71"/>
      <c r="K58" s="71"/>
      <c r="L58" s="71"/>
      <c r="M58" s="71"/>
      <c r="N58" s="71"/>
      <c r="O58" s="71"/>
      <c r="P58" s="71"/>
      <c r="Q58" s="71"/>
      <c r="R58" s="71"/>
    </row>
    <row r="60" spans="2:18" ht="17" customHeight="1">
      <c r="D60" s="1" t="s">
        <v>432</v>
      </c>
    </row>
    <row r="61" spans="2:18" ht="17" customHeight="1">
      <c r="D61" s="97" t="s">
        <v>433</v>
      </c>
    </row>
    <row r="62" spans="2:18" ht="17" customHeight="1">
      <c r="D62" s="348" t="s">
        <v>434</v>
      </c>
    </row>
    <row r="63" spans="2:18" ht="17" customHeight="1">
      <c r="D63" s="348" t="s">
        <v>435</v>
      </c>
    </row>
    <row r="64" spans="2:18" ht="17" customHeight="1">
      <c r="D64" s="348" t="s">
        <v>436</v>
      </c>
    </row>
    <row r="65" spans="4:4" ht="17" customHeight="1">
      <c r="D65" s="98" t="s">
        <v>437</v>
      </c>
    </row>
    <row r="66" spans="4:4" ht="17" customHeight="1">
      <c r="D66" s="98" t="s">
        <v>438</v>
      </c>
    </row>
    <row r="67" spans="4:4" ht="17" customHeight="1"/>
    <row r="68" spans="4:4" ht="17" customHeight="1">
      <c r="D68" s="99" t="s">
        <v>439</v>
      </c>
    </row>
  </sheetData>
  <mergeCells count="2">
    <mergeCell ref="C6:D6"/>
    <mergeCell ref="C7:D7"/>
  </mergeCells>
  <conditionalFormatting sqref="B13:B17">
    <cfRule type="colorScale" priority="8">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9">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8:B29 B26">
    <cfRule type="colorScale" priority="10">
      <colorScale>
        <cfvo type="min"/>
        <cfvo type="percentile" val="50"/>
        <cfvo type="max"/>
        <color rgb="FFF8696B"/>
        <color rgb="FFFCFCFF"/>
        <color rgb="FF63BE7B"/>
      </colorScale>
    </cfRule>
  </conditionalFormatting>
  <conditionalFormatting sqref="B30 B32">
    <cfRule type="colorScale" priority="5">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3:B35">
    <cfRule type="colorScale" priority="12">
      <colorScale>
        <cfvo type="min"/>
        <cfvo type="percentile" val="50"/>
        <cfvo type="max"/>
        <color rgb="FFF8696B"/>
        <color rgb="FFFCFCFF"/>
        <color rgb="FF63BE7B"/>
      </colorScale>
    </cfRule>
  </conditionalFormatting>
  <conditionalFormatting sqref="B36:B44">
    <cfRule type="colorScale" priority="11">
      <colorScale>
        <cfvo type="min"/>
        <cfvo type="percentile" val="50"/>
        <cfvo type="max"/>
        <color rgb="FFF8696B"/>
        <color rgb="FFFCFCFF"/>
        <color rgb="FF63BE7B"/>
      </colorScale>
    </cfRule>
  </conditionalFormatting>
  <conditionalFormatting sqref="B25:C29">
    <cfRule type="expression" dxfId="115" priority="3">
      <formula>#REF!="Owned"</formula>
    </cfRule>
  </conditionalFormatting>
  <conditionalFormatting sqref="C30:C32">
    <cfRule type="expression" dxfId="114" priority="1">
      <formula>#REF!="Owned"</formula>
    </cfRule>
  </conditionalFormatting>
  <dataValidations count="1">
    <dataValidation type="list" allowBlank="1" showInputMessage="1" showErrorMessage="1" sqref="E6" xr:uid="{0F7C9122-0197-4210-9056-F50195B0B463}">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D011F-20BE-46ED-934B-56C63B256E3F}">
  <sheetPr codeName="Feuil17">
    <tabColor rgb="FF00B050"/>
    <pageSetUpPr fitToPage="1"/>
  </sheetPr>
  <dimension ref="B1:R68"/>
  <sheetViews>
    <sheetView topLeftCell="A49" zoomScale="85" zoomScaleNormal="85" workbookViewId="0">
      <selection activeCell="B52" sqref="B52"/>
    </sheetView>
  </sheetViews>
  <sheetFormatPr baseColWidth="10" defaultColWidth="9.1640625" defaultRowHeight="13"/>
  <cols>
    <col min="1" max="1" width="19.5" style="139" customWidth="1"/>
    <col min="2" max="2" width="24.1640625" style="139" customWidth="1"/>
    <col min="3" max="3" width="23.1640625" style="139" customWidth="1"/>
    <col min="4" max="4" width="33.5" style="139" customWidth="1"/>
    <col min="5" max="18" width="22.83203125" style="139" customWidth="1"/>
    <col min="19" max="16384" width="9.1640625" style="139"/>
  </cols>
  <sheetData>
    <row r="1" spans="2:18" ht="7.5" customHeight="1"/>
    <row r="2" spans="2:18">
      <c r="C2" s="508" t="s">
        <v>323</v>
      </c>
      <c r="D2" s="501"/>
      <c r="E2" s="141"/>
      <c r="F2" s="142"/>
      <c r="G2" s="142"/>
      <c r="H2" s="142"/>
      <c r="I2" s="143"/>
    </row>
    <row r="4" spans="2:18">
      <c r="C4" s="140" t="s">
        <v>324</v>
      </c>
      <c r="D4" s="144" t="s">
        <v>167</v>
      </c>
      <c r="G4" s="145"/>
      <c r="H4" s="145"/>
      <c r="I4" s="146"/>
    </row>
    <row r="5" spans="2:18" ht="15.75" customHeight="1">
      <c r="C5" s="187"/>
    </row>
    <row r="6" spans="2:18" ht="26.25" customHeight="1">
      <c r="B6" s="139" t="s">
        <v>326</v>
      </c>
      <c r="C6" s="588" t="s">
        <v>327</v>
      </c>
      <c r="D6" s="588"/>
      <c r="E6" s="148" t="s">
        <v>328</v>
      </c>
      <c r="F6" s="149"/>
      <c r="G6" s="150"/>
      <c r="H6" s="150"/>
    </row>
    <row r="7" spans="2:18" ht="26.25" customHeight="1">
      <c r="B7" s="139" t="s">
        <v>326</v>
      </c>
      <c r="C7" s="588" t="s">
        <v>329</v>
      </c>
      <c r="D7" s="588"/>
      <c r="E7" s="148">
        <v>1</v>
      </c>
      <c r="F7" s="149"/>
      <c r="G7" s="150"/>
      <c r="H7" s="150"/>
    </row>
    <row r="8" spans="2:18" ht="24.5" customHeight="1"/>
    <row r="9" spans="2:18" ht="30" customHeight="1">
      <c r="C9" s="151" t="s">
        <v>330</v>
      </c>
      <c r="D9" s="152"/>
      <c r="E9" s="153"/>
      <c r="F9" s="153"/>
      <c r="G9" s="153"/>
      <c r="H9" s="153"/>
      <c r="I9" s="153"/>
      <c r="J9" s="153"/>
      <c r="K9" s="153"/>
      <c r="L9" s="153"/>
      <c r="M9" s="153"/>
      <c r="N9" s="153"/>
      <c r="O9" s="153"/>
      <c r="P9" s="153"/>
      <c r="Q9" s="153"/>
      <c r="R9" s="153"/>
    </row>
    <row r="10" spans="2:18" ht="30" customHeight="1">
      <c r="C10" s="154" t="s">
        <v>331</v>
      </c>
      <c r="D10" s="155" t="s">
        <v>861</v>
      </c>
      <c r="E10" s="156" t="s">
        <v>504</v>
      </c>
      <c r="F10" s="156" t="s">
        <v>334</v>
      </c>
      <c r="G10" s="156" t="s">
        <v>335</v>
      </c>
      <c r="H10" s="156" t="s">
        <v>336</v>
      </c>
      <c r="I10" s="156" t="s">
        <v>337</v>
      </c>
      <c r="J10" s="156" t="s">
        <v>338</v>
      </c>
      <c r="K10" s="156" t="s">
        <v>339</v>
      </c>
      <c r="L10" s="156" t="s">
        <v>340</v>
      </c>
      <c r="M10" s="156" t="s">
        <v>341</v>
      </c>
      <c r="N10" s="156" t="s">
        <v>342</v>
      </c>
      <c r="O10" s="156" t="s">
        <v>343</v>
      </c>
      <c r="P10" s="156" t="s">
        <v>344</v>
      </c>
      <c r="Q10" s="156" t="s">
        <v>345</v>
      </c>
      <c r="R10" s="156" t="s">
        <v>346</v>
      </c>
    </row>
    <row r="11" spans="2:18" ht="30" customHeight="1">
      <c r="C11" s="157" t="s">
        <v>299</v>
      </c>
      <c r="D11" s="158" t="s">
        <v>862</v>
      </c>
      <c r="E11" s="156"/>
      <c r="F11" s="156"/>
      <c r="G11" s="156"/>
      <c r="H11" s="156"/>
      <c r="I11" s="156"/>
      <c r="J11" s="156"/>
      <c r="K11" s="156"/>
      <c r="L11" s="156"/>
      <c r="M11" s="156"/>
      <c r="N11" s="156"/>
      <c r="O11" s="156"/>
      <c r="P11" s="156"/>
      <c r="Q11" s="156"/>
      <c r="R11" s="156"/>
    </row>
    <row r="12" spans="2:18" ht="30" customHeight="1">
      <c r="C12" s="159"/>
      <c r="D12" s="160"/>
      <c r="E12" s="160"/>
      <c r="F12" s="160"/>
      <c r="G12" s="160"/>
      <c r="H12" s="160"/>
      <c r="I12" s="160"/>
      <c r="J12" s="161"/>
      <c r="K12" s="161"/>
      <c r="L12" s="161"/>
      <c r="M12" s="161"/>
      <c r="N12" s="161"/>
      <c r="O12" s="161"/>
      <c r="P12" s="161"/>
      <c r="Q12" s="161"/>
      <c r="R12" s="161"/>
    </row>
    <row r="13" spans="2:18" ht="30" customHeight="1">
      <c r="B13" s="7" t="s">
        <v>348</v>
      </c>
      <c r="C13" s="8" t="s">
        <v>349</v>
      </c>
      <c r="D13" s="162" t="s">
        <v>863</v>
      </c>
      <c r="E13" s="162"/>
      <c r="F13" s="162"/>
      <c r="G13" s="162"/>
      <c r="H13" s="162"/>
      <c r="I13" s="162"/>
      <c r="J13" s="162"/>
      <c r="K13" s="162"/>
      <c r="L13" s="162"/>
      <c r="M13" s="162"/>
      <c r="N13" s="162"/>
      <c r="O13" s="162"/>
      <c r="P13" s="162"/>
      <c r="Q13" s="162"/>
      <c r="R13" s="162"/>
    </row>
    <row r="14" spans="2:18" ht="30" customHeight="1">
      <c r="B14" s="7" t="s">
        <v>352</v>
      </c>
      <c r="C14" s="8" t="s">
        <v>297</v>
      </c>
      <c r="D14" s="162" t="s">
        <v>169</v>
      </c>
      <c r="E14" s="162"/>
      <c r="F14" s="162"/>
      <c r="G14" s="162"/>
      <c r="H14" s="162"/>
      <c r="I14" s="162"/>
      <c r="J14" s="162"/>
      <c r="K14" s="162"/>
      <c r="L14" s="162"/>
      <c r="M14" s="162"/>
      <c r="N14" s="162"/>
      <c r="O14" s="162"/>
      <c r="P14" s="162"/>
      <c r="Q14" s="162"/>
      <c r="R14" s="162"/>
    </row>
    <row r="15" spans="2:18" ht="30" customHeight="1">
      <c r="B15" s="7" t="s">
        <v>353</v>
      </c>
      <c r="C15" s="8" t="s">
        <v>354</v>
      </c>
      <c r="D15" s="162" t="s">
        <v>170</v>
      </c>
      <c r="E15" s="162"/>
      <c r="F15" s="162"/>
      <c r="G15" s="162"/>
      <c r="H15" s="162"/>
      <c r="I15" s="162"/>
      <c r="J15" s="162"/>
      <c r="K15" s="162"/>
      <c r="L15" s="162"/>
      <c r="M15" s="162"/>
      <c r="N15" s="162"/>
      <c r="O15" s="162"/>
      <c r="P15" s="162"/>
      <c r="Q15" s="162"/>
      <c r="R15" s="162"/>
    </row>
    <row r="16" spans="2:18" ht="30" customHeight="1">
      <c r="B16" s="7" t="s">
        <v>355</v>
      </c>
      <c r="C16" s="8" t="s">
        <v>356</v>
      </c>
      <c r="D16" s="162">
        <v>999077</v>
      </c>
      <c r="E16" s="162"/>
      <c r="F16" s="162"/>
      <c r="G16" s="162"/>
      <c r="H16" s="162"/>
      <c r="I16" s="162"/>
      <c r="J16" s="162"/>
      <c r="K16" s="162"/>
      <c r="L16" s="162"/>
      <c r="M16" s="162"/>
      <c r="N16" s="162"/>
      <c r="O16" s="162"/>
      <c r="P16" s="162"/>
      <c r="Q16" s="162"/>
      <c r="R16" s="162"/>
    </row>
    <row r="17" spans="2:18" ht="30" customHeight="1">
      <c r="B17" s="7" t="s">
        <v>357</v>
      </c>
      <c r="C17" s="8" t="s">
        <v>294</v>
      </c>
      <c r="D17" s="162" t="s">
        <v>168</v>
      </c>
      <c r="E17" s="162"/>
      <c r="F17" s="162"/>
      <c r="G17" s="162"/>
      <c r="H17" s="162"/>
      <c r="I17" s="162"/>
      <c r="J17" s="162"/>
      <c r="K17" s="162"/>
      <c r="L17" s="162"/>
      <c r="M17" s="162"/>
      <c r="N17" s="162"/>
      <c r="O17" s="162"/>
      <c r="P17" s="162"/>
      <c r="Q17" s="162"/>
      <c r="R17" s="162"/>
    </row>
    <row r="18" spans="2:18" ht="30" customHeight="1">
      <c r="B18" s="9" t="s">
        <v>358</v>
      </c>
      <c r="C18" s="10" t="s">
        <v>359</v>
      </c>
      <c r="D18" s="162" t="s">
        <v>360</v>
      </c>
      <c r="E18" s="162"/>
      <c r="F18" s="162"/>
      <c r="G18" s="162"/>
      <c r="H18" s="162"/>
      <c r="I18" s="162"/>
      <c r="J18" s="162"/>
      <c r="K18" s="162"/>
      <c r="L18" s="162"/>
      <c r="M18" s="162"/>
      <c r="N18" s="162"/>
      <c r="O18" s="162"/>
      <c r="P18" s="162"/>
      <c r="Q18" s="162"/>
      <c r="R18" s="162"/>
    </row>
    <row r="19" spans="2:18" ht="30" customHeight="1">
      <c r="B19" s="9" t="s">
        <v>361</v>
      </c>
      <c r="C19" s="10" t="s">
        <v>362</v>
      </c>
      <c r="D19" s="162" t="s">
        <v>414</v>
      </c>
      <c r="E19" s="162"/>
      <c r="F19" s="162"/>
      <c r="G19" s="162"/>
      <c r="H19" s="162"/>
      <c r="I19" s="162"/>
      <c r="J19" s="162"/>
      <c r="K19" s="162"/>
      <c r="L19" s="162"/>
      <c r="M19" s="162"/>
      <c r="N19" s="162"/>
      <c r="O19" s="162"/>
      <c r="P19" s="162"/>
      <c r="Q19" s="162"/>
      <c r="R19" s="162"/>
    </row>
    <row r="20" spans="2:18" ht="30" customHeight="1">
      <c r="B20" s="9" t="s">
        <v>363</v>
      </c>
      <c r="C20" s="10" t="s">
        <v>364</v>
      </c>
      <c r="D20" s="162" t="s">
        <v>328</v>
      </c>
      <c r="E20" s="162"/>
      <c r="F20" s="162"/>
      <c r="G20" s="162"/>
      <c r="H20" s="162"/>
      <c r="I20" s="162"/>
      <c r="J20" s="162"/>
      <c r="K20" s="162"/>
      <c r="L20" s="162"/>
      <c r="M20" s="162"/>
      <c r="N20" s="162"/>
      <c r="O20" s="162"/>
      <c r="P20" s="162"/>
      <c r="Q20" s="162"/>
      <c r="R20" s="162"/>
    </row>
    <row r="21" spans="2:18" ht="30" customHeight="1">
      <c r="B21" s="11" t="s">
        <v>365</v>
      </c>
      <c r="C21" s="12" t="s">
        <v>366</v>
      </c>
      <c r="D21" s="162" t="s">
        <v>864</v>
      </c>
      <c r="E21" s="162"/>
      <c r="F21" s="162"/>
      <c r="G21" s="162"/>
      <c r="H21" s="162"/>
      <c r="I21" s="162"/>
      <c r="J21" s="162"/>
      <c r="K21" s="162"/>
      <c r="L21" s="162"/>
      <c r="M21" s="162"/>
      <c r="N21" s="162"/>
      <c r="O21" s="162"/>
      <c r="P21" s="162"/>
      <c r="Q21" s="162"/>
      <c r="R21" s="162"/>
    </row>
    <row r="22" spans="2:18" ht="30" customHeight="1">
      <c r="B22" s="11" t="s">
        <v>369</v>
      </c>
      <c r="C22" s="12" t="s">
        <v>370</v>
      </c>
      <c r="D22" s="162" t="s">
        <v>865</v>
      </c>
      <c r="E22" s="162"/>
      <c r="F22" s="162"/>
      <c r="G22" s="162"/>
      <c r="H22" s="162"/>
      <c r="I22" s="162"/>
      <c r="J22" s="162"/>
      <c r="K22" s="162"/>
      <c r="L22" s="162"/>
      <c r="M22" s="162"/>
      <c r="N22" s="162"/>
      <c r="O22" s="162"/>
      <c r="P22" s="162"/>
      <c r="Q22" s="162"/>
      <c r="R22" s="162"/>
    </row>
    <row r="23" spans="2:18" ht="30" customHeight="1">
      <c r="B23" s="13"/>
      <c r="C23" s="87" t="s">
        <v>374</v>
      </c>
      <c r="D23" s="510" t="s">
        <v>374</v>
      </c>
      <c r="E23" s="162"/>
      <c r="F23" s="162"/>
      <c r="G23" s="162"/>
      <c r="H23" s="162"/>
      <c r="I23" s="162"/>
      <c r="J23" s="162"/>
      <c r="K23" s="162"/>
      <c r="L23" s="162"/>
      <c r="M23" s="162"/>
      <c r="N23" s="162"/>
      <c r="O23" s="162"/>
      <c r="P23" s="162"/>
      <c r="Q23" s="162"/>
      <c r="R23" s="162"/>
    </row>
    <row r="24" spans="2:18" ht="30" customHeight="1">
      <c r="B24" s="13" t="s">
        <v>375</v>
      </c>
      <c r="C24" s="14" t="s">
        <v>376</v>
      </c>
      <c r="D24" s="164">
        <f>5080*0.092903</f>
        <v>471.94724000000002</v>
      </c>
      <c r="E24" s="164"/>
      <c r="F24" s="164"/>
      <c r="G24" s="164"/>
      <c r="H24" s="164"/>
      <c r="I24" s="164"/>
      <c r="J24" s="164"/>
      <c r="K24" s="164"/>
      <c r="L24" s="164"/>
      <c r="M24" s="164"/>
      <c r="N24" s="164"/>
      <c r="O24" s="164"/>
      <c r="P24" s="164"/>
      <c r="Q24" s="164"/>
      <c r="R24" s="164"/>
    </row>
    <row r="25" spans="2:18" ht="30" customHeight="1">
      <c r="B25" s="15" t="s">
        <v>377</v>
      </c>
      <c r="C25" s="16" t="s">
        <v>378</v>
      </c>
      <c r="D25" s="218" t="s">
        <v>866</v>
      </c>
      <c r="E25" s="218"/>
      <c r="F25" s="162"/>
      <c r="G25" s="162"/>
      <c r="H25" s="162"/>
      <c r="I25" s="162"/>
      <c r="J25" s="162"/>
      <c r="K25" s="162"/>
      <c r="L25" s="162"/>
      <c r="M25" s="162"/>
      <c r="N25" s="162"/>
      <c r="O25" s="162"/>
      <c r="P25" s="162"/>
      <c r="Q25" s="162"/>
      <c r="R25" s="162"/>
    </row>
    <row r="26" spans="2:18" ht="30" customHeight="1">
      <c r="B26" s="15" t="s">
        <v>380</v>
      </c>
      <c r="C26" s="16" t="s">
        <v>381</v>
      </c>
      <c r="D26" s="166" t="s">
        <v>867</v>
      </c>
      <c r="E26" s="166"/>
      <c r="F26" s="164"/>
      <c r="G26" s="162"/>
      <c r="H26" s="162"/>
      <c r="I26" s="162"/>
      <c r="J26" s="162"/>
      <c r="K26" s="162"/>
      <c r="L26" s="162"/>
      <c r="M26" s="162"/>
      <c r="N26" s="162"/>
      <c r="O26" s="162"/>
      <c r="P26" s="162"/>
      <c r="Q26" s="162"/>
      <c r="R26" s="162"/>
    </row>
    <row r="27" spans="2:18" ht="30" customHeight="1">
      <c r="B27" s="15"/>
      <c r="C27" s="167" t="s">
        <v>383</v>
      </c>
      <c r="D27" s="166"/>
      <c r="E27" s="166"/>
      <c r="F27" s="164"/>
      <c r="G27" s="162"/>
      <c r="H27" s="162"/>
      <c r="I27" s="162"/>
      <c r="J27" s="162"/>
      <c r="K27" s="162"/>
      <c r="L27" s="162"/>
      <c r="M27" s="162"/>
      <c r="N27" s="162"/>
      <c r="O27" s="162"/>
      <c r="P27" s="162"/>
      <c r="Q27" s="162"/>
      <c r="R27" s="162"/>
    </row>
    <row r="28" spans="2:18" ht="30" customHeight="1">
      <c r="B28" s="15" t="s">
        <v>384</v>
      </c>
      <c r="C28" s="16" t="s">
        <v>385</v>
      </c>
      <c r="D28" s="166">
        <f>(52/0.092903)*12</f>
        <v>6716.6829919378288</v>
      </c>
      <c r="E28" s="166"/>
      <c r="F28" s="164"/>
      <c r="G28" s="162"/>
      <c r="H28" s="162"/>
      <c r="I28" s="162"/>
      <c r="J28" s="162"/>
      <c r="K28" s="162"/>
      <c r="L28" s="162"/>
      <c r="M28" s="162"/>
      <c r="N28" s="162"/>
      <c r="O28" s="162"/>
      <c r="P28" s="162"/>
      <c r="Q28" s="162"/>
      <c r="R28" s="162"/>
    </row>
    <row r="29" spans="2:18" ht="30" customHeight="1">
      <c r="B29" s="15" t="s">
        <v>387</v>
      </c>
      <c r="C29" s="16" t="s">
        <v>388</v>
      </c>
      <c r="D29" s="166" t="s">
        <v>410</v>
      </c>
      <c r="E29" s="166"/>
      <c r="F29" s="164"/>
      <c r="G29" s="162"/>
      <c r="H29" s="162"/>
      <c r="I29" s="162"/>
      <c r="J29" s="162"/>
      <c r="K29" s="162"/>
      <c r="L29" s="162"/>
      <c r="M29" s="162"/>
      <c r="N29" s="162"/>
      <c r="O29" s="162"/>
      <c r="P29" s="162"/>
      <c r="Q29" s="162"/>
      <c r="R29" s="162"/>
    </row>
    <row r="30" spans="2:18" ht="30" customHeight="1">
      <c r="B30" s="13" t="s">
        <v>390</v>
      </c>
      <c r="C30" s="17" t="s">
        <v>391</v>
      </c>
      <c r="D30" s="162">
        <f>7.4/0.092903*12</f>
        <v>955.83565654499853</v>
      </c>
      <c r="E30" s="162"/>
      <c r="F30" s="162"/>
      <c r="G30" s="162"/>
      <c r="H30" s="162"/>
      <c r="I30" s="162"/>
      <c r="J30" s="162"/>
      <c r="K30" s="162"/>
      <c r="L30" s="162"/>
      <c r="M30" s="162"/>
      <c r="N30" s="162"/>
      <c r="O30" s="162"/>
      <c r="P30" s="162"/>
      <c r="Q30" s="162"/>
      <c r="R30" s="162"/>
    </row>
    <row r="31" spans="2:18" ht="30" customHeight="1">
      <c r="B31" s="13"/>
      <c r="C31" s="167" t="s">
        <v>393</v>
      </c>
      <c r="D31" s="162"/>
      <c r="E31" s="162"/>
      <c r="F31" s="162"/>
      <c r="G31" s="162"/>
      <c r="H31" s="162"/>
      <c r="I31" s="162"/>
      <c r="J31" s="162"/>
      <c r="K31" s="162"/>
      <c r="L31" s="162"/>
      <c r="M31" s="162"/>
      <c r="N31" s="162"/>
      <c r="O31" s="162"/>
      <c r="P31" s="162"/>
      <c r="Q31" s="162"/>
      <c r="R31" s="162"/>
    </row>
    <row r="32" spans="2:18" ht="30" customHeight="1">
      <c r="B32" s="13" t="s">
        <v>394</v>
      </c>
      <c r="C32" s="17" t="s">
        <v>395</v>
      </c>
      <c r="D32" s="162" t="s">
        <v>410</v>
      </c>
      <c r="E32" s="162"/>
      <c r="F32" s="162"/>
      <c r="G32" s="162"/>
      <c r="H32" s="162"/>
      <c r="I32" s="162"/>
      <c r="J32" s="162"/>
      <c r="K32" s="162"/>
      <c r="L32" s="162"/>
      <c r="M32" s="162"/>
      <c r="N32" s="162"/>
      <c r="O32" s="162"/>
      <c r="P32" s="162"/>
      <c r="Q32" s="162"/>
      <c r="R32" s="162"/>
    </row>
    <row r="33" spans="2:18" ht="30" customHeight="1">
      <c r="B33" s="18" t="s">
        <v>397</v>
      </c>
      <c r="C33" s="19" t="s">
        <v>313</v>
      </c>
      <c r="D33" s="170">
        <v>45031</v>
      </c>
      <c r="E33" s="170"/>
      <c r="F33" s="170"/>
      <c r="G33" s="170"/>
      <c r="H33" s="170"/>
      <c r="I33" s="170"/>
      <c r="J33" s="162"/>
      <c r="K33" s="162"/>
      <c r="L33" s="162"/>
      <c r="M33" s="162"/>
      <c r="N33" s="162"/>
      <c r="O33" s="162"/>
      <c r="P33" s="162"/>
      <c r="Q33" s="162"/>
      <c r="R33" s="162"/>
    </row>
    <row r="34" spans="2:18" ht="30" customHeight="1">
      <c r="B34" s="20" t="s">
        <v>398</v>
      </c>
      <c r="C34" s="19" t="s">
        <v>315</v>
      </c>
      <c r="D34" s="170">
        <v>46491</v>
      </c>
      <c r="E34" s="170"/>
      <c r="F34" s="170"/>
      <c r="G34" s="170"/>
      <c r="H34" s="170"/>
      <c r="I34" s="170"/>
      <c r="J34" s="162"/>
      <c r="K34" s="162"/>
      <c r="L34" s="162"/>
      <c r="M34" s="162"/>
      <c r="N34" s="162"/>
      <c r="O34" s="162"/>
      <c r="P34" s="162"/>
      <c r="Q34" s="162"/>
      <c r="R34" s="162"/>
    </row>
    <row r="35" spans="2:18" ht="30" customHeight="1">
      <c r="B35" s="20" t="s">
        <v>399</v>
      </c>
      <c r="C35" s="19" t="s">
        <v>400</v>
      </c>
      <c r="D35" s="162"/>
      <c r="E35" s="162"/>
      <c r="F35" s="162"/>
      <c r="G35" s="162"/>
      <c r="H35" s="162"/>
      <c r="I35" s="162"/>
      <c r="J35" s="162"/>
      <c r="K35" s="162"/>
      <c r="L35" s="162"/>
      <c r="M35" s="162"/>
      <c r="N35" s="162"/>
      <c r="O35" s="162"/>
      <c r="P35" s="162"/>
      <c r="Q35" s="162"/>
      <c r="R35" s="162"/>
    </row>
    <row r="36" spans="2:18" ht="30" customHeight="1">
      <c r="B36" s="20" t="s">
        <v>402</v>
      </c>
      <c r="C36" s="21" t="s">
        <v>403</v>
      </c>
      <c r="D36" s="172" t="s">
        <v>414</v>
      </c>
      <c r="E36" s="172"/>
      <c r="F36" s="173"/>
      <c r="G36" s="173"/>
      <c r="H36" s="173"/>
      <c r="I36" s="173"/>
      <c r="J36" s="162"/>
      <c r="K36" s="162"/>
      <c r="L36" s="162"/>
      <c r="M36" s="162"/>
      <c r="N36" s="162"/>
      <c r="O36" s="162"/>
      <c r="P36" s="162"/>
      <c r="Q36" s="162"/>
      <c r="R36" s="162"/>
    </row>
    <row r="37" spans="2:18" ht="30" customHeight="1">
      <c r="B37" s="20" t="s">
        <v>404</v>
      </c>
      <c r="C37" s="21" t="s">
        <v>405</v>
      </c>
      <c r="D37" s="172" t="s">
        <v>868</v>
      </c>
      <c r="E37" s="172"/>
      <c r="F37" s="173"/>
      <c r="G37" s="173"/>
      <c r="H37" s="173"/>
      <c r="I37" s="173"/>
      <c r="J37" s="162"/>
      <c r="K37" s="162"/>
      <c r="L37" s="162"/>
      <c r="M37" s="162"/>
      <c r="N37" s="162"/>
      <c r="O37" s="162"/>
      <c r="P37" s="162"/>
      <c r="Q37" s="162"/>
      <c r="R37" s="162"/>
    </row>
    <row r="38" spans="2:18" ht="30" customHeight="1">
      <c r="B38" s="20" t="s">
        <v>406</v>
      </c>
      <c r="C38" s="21" t="s">
        <v>407</v>
      </c>
      <c r="D38" s="172" t="s">
        <v>328</v>
      </c>
      <c r="E38" s="172"/>
      <c r="F38" s="173"/>
      <c r="G38" s="173"/>
      <c r="H38" s="173"/>
      <c r="I38" s="173"/>
      <c r="J38" s="162"/>
      <c r="K38" s="162"/>
      <c r="L38" s="162"/>
      <c r="M38" s="162"/>
      <c r="N38" s="162"/>
      <c r="O38" s="162"/>
      <c r="P38" s="162"/>
      <c r="Q38" s="162"/>
      <c r="R38" s="162"/>
    </row>
    <row r="39" spans="2:18" ht="30" customHeight="1">
      <c r="B39" s="20" t="s">
        <v>408</v>
      </c>
      <c r="C39" s="21" t="s">
        <v>409</v>
      </c>
      <c r="D39" s="219" t="s">
        <v>410</v>
      </c>
      <c r="E39" s="219"/>
      <c r="F39" s="174"/>
      <c r="G39" s="173"/>
      <c r="H39" s="173"/>
      <c r="I39" s="173"/>
      <c r="J39" s="162"/>
      <c r="K39" s="162"/>
      <c r="L39" s="162"/>
      <c r="M39" s="162"/>
      <c r="N39" s="162"/>
      <c r="O39" s="162"/>
      <c r="P39" s="162"/>
      <c r="Q39" s="162"/>
      <c r="R39" s="162"/>
    </row>
    <row r="40" spans="2:18" ht="30" customHeight="1">
      <c r="B40" s="20" t="s">
        <v>411</v>
      </c>
      <c r="C40" s="21" t="s">
        <v>314</v>
      </c>
      <c r="D40" s="172">
        <v>46491</v>
      </c>
      <c r="E40" s="172"/>
      <c r="F40" s="173"/>
      <c r="G40" s="173"/>
      <c r="H40" s="173"/>
      <c r="I40" s="173"/>
      <c r="J40" s="162"/>
      <c r="K40" s="162"/>
      <c r="L40" s="162"/>
      <c r="M40" s="162"/>
      <c r="N40" s="162"/>
      <c r="O40" s="162"/>
      <c r="P40" s="162"/>
      <c r="Q40" s="162"/>
      <c r="R40" s="162"/>
    </row>
    <row r="41" spans="2:18" ht="30" customHeight="1">
      <c r="B41" s="22" t="s">
        <v>412</v>
      </c>
      <c r="C41" s="23" t="s">
        <v>413</v>
      </c>
      <c r="D41" s="172" t="s">
        <v>414</v>
      </c>
      <c r="E41" s="172"/>
      <c r="F41" s="172"/>
      <c r="G41" s="172"/>
      <c r="H41" s="172"/>
      <c r="I41" s="172"/>
      <c r="J41" s="172"/>
      <c r="K41" s="172"/>
      <c r="L41" s="172"/>
      <c r="M41" s="172"/>
      <c r="N41" s="172"/>
      <c r="O41" s="172"/>
      <c r="P41" s="172"/>
      <c r="Q41" s="172"/>
      <c r="R41" s="172"/>
    </row>
    <row r="42" spans="2:18" ht="30" customHeight="1">
      <c r="B42" s="24" t="s">
        <v>457</v>
      </c>
      <c r="C42" s="23" t="s">
        <v>458</v>
      </c>
      <c r="D42" s="174" t="s">
        <v>328</v>
      </c>
      <c r="E42" s="174"/>
      <c r="F42" s="174"/>
      <c r="G42" s="174"/>
      <c r="H42" s="174"/>
      <c r="I42" s="174"/>
      <c r="J42" s="174"/>
      <c r="K42" s="174"/>
      <c r="L42" s="174"/>
      <c r="M42" s="174"/>
      <c r="N42" s="174"/>
      <c r="O42" s="174"/>
      <c r="P42" s="174"/>
      <c r="Q42" s="174"/>
      <c r="R42" s="174"/>
    </row>
    <row r="43" spans="2:18" ht="30" customHeight="1">
      <c r="B43" s="25" t="s">
        <v>418</v>
      </c>
      <c r="C43" s="26" t="s">
        <v>419</v>
      </c>
      <c r="D43" s="162" t="s">
        <v>328</v>
      </c>
      <c r="E43" s="162"/>
      <c r="F43" s="162"/>
      <c r="G43" s="162"/>
      <c r="H43" s="162"/>
      <c r="I43" s="162"/>
      <c r="J43" s="162"/>
      <c r="K43" s="162"/>
      <c r="L43" s="162"/>
      <c r="M43" s="162"/>
      <c r="N43" s="162"/>
      <c r="O43" s="162"/>
      <c r="P43" s="162"/>
      <c r="Q43" s="162"/>
      <c r="R43" s="162"/>
    </row>
    <row r="44" spans="2:18" ht="30" customHeight="1">
      <c r="B44" s="25" t="s">
        <v>420</v>
      </c>
      <c r="C44" s="26" t="s">
        <v>421</v>
      </c>
      <c r="D44" s="162" t="s">
        <v>328</v>
      </c>
      <c r="E44" s="162"/>
      <c r="F44" s="162"/>
      <c r="G44" s="162"/>
      <c r="H44" s="162"/>
      <c r="I44" s="162"/>
      <c r="J44" s="162"/>
      <c r="K44" s="162"/>
      <c r="L44" s="162"/>
      <c r="M44" s="162"/>
      <c r="N44" s="162"/>
      <c r="O44" s="162"/>
      <c r="P44" s="162"/>
      <c r="Q44" s="162"/>
      <c r="R44" s="162"/>
    </row>
    <row r="45" spans="2:18" ht="30" customHeight="1">
      <c r="B45" s="175"/>
      <c r="C45" s="175"/>
      <c r="D45" s="175"/>
      <c r="E45" s="175"/>
      <c r="F45" s="175"/>
      <c r="G45" s="175"/>
      <c r="H45" s="175"/>
      <c r="I45" s="175"/>
      <c r="J45" s="175"/>
      <c r="K45" s="175"/>
      <c r="L45" s="175"/>
      <c r="M45" s="175"/>
      <c r="N45" s="175"/>
      <c r="O45" s="175"/>
      <c r="P45" s="175"/>
      <c r="Q45" s="175"/>
      <c r="R45" s="175"/>
    </row>
    <row r="46" spans="2:18" ht="30" customHeight="1">
      <c r="B46" s="175"/>
      <c r="C46" s="176" t="s">
        <v>423</v>
      </c>
      <c r="D46" s="162">
        <v>62</v>
      </c>
      <c r="E46" s="162"/>
      <c r="F46" s="162"/>
      <c r="G46" s="162"/>
      <c r="H46" s="162"/>
      <c r="I46" s="162"/>
      <c r="J46" s="162"/>
      <c r="K46" s="162"/>
      <c r="L46" s="162"/>
      <c r="M46" s="162"/>
      <c r="N46" s="162"/>
      <c r="O46" s="162"/>
      <c r="P46" s="162"/>
      <c r="Q46" s="162"/>
      <c r="R46" s="162"/>
    </row>
    <row r="47" spans="2:18" ht="30" customHeight="1">
      <c r="B47" s="175"/>
      <c r="C47" s="177" t="s">
        <v>424</v>
      </c>
      <c r="D47" s="162">
        <v>23</v>
      </c>
      <c r="E47" s="162"/>
      <c r="F47" s="162"/>
      <c r="G47" s="162"/>
      <c r="H47" s="162"/>
      <c r="I47" s="162"/>
      <c r="J47" s="162"/>
      <c r="K47" s="162"/>
      <c r="L47" s="162"/>
      <c r="M47" s="162"/>
      <c r="N47" s="162"/>
      <c r="O47" s="162"/>
      <c r="P47" s="162"/>
      <c r="Q47" s="162"/>
      <c r="R47" s="162"/>
    </row>
    <row r="48" spans="2:18" ht="30" customHeight="1">
      <c r="B48" s="175"/>
      <c r="C48" s="177" t="s">
        <v>425</v>
      </c>
      <c r="D48" s="162">
        <v>39</v>
      </c>
      <c r="E48" s="162"/>
      <c r="F48" s="162"/>
      <c r="G48" s="162"/>
      <c r="H48" s="162"/>
      <c r="I48" s="162"/>
      <c r="J48" s="162"/>
      <c r="K48" s="162"/>
      <c r="L48" s="162"/>
      <c r="M48" s="162"/>
      <c r="N48" s="162"/>
      <c r="O48" s="162"/>
      <c r="P48" s="162"/>
      <c r="Q48" s="162"/>
      <c r="R48" s="162"/>
    </row>
    <row r="49" spans="2:18" ht="30" customHeight="1">
      <c r="B49" s="175"/>
      <c r="C49" s="178"/>
      <c r="D49" s="179"/>
      <c r="E49" s="179"/>
      <c r="F49" s="179"/>
      <c r="G49" s="179"/>
      <c r="H49" s="179"/>
      <c r="I49" s="179"/>
      <c r="J49" s="179"/>
      <c r="K49" s="179"/>
      <c r="L49" s="179"/>
      <c r="M49" s="179"/>
      <c r="N49" s="179"/>
      <c r="O49" s="179"/>
      <c r="P49" s="179"/>
      <c r="Q49" s="179"/>
      <c r="R49" s="179"/>
    </row>
    <row r="50" spans="2:18" ht="30" customHeight="1">
      <c r="B50" s="175"/>
      <c r="C50" s="176" t="s">
        <v>426</v>
      </c>
      <c r="D50" s="162">
        <v>73</v>
      </c>
      <c r="E50" s="162"/>
      <c r="F50" s="162"/>
      <c r="G50" s="162"/>
      <c r="H50" s="162"/>
      <c r="I50" s="162"/>
      <c r="J50" s="162"/>
      <c r="K50" s="162"/>
      <c r="L50" s="162"/>
      <c r="M50" s="162"/>
      <c r="N50" s="162"/>
      <c r="O50" s="162"/>
      <c r="P50" s="162"/>
      <c r="Q50" s="162"/>
      <c r="R50" s="162"/>
    </row>
    <row r="51" spans="2:18" ht="30" customHeight="1">
      <c r="B51" s="175"/>
      <c r="C51" s="177" t="s">
        <v>424</v>
      </c>
      <c r="D51" s="162"/>
      <c r="E51" s="162"/>
      <c r="F51" s="162"/>
      <c r="G51" s="162"/>
      <c r="H51" s="162"/>
      <c r="I51" s="162"/>
      <c r="J51" s="162"/>
      <c r="K51" s="162"/>
      <c r="L51" s="162"/>
      <c r="M51" s="162"/>
      <c r="N51" s="162"/>
      <c r="O51" s="162"/>
      <c r="P51" s="162"/>
      <c r="Q51" s="162"/>
      <c r="R51" s="162"/>
    </row>
    <row r="52" spans="2:18" ht="30" customHeight="1">
      <c r="B52" s="175"/>
      <c r="C52" s="177" t="s">
        <v>425</v>
      </c>
      <c r="D52" s="162"/>
      <c r="E52" s="162"/>
      <c r="F52" s="162"/>
      <c r="G52" s="162"/>
      <c r="H52" s="162"/>
      <c r="I52" s="162"/>
      <c r="J52" s="162"/>
      <c r="K52" s="162"/>
      <c r="L52" s="162"/>
      <c r="M52" s="162"/>
      <c r="N52" s="162"/>
      <c r="O52" s="162"/>
      <c r="P52" s="162"/>
      <c r="Q52" s="162"/>
      <c r="R52" s="162"/>
    </row>
    <row r="53" spans="2:18" ht="30" customHeight="1">
      <c r="B53" s="175"/>
      <c r="C53" s="180"/>
      <c r="D53" s="179"/>
      <c r="E53" s="179"/>
      <c r="F53" s="179"/>
      <c r="G53" s="179"/>
      <c r="H53" s="179"/>
      <c r="I53" s="179"/>
      <c r="J53" s="179"/>
      <c r="K53" s="179"/>
      <c r="L53" s="179"/>
      <c r="M53" s="179"/>
      <c r="N53" s="179"/>
      <c r="O53" s="179"/>
      <c r="P53" s="179"/>
      <c r="Q53" s="179"/>
      <c r="R53" s="179"/>
    </row>
    <row r="54" spans="2:18" ht="30" customHeight="1">
      <c r="B54" s="175"/>
      <c r="C54" s="76" t="s">
        <v>427</v>
      </c>
      <c r="D54" s="162" t="s">
        <v>328</v>
      </c>
      <c r="E54" s="162"/>
      <c r="F54" s="162"/>
      <c r="G54" s="162"/>
      <c r="H54" s="162"/>
      <c r="I54" s="162"/>
      <c r="J54" s="162"/>
      <c r="K54" s="162"/>
      <c r="L54" s="162"/>
      <c r="M54" s="162"/>
      <c r="N54" s="162"/>
      <c r="O54" s="162"/>
      <c r="P54" s="162"/>
      <c r="Q54" s="162"/>
      <c r="R54" s="162"/>
    </row>
    <row r="55" spans="2:18" ht="30" customHeight="1">
      <c r="B55" s="175"/>
      <c r="C55" s="176" t="s">
        <v>428</v>
      </c>
      <c r="D55" s="162">
        <v>1</v>
      </c>
      <c r="E55" s="162"/>
      <c r="F55" s="162"/>
      <c r="G55" s="162"/>
      <c r="H55" s="162"/>
      <c r="I55" s="162"/>
      <c r="J55" s="162"/>
      <c r="K55" s="162"/>
      <c r="L55" s="162"/>
      <c r="M55" s="162"/>
      <c r="N55" s="162"/>
      <c r="O55" s="162"/>
      <c r="P55" s="162"/>
      <c r="Q55" s="162"/>
      <c r="R55" s="162"/>
    </row>
    <row r="56" spans="2:18" ht="30" customHeight="1">
      <c r="B56" s="175"/>
      <c r="C56" s="176" t="s">
        <v>429</v>
      </c>
      <c r="D56" s="162">
        <v>1</v>
      </c>
      <c r="E56" s="162"/>
      <c r="F56" s="162"/>
      <c r="G56" s="162"/>
      <c r="H56" s="162"/>
      <c r="I56" s="162"/>
      <c r="J56" s="162"/>
      <c r="K56" s="162"/>
      <c r="L56" s="162"/>
      <c r="M56" s="162"/>
      <c r="N56" s="162"/>
      <c r="O56" s="162"/>
      <c r="P56" s="162"/>
      <c r="Q56" s="162"/>
      <c r="R56" s="162"/>
    </row>
    <row r="57" spans="2:18" ht="30" customHeight="1">
      <c r="C57" s="181" t="s">
        <v>430</v>
      </c>
      <c r="D57" s="153"/>
      <c r="E57" s="153"/>
      <c r="F57" s="153"/>
      <c r="G57" s="153"/>
      <c r="H57" s="153"/>
      <c r="I57" s="153"/>
      <c r="J57" s="153"/>
      <c r="K57" s="153"/>
      <c r="L57" s="153"/>
      <c r="M57" s="153"/>
      <c r="N57" s="153"/>
      <c r="O57" s="153"/>
      <c r="P57" s="153"/>
      <c r="Q57" s="153"/>
      <c r="R57" s="153"/>
    </row>
    <row r="58" spans="2:18" ht="30" customHeight="1">
      <c r="C58" s="181" t="s">
        <v>431</v>
      </c>
      <c r="D58" s="153"/>
      <c r="E58" s="153"/>
      <c r="F58" s="153"/>
      <c r="G58" s="153"/>
      <c r="H58" s="153"/>
      <c r="I58" s="153"/>
      <c r="J58" s="153"/>
      <c r="K58" s="153"/>
      <c r="L58" s="153"/>
      <c r="M58" s="153"/>
      <c r="N58" s="153"/>
      <c r="O58" s="153"/>
      <c r="P58" s="153"/>
      <c r="Q58" s="153"/>
      <c r="R58" s="153"/>
    </row>
    <row r="59" spans="2:18" ht="30" customHeight="1">
      <c r="C59" s="182"/>
    </row>
    <row r="60" spans="2:18" ht="30" customHeight="1">
      <c r="D60" s="139" t="s">
        <v>432</v>
      </c>
    </row>
    <row r="61" spans="2:18" ht="30" customHeight="1">
      <c r="D61" s="183" t="s">
        <v>433</v>
      </c>
    </row>
    <row r="62" spans="2:18">
      <c r="D62" s="184" t="s">
        <v>434</v>
      </c>
    </row>
    <row r="63" spans="2:18">
      <c r="D63" s="184" t="s">
        <v>435</v>
      </c>
    </row>
    <row r="64" spans="2:18">
      <c r="D64" s="184" t="s">
        <v>436</v>
      </c>
    </row>
    <row r="65" spans="4:4">
      <c r="D65" s="184" t="s">
        <v>437</v>
      </c>
    </row>
    <row r="66" spans="4:4">
      <c r="D66" s="184" t="s">
        <v>438</v>
      </c>
    </row>
    <row r="68" spans="4:4" ht="15">
      <c r="D68" s="185" t="s">
        <v>439</v>
      </c>
    </row>
  </sheetData>
  <mergeCells count="2">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113"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26 C28:C30 C32">
    <cfRule type="expression" dxfId="112" priority="1">
      <formula>#REF!="Owned"</formula>
    </cfRule>
  </conditionalFormatting>
  <dataValidations count="1">
    <dataValidation type="list" allowBlank="1" showInputMessage="1" showErrorMessage="1" sqref="E6" xr:uid="{4F1C3088-3DBC-4039-B62C-12F816794CCE}">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8C945-BA88-4146-836D-909BB781F34E}">
  <sheetPr codeName="Feuil18">
    <tabColor rgb="FF00B050"/>
  </sheetPr>
  <dimension ref="A1:R58"/>
  <sheetViews>
    <sheetView topLeftCell="A52" zoomScale="70" zoomScaleNormal="70" workbookViewId="0">
      <selection activeCell="G25" sqref="G25"/>
    </sheetView>
  </sheetViews>
  <sheetFormatPr baseColWidth="10" defaultColWidth="11.5" defaultRowHeight="13"/>
  <cols>
    <col min="3" max="3" width="18.83203125" customWidth="1"/>
    <col min="4" max="18" width="22.83203125" customWidth="1"/>
  </cols>
  <sheetData>
    <row r="1" spans="1:18">
      <c r="A1" s="1"/>
      <c r="B1" s="1"/>
      <c r="C1" s="1"/>
      <c r="D1" s="1"/>
      <c r="E1" s="1"/>
      <c r="F1" s="1"/>
      <c r="G1" s="1"/>
      <c r="H1" s="1"/>
      <c r="I1" s="1"/>
      <c r="J1" s="1"/>
      <c r="K1" s="1"/>
      <c r="L1" s="1"/>
      <c r="M1" s="1"/>
      <c r="N1" s="1"/>
      <c r="O1" s="1"/>
      <c r="P1" s="1"/>
      <c r="Q1" s="1"/>
      <c r="R1" s="1"/>
    </row>
    <row r="2" spans="1:18">
      <c r="A2" s="1"/>
      <c r="B2" s="1"/>
      <c r="C2" s="506" t="s">
        <v>323</v>
      </c>
      <c r="D2" s="100">
        <v>45919</v>
      </c>
      <c r="E2" s="315"/>
      <c r="F2" s="1"/>
      <c r="G2" s="3"/>
      <c r="H2" s="3"/>
      <c r="I2" s="3"/>
      <c r="J2" s="4"/>
      <c r="K2" s="1"/>
      <c r="L2" s="1"/>
      <c r="M2" s="1"/>
      <c r="N2" s="1"/>
      <c r="O2" s="1"/>
      <c r="P2" s="1"/>
      <c r="Q2" s="1"/>
      <c r="R2" s="1"/>
    </row>
    <row r="3" spans="1:18">
      <c r="A3" s="1"/>
      <c r="B3" s="1"/>
      <c r="C3" s="1"/>
      <c r="D3" s="1"/>
      <c r="E3" s="1"/>
      <c r="F3" s="1"/>
      <c r="G3" s="1"/>
      <c r="H3" s="1"/>
      <c r="I3" s="1"/>
      <c r="J3" s="1"/>
      <c r="K3" s="1"/>
      <c r="L3" s="1"/>
      <c r="M3" s="1"/>
      <c r="N3" s="1"/>
      <c r="O3" s="1"/>
      <c r="P3" s="1"/>
      <c r="Q3" s="1"/>
      <c r="R3" s="1"/>
    </row>
    <row r="4" spans="1:18">
      <c r="A4" s="1"/>
      <c r="B4" s="1"/>
      <c r="C4" s="316" t="s">
        <v>324</v>
      </c>
      <c r="D4" s="82" t="s">
        <v>9</v>
      </c>
      <c r="E4" s="317"/>
      <c r="F4" s="1"/>
      <c r="G4" s="1"/>
      <c r="H4" s="1"/>
      <c r="I4" s="83"/>
      <c r="J4" s="5"/>
      <c r="K4" s="1"/>
      <c r="L4" s="1"/>
      <c r="M4" s="1"/>
      <c r="N4" s="1"/>
      <c r="O4" s="1"/>
      <c r="P4" s="1"/>
      <c r="Q4" s="1"/>
      <c r="R4" s="1"/>
    </row>
    <row r="5" spans="1:18">
      <c r="A5" s="1"/>
      <c r="B5" s="1"/>
      <c r="C5" s="1"/>
      <c r="D5" s="1"/>
      <c r="E5" s="1"/>
      <c r="F5" s="1"/>
      <c r="G5" s="1"/>
      <c r="H5" s="1"/>
      <c r="I5" s="1"/>
      <c r="J5" s="1"/>
      <c r="K5" s="1"/>
      <c r="L5" s="1"/>
      <c r="M5" s="1"/>
      <c r="N5" s="1"/>
      <c r="O5" s="1"/>
      <c r="P5" s="1"/>
      <c r="Q5" s="1"/>
      <c r="R5" s="1"/>
    </row>
    <row r="6" spans="1:18">
      <c r="A6" s="1"/>
      <c r="B6" s="1" t="s">
        <v>326</v>
      </c>
      <c r="C6" s="589" t="s">
        <v>327</v>
      </c>
      <c r="D6" s="590"/>
      <c r="E6" s="6" t="s">
        <v>414</v>
      </c>
      <c r="F6" s="101"/>
      <c r="G6" s="101"/>
      <c r="H6" s="101"/>
      <c r="I6" s="1"/>
      <c r="J6" s="1"/>
      <c r="K6" s="1"/>
      <c r="L6" s="1"/>
      <c r="M6" s="1"/>
      <c r="N6" s="1"/>
      <c r="O6" s="1"/>
      <c r="P6" s="1"/>
      <c r="Q6" s="1"/>
      <c r="R6" s="1"/>
    </row>
    <row r="7" spans="1:18">
      <c r="A7" s="1"/>
      <c r="B7" s="1" t="s">
        <v>326</v>
      </c>
      <c r="C7" s="589" t="s">
        <v>329</v>
      </c>
      <c r="D7" s="590"/>
      <c r="E7" s="6">
        <v>3</v>
      </c>
      <c r="F7" s="101"/>
      <c r="G7" s="101"/>
      <c r="H7" s="101"/>
      <c r="I7" s="1"/>
      <c r="J7" s="1"/>
      <c r="K7" s="1"/>
      <c r="L7" s="1"/>
      <c r="M7" s="1"/>
      <c r="N7" s="1"/>
      <c r="O7" s="1"/>
      <c r="P7" s="1"/>
      <c r="Q7" s="1"/>
      <c r="R7" s="1"/>
    </row>
    <row r="8" spans="1:18">
      <c r="A8" s="1"/>
      <c r="B8" s="1"/>
      <c r="C8" s="113"/>
      <c r="D8" s="113"/>
      <c r="E8" s="42"/>
      <c r="F8" s="101"/>
      <c r="G8" s="101"/>
      <c r="H8" s="101"/>
      <c r="I8" s="1"/>
      <c r="J8" s="1"/>
      <c r="K8" s="1"/>
      <c r="L8" s="1"/>
      <c r="M8" s="1"/>
      <c r="N8" s="1"/>
      <c r="O8" s="1"/>
      <c r="P8" s="1"/>
      <c r="Q8" s="1"/>
      <c r="R8" s="1"/>
    </row>
    <row r="9" spans="1:18">
      <c r="A9" s="1"/>
      <c r="B9" s="1"/>
      <c r="C9" s="318" t="s">
        <v>441</v>
      </c>
      <c r="D9" s="67"/>
      <c r="E9" s="67"/>
      <c r="F9" s="67"/>
      <c r="G9" s="67"/>
      <c r="H9" s="67"/>
      <c r="I9" s="67"/>
      <c r="J9" s="67"/>
      <c r="K9" s="67"/>
      <c r="L9" s="67"/>
      <c r="M9" s="67"/>
      <c r="N9" s="67"/>
      <c r="O9" s="67"/>
      <c r="P9" s="67"/>
      <c r="Q9" s="67"/>
      <c r="R9" s="1"/>
    </row>
    <row r="10" spans="1:18" ht="14">
      <c r="A10" s="1"/>
      <c r="B10" s="1"/>
      <c r="C10" s="104" t="s">
        <v>331</v>
      </c>
      <c r="D10" s="114" t="s">
        <v>869</v>
      </c>
      <c r="E10" s="114" t="s">
        <v>504</v>
      </c>
      <c r="F10" s="114" t="s">
        <v>334</v>
      </c>
      <c r="G10" s="114" t="s">
        <v>335</v>
      </c>
      <c r="H10" s="114" t="s">
        <v>336</v>
      </c>
      <c r="I10" s="114" t="s">
        <v>337</v>
      </c>
      <c r="J10" s="114" t="s">
        <v>338</v>
      </c>
      <c r="K10" s="114" t="s">
        <v>339</v>
      </c>
      <c r="L10" s="114" t="s">
        <v>340</v>
      </c>
      <c r="M10" s="114" t="s">
        <v>341</v>
      </c>
      <c r="N10" s="114" t="s">
        <v>342</v>
      </c>
      <c r="O10" s="114" t="s">
        <v>343</v>
      </c>
      <c r="P10" s="114" t="s">
        <v>344</v>
      </c>
      <c r="Q10" s="114" t="s">
        <v>345</v>
      </c>
      <c r="R10" s="114" t="s">
        <v>346</v>
      </c>
    </row>
    <row r="11" spans="1:18" ht="14">
      <c r="A11" s="1"/>
      <c r="B11" s="1"/>
      <c r="C11" s="104" t="s">
        <v>299</v>
      </c>
      <c r="D11" s="84" t="s">
        <v>870</v>
      </c>
      <c r="E11" s="84"/>
      <c r="F11" s="84"/>
      <c r="G11" s="84"/>
      <c r="H11" s="84"/>
      <c r="I11" s="84"/>
      <c r="J11" s="84"/>
      <c r="K11" s="84"/>
      <c r="L11" s="84"/>
      <c r="M11" s="84"/>
      <c r="N11" s="84"/>
      <c r="O11" s="84"/>
      <c r="P11" s="84"/>
      <c r="Q11" s="84"/>
      <c r="R11" s="84"/>
    </row>
    <row r="12" spans="1:18">
      <c r="A12" s="1"/>
      <c r="B12" s="1"/>
      <c r="C12" s="68"/>
      <c r="D12" s="321"/>
      <c r="E12" s="321"/>
      <c r="F12" s="321"/>
      <c r="G12" s="321"/>
      <c r="H12" s="321"/>
      <c r="I12" s="321"/>
      <c r="J12" s="322"/>
      <c r="K12" s="322"/>
      <c r="L12" s="322"/>
      <c r="M12" s="322"/>
      <c r="N12" s="322"/>
      <c r="O12" s="322"/>
      <c r="P12" s="322"/>
      <c r="Q12" s="322"/>
      <c r="R12" s="322"/>
    </row>
    <row r="13" spans="1:18" ht="48">
      <c r="A13" s="1"/>
      <c r="B13" s="7" t="s">
        <v>348</v>
      </c>
      <c r="C13" s="8" t="s">
        <v>349</v>
      </c>
      <c r="D13" s="118" t="s">
        <v>506</v>
      </c>
      <c r="E13" s="118"/>
      <c r="F13" s="118"/>
      <c r="G13" s="118"/>
      <c r="H13" s="118"/>
      <c r="I13" s="118"/>
      <c r="J13" s="118"/>
      <c r="K13" s="118"/>
      <c r="L13" s="118"/>
      <c r="M13" s="118"/>
      <c r="N13" s="118"/>
      <c r="O13" s="118"/>
      <c r="P13" s="118"/>
      <c r="Q13" s="118"/>
      <c r="R13" s="118"/>
    </row>
    <row r="14" spans="1:18" ht="28">
      <c r="A14" s="1"/>
      <c r="B14" s="7" t="s">
        <v>352</v>
      </c>
      <c r="C14" s="8" t="s">
        <v>297</v>
      </c>
      <c r="D14" s="85" t="s">
        <v>17</v>
      </c>
      <c r="E14" s="85"/>
      <c r="F14" s="85"/>
      <c r="G14" s="85"/>
      <c r="H14" s="85"/>
      <c r="I14" s="85"/>
      <c r="J14" s="85"/>
      <c r="K14" s="85"/>
      <c r="L14" s="85"/>
      <c r="M14" s="85"/>
      <c r="N14" s="85"/>
      <c r="O14" s="85"/>
      <c r="P14" s="85"/>
      <c r="Q14" s="85"/>
      <c r="R14" s="85"/>
    </row>
    <row r="15" spans="1:18" ht="36">
      <c r="A15" s="1"/>
      <c r="B15" s="7" t="s">
        <v>353</v>
      </c>
      <c r="C15" s="8" t="s">
        <v>354</v>
      </c>
      <c r="D15" s="85" t="s">
        <v>18</v>
      </c>
      <c r="E15" s="85"/>
      <c r="F15" s="85"/>
      <c r="G15" s="85"/>
      <c r="H15" s="85"/>
      <c r="I15" s="85"/>
      <c r="J15" s="85"/>
      <c r="K15" s="85"/>
      <c r="L15" s="85"/>
      <c r="M15" s="85"/>
      <c r="N15" s="85"/>
      <c r="O15" s="85"/>
      <c r="P15" s="85"/>
      <c r="Q15" s="85"/>
      <c r="R15" s="85"/>
    </row>
    <row r="16" spans="1:18" ht="24">
      <c r="A16" s="1"/>
      <c r="B16" s="7" t="s">
        <v>355</v>
      </c>
      <c r="C16" s="8" t="s">
        <v>356</v>
      </c>
      <c r="D16" s="85">
        <v>1087</v>
      </c>
      <c r="E16" s="85"/>
      <c r="F16" s="85"/>
      <c r="G16" s="85"/>
      <c r="H16" s="85"/>
      <c r="I16" s="85"/>
      <c r="J16" s="85"/>
      <c r="K16" s="85"/>
      <c r="L16" s="85"/>
      <c r="M16" s="85"/>
      <c r="N16" s="85"/>
      <c r="O16" s="85"/>
      <c r="P16" s="85"/>
      <c r="Q16" s="85"/>
      <c r="R16" s="85"/>
    </row>
    <row r="17" spans="1:18" ht="24">
      <c r="A17" s="1"/>
      <c r="B17" s="7" t="s">
        <v>357</v>
      </c>
      <c r="C17" s="8" t="s">
        <v>294</v>
      </c>
      <c r="D17" s="85" t="s">
        <v>16</v>
      </c>
      <c r="E17" s="85"/>
      <c r="F17" s="85"/>
      <c r="G17" s="85"/>
      <c r="H17" s="85"/>
      <c r="I17" s="85"/>
      <c r="J17" s="85"/>
      <c r="K17" s="85"/>
      <c r="L17" s="85"/>
      <c r="M17" s="85"/>
      <c r="N17" s="85"/>
      <c r="O17" s="85"/>
      <c r="P17" s="85"/>
      <c r="Q17" s="85"/>
      <c r="R17" s="85"/>
    </row>
    <row r="18" spans="1:18" ht="14">
      <c r="A18" s="1"/>
      <c r="B18" s="9" t="s">
        <v>358</v>
      </c>
      <c r="C18" s="10" t="s">
        <v>359</v>
      </c>
      <c r="D18" s="85" t="s">
        <v>360</v>
      </c>
      <c r="E18" s="85"/>
      <c r="F18" s="85"/>
      <c r="G18" s="85"/>
      <c r="H18" s="85"/>
      <c r="I18" s="85"/>
      <c r="J18" s="85"/>
      <c r="K18" s="85"/>
      <c r="L18" s="85"/>
      <c r="M18" s="85"/>
      <c r="N18" s="85"/>
      <c r="O18" s="85"/>
      <c r="P18" s="85"/>
      <c r="Q18" s="85"/>
      <c r="R18" s="85"/>
    </row>
    <row r="19" spans="1:18" ht="42">
      <c r="A19" s="1"/>
      <c r="B19" s="9" t="s">
        <v>361</v>
      </c>
      <c r="C19" s="10" t="s">
        <v>362</v>
      </c>
      <c r="D19" s="85" t="s">
        <v>414</v>
      </c>
      <c r="E19" s="85"/>
      <c r="F19" s="85"/>
      <c r="G19" s="85"/>
      <c r="H19" s="85"/>
      <c r="I19" s="85"/>
      <c r="J19" s="85"/>
      <c r="K19" s="85"/>
      <c r="L19" s="85"/>
      <c r="M19" s="85"/>
      <c r="N19" s="85"/>
      <c r="O19" s="85"/>
      <c r="P19" s="85"/>
      <c r="Q19" s="85"/>
      <c r="R19" s="85"/>
    </row>
    <row r="20" spans="1:18" ht="72">
      <c r="A20" s="1"/>
      <c r="B20" s="9" t="s">
        <v>363</v>
      </c>
      <c r="C20" s="10" t="s">
        <v>364</v>
      </c>
      <c r="D20" s="85" t="s">
        <v>414</v>
      </c>
      <c r="E20" s="85"/>
      <c r="F20" s="85"/>
      <c r="G20" s="85"/>
      <c r="H20" s="85"/>
      <c r="I20" s="85"/>
      <c r="J20" s="85"/>
      <c r="K20" s="85"/>
      <c r="L20" s="85"/>
      <c r="M20" s="85"/>
      <c r="N20" s="85"/>
      <c r="O20" s="85"/>
      <c r="P20" s="85"/>
      <c r="Q20" s="85"/>
      <c r="R20" s="85"/>
    </row>
    <row r="21" spans="1:18" ht="36">
      <c r="A21" s="1"/>
      <c r="B21" s="11" t="s">
        <v>365</v>
      </c>
      <c r="C21" s="12" t="s">
        <v>366</v>
      </c>
      <c r="D21" s="85" t="s">
        <v>871</v>
      </c>
      <c r="E21" s="85"/>
      <c r="F21" s="85"/>
      <c r="G21" s="85"/>
      <c r="H21" s="85"/>
      <c r="I21" s="85"/>
      <c r="J21" s="85"/>
      <c r="K21" s="85"/>
      <c r="L21" s="85"/>
      <c r="M21" s="85"/>
      <c r="N21" s="85"/>
      <c r="O21" s="85"/>
      <c r="P21" s="85"/>
      <c r="Q21" s="85"/>
      <c r="R21" s="85"/>
    </row>
    <row r="22" spans="1:18" ht="36">
      <c r="A22" s="1"/>
      <c r="B22" s="11" t="s">
        <v>369</v>
      </c>
      <c r="C22" s="12" t="s">
        <v>370</v>
      </c>
      <c r="D22" s="85" t="s">
        <v>872</v>
      </c>
      <c r="E22" s="85"/>
      <c r="F22" s="85"/>
      <c r="G22" s="85"/>
      <c r="H22" s="85"/>
      <c r="I22" s="85"/>
      <c r="J22" s="85"/>
      <c r="K22" s="85"/>
      <c r="L22" s="85"/>
      <c r="M22" s="85"/>
      <c r="N22" s="85"/>
      <c r="O22" s="85"/>
      <c r="P22" s="85"/>
      <c r="Q22" s="85"/>
      <c r="R22" s="85"/>
    </row>
    <row r="23" spans="1:18" ht="14">
      <c r="A23" s="1"/>
      <c r="B23" s="13"/>
      <c r="C23" s="87" t="s">
        <v>374</v>
      </c>
      <c r="D23" s="131" t="s">
        <v>374</v>
      </c>
      <c r="E23" s="131"/>
      <c r="F23" s="131"/>
      <c r="G23" s="131"/>
      <c r="H23" s="131"/>
      <c r="I23" s="131"/>
      <c r="J23" s="131"/>
      <c r="K23" s="131"/>
      <c r="L23" s="131"/>
      <c r="M23" s="131"/>
      <c r="N23" s="131"/>
      <c r="O23" s="131"/>
      <c r="P23" s="131"/>
      <c r="Q23" s="131"/>
      <c r="R23" s="131"/>
    </row>
    <row r="24" spans="1:18" ht="60">
      <c r="A24" s="1"/>
      <c r="B24" s="13" t="s">
        <v>375</v>
      </c>
      <c r="C24" s="14" t="s">
        <v>376</v>
      </c>
      <c r="D24" s="88">
        <v>158.6</v>
      </c>
      <c r="E24" s="88"/>
      <c r="F24" s="88"/>
      <c r="G24" s="88"/>
      <c r="H24" s="88"/>
      <c r="I24" s="88"/>
      <c r="J24" s="88"/>
      <c r="K24" s="88"/>
      <c r="L24" s="88"/>
      <c r="M24" s="88"/>
      <c r="N24" s="88"/>
      <c r="O24" s="88"/>
      <c r="P24" s="88"/>
      <c r="Q24" s="88"/>
      <c r="R24" s="88"/>
    </row>
    <row r="25" spans="1:18" ht="60">
      <c r="A25" s="1"/>
      <c r="B25" s="15" t="s">
        <v>377</v>
      </c>
      <c r="C25" s="16" t="s">
        <v>378</v>
      </c>
      <c r="D25" s="89">
        <v>3</v>
      </c>
      <c r="E25" s="85"/>
      <c r="F25" s="85"/>
      <c r="G25" s="85"/>
      <c r="H25" s="85"/>
      <c r="I25" s="85"/>
      <c r="J25" s="85"/>
      <c r="K25" s="85"/>
      <c r="L25" s="85"/>
      <c r="M25" s="85"/>
      <c r="N25" s="85"/>
      <c r="O25" s="85"/>
      <c r="P25" s="85"/>
      <c r="Q25" s="85"/>
      <c r="R25" s="85"/>
    </row>
    <row r="26" spans="1:18" ht="60">
      <c r="A26" s="1"/>
      <c r="B26" s="15" t="s">
        <v>380</v>
      </c>
      <c r="C26" s="16" t="s">
        <v>381</v>
      </c>
      <c r="D26" s="89" t="s">
        <v>449</v>
      </c>
      <c r="E26" s="88"/>
      <c r="F26" s="88"/>
      <c r="G26" s="85"/>
      <c r="H26" s="85"/>
      <c r="I26" s="85"/>
      <c r="J26" s="85"/>
      <c r="K26" s="85"/>
      <c r="L26" s="85"/>
      <c r="M26" s="85"/>
      <c r="N26" s="85"/>
      <c r="O26" s="85"/>
      <c r="P26" s="85"/>
      <c r="Q26" s="85"/>
      <c r="R26" s="85"/>
    </row>
    <row r="27" spans="1:18" ht="14">
      <c r="A27" s="1"/>
      <c r="B27" s="323" t="s">
        <v>383</v>
      </c>
      <c r="C27" s="324" t="s">
        <v>383</v>
      </c>
      <c r="D27" s="89"/>
      <c r="E27" s="88"/>
      <c r="F27" s="88"/>
      <c r="G27" s="85"/>
      <c r="H27" s="85"/>
      <c r="I27" s="85"/>
      <c r="J27" s="85"/>
      <c r="K27" s="85"/>
      <c r="L27" s="85"/>
      <c r="M27" s="85"/>
      <c r="N27" s="85"/>
      <c r="O27" s="85"/>
      <c r="P27" s="85"/>
      <c r="Q27" s="85"/>
      <c r="R27" s="85"/>
    </row>
    <row r="28" spans="1:18" ht="60">
      <c r="A28" s="1"/>
      <c r="B28" s="15" t="s">
        <v>384</v>
      </c>
      <c r="C28" s="16" t="s">
        <v>450</v>
      </c>
      <c r="D28" s="120" t="s">
        <v>873</v>
      </c>
      <c r="E28" s="88"/>
      <c r="F28" s="88"/>
      <c r="G28" s="85"/>
      <c r="H28" s="85"/>
      <c r="I28" s="85"/>
      <c r="J28" s="85"/>
      <c r="K28" s="85"/>
      <c r="L28" s="85"/>
      <c r="M28" s="85"/>
      <c r="N28" s="85"/>
      <c r="O28" s="85"/>
      <c r="P28" s="85"/>
      <c r="Q28" s="85"/>
      <c r="R28" s="85"/>
    </row>
    <row r="29" spans="1:18" ht="72">
      <c r="A29" s="1"/>
      <c r="B29" s="15" t="s">
        <v>387</v>
      </c>
      <c r="C29" s="16" t="s">
        <v>388</v>
      </c>
      <c r="D29" s="89" t="s">
        <v>452</v>
      </c>
      <c r="E29" s="88"/>
      <c r="F29" s="88"/>
      <c r="G29" s="85"/>
      <c r="H29" s="85"/>
      <c r="I29" s="85"/>
      <c r="J29" s="85"/>
      <c r="K29" s="85"/>
      <c r="L29" s="85"/>
      <c r="M29" s="85"/>
      <c r="N29" s="85"/>
      <c r="O29" s="85"/>
      <c r="P29" s="85"/>
      <c r="Q29" s="85"/>
      <c r="R29" s="85"/>
    </row>
    <row r="30" spans="1:18" ht="72">
      <c r="A30" s="1"/>
      <c r="B30" s="13" t="s">
        <v>390</v>
      </c>
      <c r="C30" s="17" t="s">
        <v>453</v>
      </c>
      <c r="D30" s="85" t="s">
        <v>874</v>
      </c>
      <c r="E30" s="85"/>
      <c r="F30" s="85"/>
      <c r="G30" s="85"/>
      <c r="H30" s="85"/>
      <c r="I30" s="85"/>
      <c r="J30" s="85"/>
      <c r="K30" s="85"/>
      <c r="L30" s="85"/>
      <c r="M30" s="85"/>
      <c r="N30" s="85"/>
      <c r="O30" s="85"/>
      <c r="P30" s="85"/>
      <c r="Q30" s="85"/>
      <c r="R30" s="85"/>
    </row>
    <row r="31" spans="1:18" ht="28">
      <c r="A31" s="1"/>
      <c r="B31" s="326"/>
      <c r="C31" s="327" t="s">
        <v>393</v>
      </c>
      <c r="D31" s="85"/>
      <c r="E31" s="85"/>
      <c r="F31" s="85"/>
      <c r="G31" s="85"/>
      <c r="H31" s="85"/>
      <c r="I31" s="85"/>
      <c r="J31" s="85"/>
      <c r="K31" s="85"/>
      <c r="L31" s="85"/>
      <c r="M31" s="85"/>
      <c r="N31" s="85"/>
      <c r="O31" s="85"/>
      <c r="P31" s="85"/>
      <c r="Q31" s="85"/>
      <c r="R31" s="85"/>
    </row>
    <row r="32" spans="1:18" ht="72">
      <c r="A32" s="1"/>
      <c r="B32" s="13" t="s">
        <v>394</v>
      </c>
      <c r="C32" s="17" t="s">
        <v>395</v>
      </c>
      <c r="D32" s="85" t="s">
        <v>452</v>
      </c>
      <c r="E32" s="85"/>
      <c r="F32" s="85"/>
      <c r="G32" s="85"/>
      <c r="H32" s="85"/>
      <c r="I32" s="85"/>
      <c r="J32" s="85"/>
      <c r="K32" s="85"/>
      <c r="L32" s="85"/>
      <c r="M32" s="85"/>
      <c r="N32" s="85"/>
      <c r="O32" s="85"/>
      <c r="P32" s="85"/>
      <c r="Q32" s="85"/>
      <c r="R32" s="85"/>
    </row>
    <row r="33" spans="1:18" ht="24">
      <c r="A33" s="1"/>
      <c r="B33" s="18" t="s">
        <v>397</v>
      </c>
      <c r="C33" s="19" t="s">
        <v>313</v>
      </c>
      <c r="D33" s="91">
        <v>44652</v>
      </c>
      <c r="E33" s="91"/>
      <c r="F33" s="91"/>
      <c r="G33" s="91"/>
      <c r="H33" s="91"/>
      <c r="I33" s="91"/>
      <c r="J33" s="85"/>
      <c r="K33" s="85"/>
      <c r="L33" s="85"/>
      <c r="M33" s="85"/>
      <c r="N33" s="85"/>
      <c r="O33" s="85"/>
      <c r="P33" s="85"/>
      <c r="Q33" s="85"/>
      <c r="R33" s="85"/>
    </row>
    <row r="34" spans="1:18" ht="36">
      <c r="A34" s="1"/>
      <c r="B34" s="20" t="s">
        <v>398</v>
      </c>
      <c r="C34" s="19" t="s">
        <v>315</v>
      </c>
      <c r="D34" s="91">
        <v>46477</v>
      </c>
      <c r="E34" s="91"/>
      <c r="F34" s="91"/>
      <c r="G34" s="91"/>
      <c r="H34" s="91"/>
      <c r="I34" s="91"/>
      <c r="J34" s="85"/>
      <c r="K34" s="85"/>
      <c r="L34" s="85"/>
      <c r="M34" s="85"/>
      <c r="N34" s="85"/>
      <c r="O34" s="85"/>
      <c r="P34" s="85"/>
      <c r="Q34" s="85"/>
      <c r="R34" s="85"/>
    </row>
    <row r="35" spans="1:18" ht="36">
      <c r="A35" s="1"/>
      <c r="B35" s="20" t="s">
        <v>399</v>
      </c>
      <c r="C35" s="19" t="s">
        <v>400</v>
      </c>
      <c r="D35" s="85" t="s">
        <v>410</v>
      </c>
      <c r="E35" s="85"/>
      <c r="F35" s="85"/>
      <c r="G35" s="85"/>
      <c r="H35" s="85"/>
      <c r="I35" s="85"/>
      <c r="J35" s="85"/>
      <c r="K35" s="85"/>
      <c r="L35" s="85"/>
      <c r="M35" s="85"/>
      <c r="N35" s="85"/>
      <c r="O35" s="85"/>
      <c r="P35" s="85"/>
      <c r="Q35" s="85"/>
      <c r="R35" s="85"/>
    </row>
    <row r="36" spans="1:18" ht="48">
      <c r="A36" s="1"/>
      <c r="B36" s="20" t="s">
        <v>402</v>
      </c>
      <c r="C36" s="21" t="s">
        <v>403</v>
      </c>
      <c r="D36" s="92" t="s">
        <v>328</v>
      </c>
      <c r="E36" s="93"/>
      <c r="F36" s="93"/>
      <c r="G36" s="93"/>
      <c r="H36" s="93"/>
      <c r="I36" s="93"/>
      <c r="J36" s="85"/>
      <c r="K36" s="85"/>
      <c r="L36" s="85"/>
      <c r="M36" s="85"/>
      <c r="N36" s="85"/>
      <c r="O36" s="85"/>
      <c r="P36" s="85"/>
      <c r="Q36" s="85"/>
      <c r="R36" s="85"/>
    </row>
    <row r="37" spans="1:18" ht="72">
      <c r="A37" s="1"/>
      <c r="B37" s="20" t="s">
        <v>404</v>
      </c>
      <c r="C37" s="21" t="s">
        <v>405</v>
      </c>
      <c r="D37" s="92" t="s">
        <v>410</v>
      </c>
      <c r="E37" s="93"/>
      <c r="F37" s="93"/>
      <c r="G37" s="93"/>
      <c r="H37" s="93"/>
      <c r="I37" s="93"/>
      <c r="J37" s="85"/>
      <c r="K37" s="85"/>
      <c r="L37" s="85"/>
      <c r="M37" s="85"/>
      <c r="N37" s="85"/>
      <c r="O37" s="85"/>
      <c r="P37" s="85"/>
      <c r="Q37" s="85"/>
      <c r="R37" s="85"/>
    </row>
    <row r="38" spans="1:18" ht="36">
      <c r="A38" s="1"/>
      <c r="B38" s="20" t="s">
        <v>406</v>
      </c>
      <c r="C38" s="21" t="s">
        <v>407</v>
      </c>
      <c r="D38" s="92" t="s">
        <v>328</v>
      </c>
      <c r="E38" s="93"/>
      <c r="F38" s="93"/>
      <c r="G38" s="93"/>
      <c r="H38" s="93"/>
      <c r="I38" s="93"/>
      <c r="J38" s="85"/>
      <c r="K38" s="85"/>
      <c r="L38" s="85"/>
      <c r="M38" s="85"/>
      <c r="N38" s="85"/>
      <c r="O38" s="85"/>
      <c r="P38" s="85"/>
      <c r="Q38" s="85"/>
      <c r="R38" s="85"/>
    </row>
    <row r="39" spans="1:18" ht="36">
      <c r="A39" s="1"/>
      <c r="B39" s="20" t="s">
        <v>408</v>
      </c>
      <c r="C39" s="21" t="s">
        <v>409</v>
      </c>
      <c r="D39" s="92" t="s">
        <v>410</v>
      </c>
      <c r="E39" s="93"/>
      <c r="F39" s="93"/>
      <c r="G39" s="93"/>
      <c r="H39" s="93"/>
      <c r="I39" s="93"/>
      <c r="J39" s="85"/>
      <c r="K39" s="85"/>
      <c r="L39" s="85"/>
      <c r="M39" s="85"/>
      <c r="N39" s="85"/>
      <c r="O39" s="85"/>
      <c r="P39" s="85"/>
      <c r="Q39" s="85"/>
      <c r="R39" s="85"/>
    </row>
    <row r="40" spans="1:18" ht="48">
      <c r="A40" s="1"/>
      <c r="B40" s="20" t="s">
        <v>411</v>
      </c>
      <c r="C40" s="21" t="s">
        <v>314</v>
      </c>
      <c r="D40" s="92">
        <v>46477</v>
      </c>
      <c r="E40" s="93"/>
      <c r="F40" s="93"/>
      <c r="G40" s="93"/>
      <c r="H40" s="93"/>
      <c r="I40" s="93"/>
      <c r="J40" s="85"/>
      <c r="K40" s="85"/>
      <c r="L40" s="85"/>
      <c r="M40" s="85"/>
      <c r="N40" s="85"/>
      <c r="O40" s="85"/>
      <c r="P40" s="85"/>
      <c r="Q40" s="85"/>
      <c r="R40" s="85"/>
    </row>
    <row r="41" spans="1:18" ht="70">
      <c r="A41" s="1"/>
      <c r="B41" s="22" t="s">
        <v>412</v>
      </c>
      <c r="C41" s="23" t="s">
        <v>413</v>
      </c>
      <c r="D41" s="92" t="s">
        <v>498</v>
      </c>
      <c r="E41" s="92"/>
      <c r="F41" s="92"/>
      <c r="G41" s="92"/>
      <c r="H41" s="92"/>
      <c r="I41" s="92"/>
      <c r="J41" s="92"/>
      <c r="K41" s="92"/>
      <c r="L41" s="92"/>
      <c r="M41" s="92"/>
      <c r="N41" s="92"/>
      <c r="O41" s="92"/>
      <c r="P41" s="92"/>
      <c r="Q41" s="92"/>
      <c r="R41" s="92"/>
    </row>
    <row r="42" spans="1:18" ht="72">
      <c r="A42" s="1"/>
      <c r="B42" s="24" t="s">
        <v>457</v>
      </c>
      <c r="C42" s="23" t="s">
        <v>458</v>
      </c>
      <c r="D42" s="95" t="s">
        <v>328</v>
      </c>
      <c r="E42" s="95"/>
      <c r="F42" s="95"/>
      <c r="G42" s="95"/>
      <c r="H42" s="95"/>
      <c r="I42" s="95"/>
      <c r="J42" s="95"/>
      <c r="K42" s="95"/>
      <c r="L42" s="95"/>
      <c r="M42" s="95"/>
      <c r="N42" s="95"/>
      <c r="O42" s="95"/>
      <c r="P42" s="95"/>
      <c r="Q42" s="95"/>
      <c r="R42" s="95"/>
    </row>
    <row r="43" spans="1:18" ht="84">
      <c r="A43" s="1"/>
      <c r="B43" s="25" t="s">
        <v>418</v>
      </c>
      <c r="C43" s="26" t="s">
        <v>419</v>
      </c>
      <c r="D43" s="85" t="s">
        <v>414</v>
      </c>
      <c r="E43" s="85"/>
      <c r="F43" s="85"/>
      <c r="G43" s="85"/>
      <c r="H43" s="85"/>
      <c r="I43" s="85"/>
      <c r="J43" s="85"/>
      <c r="K43" s="85"/>
      <c r="L43" s="85"/>
      <c r="M43" s="85"/>
      <c r="N43" s="85"/>
      <c r="O43" s="85"/>
      <c r="P43" s="85"/>
      <c r="Q43" s="85"/>
      <c r="R43" s="85"/>
    </row>
    <row r="44" spans="1:18" ht="132">
      <c r="A44" s="1"/>
      <c r="B44" s="25" t="s">
        <v>420</v>
      </c>
      <c r="C44" s="26" t="s">
        <v>421</v>
      </c>
      <c r="D44" s="85" t="s">
        <v>328</v>
      </c>
      <c r="E44" s="85"/>
      <c r="F44" s="85"/>
      <c r="G44" s="85"/>
      <c r="H44" s="85"/>
      <c r="I44" s="85"/>
      <c r="J44" s="85"/>
      <c r="K44" s="85"/>
      <c r="L44" s="85"/>
      <c r="M44" s="85"/>
      <c r="N44" s="85"/>
      <c r="O44" s="85"/>
      <c r="P44" s="85"/>
      <c r="Q44" s="85"/>
      <c r="R44" s="85"/>
    </row>
    <row r="45" spans="1:18">
      <c r="A45" s="1"/>
      <c r="B45" s="27"/>
      <c r="C45" s="27"/>
      <c r="D45" s="1"/>
      <c r="E45" s="1"/>
      <c r="F45" s="1"/>
      <c r="G45" s="1"/>
      <c r="H45" s="1"/>
      <c r="I45" s="1"/>
      <c r="J45" s="1"/>
      <c r="K45" s="1"/>
      <c r="L45" s="1"/>
      <c r="M45" s="1"/>
      <c r="N45" s="1"/>
      <c r="O45" s="1"/>
      <c r="P45" s="1"/>
      <c r="Q45" s="1"/>
      <c r="R45" s="1"/>
    </row>
    <row r="46" spans="1:18" ht="42">
      <c r="A46" s="1"/>
      <c r="B46" s="27"/>
      <c r="C46" s="28" t="s">
        <v>423</v>
      </c>
      <c r="D46" s="85" t="s">
        <v>875</v>
      </c>
      <c r="E46" s="85"/>
      <c r="F46" s="85"/>
      <c r="G46" s="85"/>
      <c r="H46" s="85"/>
      <c r="I46" s="85"/>
      <c r="J46" s="85"/>
      <c r="K46" s="85"/>
      <c r="L46" s="85"/>
      <c r="M46" s="85"/>
      <c r="N46" s="85"/>
      <c r="O46" s="85"/>
      <c r="P46" s="85"/>
      <c r="Q46" s="85"/>
      <c r="R46" s="85"/>
    </row>
    <row r="47" spans="1:18" ht="28">
      <c r="A47" s="1"/>
      <c r="B47" s="27"/>
      <c r="C47" s="29" t="s">
        <v>424</v>
      </c>
      <c r="D47" s="85"/>
      <c r="E47" s="85"/>
      <c r="F47" s="85"/>
      <c r="G47" s="85"/>
      <c r="H47" s="85"/>
      <c r="I47" s="85"/>
      <c r="J47" s="85"/>
      <c r="K47" s="85"/>
      <c r="L47" s="85"/>
      <c r="M47" s="85"/>
      <c r="N47" s="85"/>
      <c r="O47" s="85"/>
      <c r="P47" s="85"/>
      <c r="Q47" s="85"/>
      <c r="R47" s="85"/>
    </row>
    <row r="48" spans="1:18" ht="28">
      <c r="A48" s="1"/>
      <c r="B48" s="27"/>
      <c r="C48" s="29" t="s">
        <v>425</v>
      </c>
      <c r="D48" s="85"/>
      <c r="E48" s="85"/>
      <c r="F48" s="85"/>
      <c r="G48" s="85"/>
      <c r="H48" s="85"/>
      <c r="I48" s="85"/>
      <c r="J48" s="85"/>
      <c r="K48" s="85"/>
      <c r="L48" s="85"/>
      <c r="M48" s="85"/>
      <c r="N48" s="85"/>
      <c r="O48" s="85"/>
      <c r="P48" s="85"/>
      <c r="Q48" s="85"/>
      <c r="R48" s="85"/>
    </row>
    <row r="49" spans="1:18">
      <c r="A49" s="1"/>
      <c r="B49" s="27"/>
      <c r="C49" s="30"/>
      <c r="D49" s="96"/>
      <c r="E49" s="96"/>
      <c r="F49" s="96"/>
      <c r="G49" s="96"/>
      <c r="H49" s="96"/>
      <c r="I49" s="96"/>
      <c r="J49" s="96"/>
      <c r="K49" s="96"/>
      <c r="L49" s="96"/>
      <c r="M49" s="96"/>
      <c r="N49" s="96"/>
      <c r="O49" s="96"/>
      <c r="P49" s="96"/>
      <c r="Q49" s="96"/>
      <c r="R49" s="96"/>
    </row>
    <row r="50" spans="1:18" ht="44">
      <c r="A50" s="1"/>
      <c r="B50" s="27"/>
      <c r="C50" s="28" t="s">
        <v>426</v>
      </c>
      <c r="D50" s="85">
        <v>13</v>
      </c>
      <c r="E50" s="85"/>
      <c r="F50" s="85"/>
      <c r="G50" s="85"/>
      <c r="H50" s="85"/>
      <c r="I50" s="85"/>
      <c r="J50" s="85"/>
      <c r="K50" s="85"/>
      <c r="L50" s="85"/>
      <c r="M50" s="85"/>
      <c r="N50" s="85"/>
      <c r="O50" s="85"/>
      <c r="P50" s="85"/>
      <c r="Q50" s="85"/>
      <c r="R50" s="85"/>
    </row>
    <row r="51" spans="1:18" ht="28">
      <c r="A51" s="1"/>
      <c r="B51" s="27"/>
      <c r="C51" s="29" t="s">
        <v>424</v>
      </c>
      <c r="D51" s="85"/>
      <c r="E51" s="85"/>
      <c r="F51" s="85"/>
      <c r="G51" s="85"/>
      <c r="H51" s="85"/>
      <c r="I51" s="85"/>
      <c r="J51" s="85"/>
      <c r="K51" s="85"/>
      <c r="L51" s="85"/>
      <c r="M51" s="85"/>
      <c r="N51" s="85"/>
      <c r="O51" s="85"/>
      <c r="P51" s="85"/>
      <c r="Q51" s="85"/>
      <c r="R51" s="85"/>
    </row>
    <row r="52" spans="1:18" ht="28">
      <c r="A52" s="1"/>
      <c r="B52" s="27"/>
      <c r="C52" s="29" t="s">
        <v>425</v>
      </c>
      <c r="D52" s="85"/>
      <c r="E52" s="85"/>
      <c r="F52" s="85"/>
      <c r="G52" s="85"/>
      <c r="H52" s="85"/>
      <c r="I52" s="85"/>
      <c r="J52" s="85"/>
      <c r="K52" s="85"/>
      <c r="L52" s="85"/>
      <c r="M52" s="85"/>
      <c r="N52" s="85"/>
      <c r="O52" s="85"/>
      <c r="P52" s="85"/>
      <c r="Q52" s="85"/>
      <c r="R52" s="85"/>
    </row>
    <row r="53" spans="1:18">
      <c r="A53" s="1"/>
      <c r="B53" s="27"/>
      <c r="C53" s="31"/>
      <c r="D53" s="96"/>
      <c r="E53" s="96"/>
      <c r="F53" s="96"/>
      <c r="G53" s="96"/>
      <c r="H53" s="96"/>
      <c r="I53" s="96"/>
      <c r="J53" s="96"/>
      <c r="K53" s="96"/>
      <c r="L53" s="96"/>
      <c r="M53" s="96"/>
      <c r="N53" s="96"/>
      <c r="O53" s="96"/>
      <c r="P53" s="96"/>
      <c r="Q53" s="96"/>
      <c r="R53" s="96"/>
    </row>
    <row r="54" spans="1:18" ht="28">
      <c r="A54" s="1"/>
      <c r="B54" s="27"/>
      <c r="C54" s="28" t="s">
        <v>427</v>
      </c>
      <c r="D54" s="328"/>
      <c r="E54" s="328"/>
      <c r="F54" s="328"/>
      <c r="G54" s="328"/>
      <c r="H54" s="328"/>
      <c r="I54" s="328"/>
      <c r="J54" s="328"/>
      <c r="K54" s="328"/>
      <c r="L54" s="328"/>
      <c r="M54" s="328"/>
      <c r="N54" s="328"/>
      <c r="O54" s="328"/>
      <c r="P54" s="328"/>
      <c r="Q54" s="328"/>
      <c r="R54" s="328"/>
    </row>
    <row r="55" spans="1:18" ht="28">
      <c r="A55" s="1"/>
      <c r="B55" s="27"/>
      <c r="C55" s="28" t="s">
        <v>428</v>
      </c>
      <c r="D55" s="85"/>
      <c r="E55" s="85"/>
      <c r="F55" s="85"/>
      <c r="G55" s="85"/>
      <c r="H55" s="85"/>
      <c r="I55" s="85"/>
      <c r="J55" s="85"/>
      <c r="K55" s="85"/>
      <c r="L55" s="85"/>
      <c r="M55" s="85"/>
      <c r="N55" s="85"/>
      <c r="O55" s="85"/>
      <c r="P55" s="85"/>
      <c r="Q55" s="85"/>
      <c r="R55" s="85"/>
    </row>
    <row r="56" spans="1:18" ht="42">
      <c r="A56" s="1"/>
      <c r="B56" s="27"/>
      <c r="C56" s="330" t="s">
        <v>429</v>
      </c>
      <c r="D56" s="95"/>
      <c r="E56" s="95"/>
      <c r="F56" s="95"/>
      <c r="G56" s="95"/>
      <c r="H56" s="95"/>
      <c r="I56" s="95"/>
      <c r="J56" s="95"/>
      <c r="K56" s="95"/>
      <c r="L56" s="95"/>
      <c r="M56" s="95"/>
      <c r="N56" s="95"/>
      <c r="O56" s="95"/>
      <c r="P56" s="95"/>
      <c r="Q56" s="95"/>
      <c r="R56" s="85"/>
    </row>
    <row r="57" spans="1:18" ht="56">
      <c r="A57" s="1"/>
      <c r="B57" s="1"/>
      <c r="C57" s="331" t="s">
        <v>430</v>
      </c>
      <c r="D57" s="71"/>
      <c r="E57" s="71"/>
      <c r="F57" s="71"/>
      <c r="G57" s="71"/>
      <c r="H57" s="71"/>
      <c r="I57" s="71"/>
      <c r="J57" s="71"/>
      <c r="K57" s="71"/>
      <c r="L57" s="71"/>
      <c r="M57" s="71"/>
      <c r="N57" s="71"/>
      <c r="O57" s="71"/>
      <c r="P57" s="71"/>
      <c r="Q57" s="71"/>
      <c r="R57" s="71"/>
    </row>
    <row r="58" spans="1:18" ht="70">
      <c r="A58" s="1"/>
      <c r="B58" s="1"/>
      <c r="C58" s="331" t="s">
        <v>431</v>
      </c>
      <c r="D58" s="71"/>
      <c r="E58" s="71"/>
      <c r="F58" s="71"/>
      <c r="G58" s="71"/>
      <c r="H58" s="71"/>
      <c r="I58" s="71"/>
      <c r="J58" s="71"/>
      <c r="K58" s="71"/>
      <c r="L58" s="71"/>
      <c r="M58" s="71"/>
      <c r="N58" s="71"/>
      <c r="O58" s="71"/>
      <c r="P58" s="71"/>
      <c r="Q58" s="71"/>
      <c r="R58" s="71"/>
    </row>
  </sheetData>
  <mergeCells count="2">
    <mergeCell ref="C6:D6"/>
    <mergeCell ref="C7:D7"/>
  </mergeCells>
  <phoneticPr fontId="8" type="noConversion"/>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111" priority="3">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0 B32">
    <cfRule type="colorScale" priority="6">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110" priority="5">
      <formula>#REF!="Owned"</formula>
    </cfRule>
  </conditionalFormatting>
  <conditionalFormatting sqref="C27:C32">
    <cfRule type="expression" dxfId="109" priority="1">
      <formula>#REF!="Owned"</formula>
    </cfRule>
  </conditionalFormatting>
  <dataValidations count="1">
    <dataValidation type="list" allowBlank="1" showInputMessage="1" showErrorMessage="1" sqref="E6" xr:uid="{36D709AE-352A-42C4-95EE-FED975B069D3}">
      <formula1>"Yes, No"</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D4202-1638-4065-B62C-A6C2E0818397}">
  <sheetPr codeName="Feuil19">
    <tabColor rgb="FF00B050"/>
    <pageSetUpPr fitToPage="1"/>
  </sheetPr>
  <dimension ref="B1:R81"/>
  <sheetViews>
    <sheetView topLeftCell="A50" zoomScale="85" zoomScaleNormal="85" workbookViewId="0">
      <selection activeCell="G28" sqref="G28"/>
    </sheetView>
  </sheetViews>
  <sheetFormatPr baseColWidth="10" defaultColWidth="9.1640625" defaultRowHeight="13"/>
  <cols>
    <col min="1" max="1" width="19.5" style="139" customWidth="1"/>
    <col min="2" max="2" width="24.1640625" style="139" customWidth="1"/>
    <col min="3" max="3" width="23.1640625" style="139" customWidth="1"/>
    <col min="4" max="18" width="22.83203125" style="139" customWidth="1"/>
    <col min="19" max="16384" width="9.1640625" style="139"/>
  </cols>
  <sheetData>
    <row r="1" spans="2:18" ht="7.5" customHeight="1"/>
    <row r="2" spans="2:18">
      <c r="C2" s="508" t="s">
        <v>323</v>
      </c>
      <c r="D2" s="501">
        <v>45925</v>
      </c>
      <c r="E2" s="141"/>
      <c r="F2" s="142"/>
      <c r="G2" s="142"/>
      <c r="H2" s="142"/>
      <c r="I2" s="143"/>
    </row>
    <row r="4" spans="2:18">
      <c r="C4" s="140" t="s">
        <v>324</v>
      </c>
      <c r="D4" s="144" t="s">
        <v>171</v>
      </c>
      <c r="E4" s="144" t="s">
        <v>171</v>
      </c>
      <c r="F4" s="144" t="s">
        <v>171</v>
      </c>
      <c r="G4" s="144" t="s">
        <v>171</v>
      </c>
      <c r="H4" s="145"/>
      <c r="I4" s="146"/>
    </row>
    <row r="5" spans="2:18" ht="15.75" customHeight="1">
      <c r="C5" s="187"/>
    </row>
    <row r="6" spans="2:18" ht="26.25" customHeight="1">
      <c r="B6" s="139" t="s">
        <v>326</v>
      </c>
      <c r="C6" s="588" t="s">
        <v>327</v>
      </c>
      <c r="D6" s="588"/>
      <c r="E6" s="148" t="s">
        <v>414</v>
      </c>
      <c r="F6" s="149"/>
      <c r="G6" s="150"/>
      <c r="H6" s="150"/>
    </row>
    <row r="7" spans="2:18" ht="26.25" customHeight="1">
      <c r="B7" s="139" t="s">
        <v>326</v>
      </c>
      <c r="C7" s="588" t="s">
        <v>329</v>
      </c>
      <c r="D7" s="588"/>
      <c r="E7" s="148">
        <v>4</v>
      </c>
      <c r="F7" s="149"/>
      <c r="G7" s="150"/>
      <c r="H7" s="150"/>
    </row>
    <row r="8" spans="2:18" ht="24.5" customHeight="1"/>
    <row r="9" spans="2:18" ht="26" customHeight="1">
      <c r="C9" s="151" t="s">
        <v>330</v>
      </c>
      <c r="D9" s="152"/>
      <c r="E9" s="153"/>
      <c r="F9" s="153"/>
      <c r="G9" s="479" t="s">
        <v>876</v>
      </c>
      <c r="H9" s="153"/>
      <c r="I9" s="153"/>
      <c r="J9" s="153"/>
      <c r="K9" s="153"/>
      <c r="L9" s="153"/>
      <c r="M9" s="153"/>
      <c r="N9" s="153"/>
      <c r="O9" s="153"/>
      <c r="P9" s="153"/>
      <c r="Q9" s="153"/>
      <c r="R9" s="153"/>
    </row>
    <row r="10" spans="2:18" ht="15" customHeight="1">
      <c r="C10" s="154" t="s">
        <v>331</v>
      </c>
      <c r="D10" s="155" t="s">
        <v>877</v>
      </c>
      <c r="E10" s="156" t="s">
        <v>878</v>
      </c>
      <c r="F10" s="156" t="s">
        <v>879</v>
      </c>
      <c r="G10" s="155" t="s">
        <v>880</v>
      </c>
      <c r="H10" s="156" t="s">
        <v>336</v>
      </c>
      <c r="I10" s="156" t="s">
        <v>337</v>
      </c>
      <c r="J10" s="156" t="s">
        <v>338</v>
      </c>
      <c r="K10" s="156" t="s">
        <v>339</v>
      </c>
      <c r="L10" s="156" t="s">
        <v>340</v>
      </c>
      <c r="M10" s="156" t="s">
        <v>341</v>
      </c>
      <c r="N10" s="156" t="s">
        <v>342</v>
      </c>
      <c r="O10" s="156" t="s">
        <v>343</v>
      </c>
      <c r="P10" s="156" t="s">
        <v>344</v>
      </c>
      <c r="Q10" s="156" t="s">
        <v>345</v>
      </c>
      <c r="R10" s="156" t="s">
        <v>346</v>
      </c>
    </row>
    <row r="11" spans="2:18" ht="15" customHeight="1">
      <c r="C11" s="157" t="s">
        <v>299</v>
      </c>
      <c r="D11" s="220" t="s">
        <v>881</v>
      </c>
      <c r="E11" s="220" t="s">
        <v>882</v>
      </c>
      <c r="F11" s="220" t="s">
        <v>883</v>
      </c>
      <c r="G11" s="155" t="s">
        <v>884</v>
      </c>
      <c r="H11" s="156"/>
      <c r="I11" s="156"/>
      <c r="J11" s="156"/>
      <c r="K11" s="156"/>
      <c r="L11" s="156"/>
      <c r="M11" s="156"/>
      <c r="N11" s="156"/>
      <c r="O11" s="156"/>
      <c r="P11" s="156"/>
      <c r="Q11" s="156"/>
      <c r="R11" s="156"/>
    </row>
    <row r="12" spans="2:18" ht="15" customHeight="1">
      <c r="C12" s="159"/>
      <c r="D12" s="160"/>
      <c r="E12" s="160"/>
      <c r="F12" s="160"/>
      <c r="G12" s="160"/>
      <c r="H12" s="160"/>
      <c r="I12" s="160"/>
      <c r="J12" s="161"/>
      <c r="K12" s="161"/>
      <c r="L12" s="161"/>
      <c r="M12" s="161"/>
      <c r="N12" s="161"/>
      <c r="O12" s="161"/>
      <c r="P12" s="161"/>
      <c r="Q12" s="161"/>
      <c r="R12" s="161"/>
    </row>
    <row r="13" spans="2:18" ht="30" customHeight="1">
      <c r="B13" s="7" t="s">
        <v>348</v>
      </c>
      <c r="C13" s="8" t="s">
        <v>349</v>
      </c>
      <c r="D13" s="162" t="s">
        <v>753</v>
      </c>
      <c r="E13" s="162" t="s">
        <v>885</v>
      </c>
      <c r="F13" s="162" t="s">
        <v>886</v>
      </c>
      <c r="G13" s="162" t="s">
        <v>887</v>
      </c>
      <c r="H13" s="162"/>
      <c r="I13" s="162"/>
      <c r="J13" s="162"/>
      <c r="K13" s="162"/>
      <c r="L13" s="162"/>
      <c r="M13" s="162"/>
      <c r="N13" s="162"/>
      <c r="O13" s="162"/>
      <c r="P13" s="162"/>
      <c r="Q13" s="162"/>
      <c r="R13" s="162"/>
    </row>
    <row r="14" spans="2:18" ht="77.25" customHeight="1">
      <c r="B14" s="7" t="s">
        <v>352</v>
      </c>
      <c r="C14" s="8" t="s">
        <v>297</v>
      </c>
      <c r="D14" s="162" t="s">
        <v>173</v>
      </c>
      <c r="E14" s="162" t="s">
        <v>179</v>
      </c>
      <c r="F14" s="162" t="s">
        <v>175</v>
      </c>
      <c r="G14" s="162" t="s">
        <v>177</v>
      </c>
      <c r="H14" s="162"/>
      <c r="I14" s="162"/>
      <c r="J14" s="162"/>
      <c r="K14" s="162"/>
      <c r="L14" s="162"/>
      <c r="M14" s="162"/>
      <c r="N14" s="162"/>
      <c r="O14" s="162"/>
      <c r="P14" s="162"/>
      <c r="Q14" s="162"/>
      <c r="R14" s="162"/>
    </row>
    <row r="15" spans="2:18" ht="30" customHeight="1">
      <c r="B15" s="7" t="s">
        <v>353</v>
      </c>
      <c r="C15" s="8" t="s">
        <v>354</v>
      </c>
      <c r="D15" s="162" t="s">
        <v>174</v>
      </c>
      <c r="E15" s="162" t="s">
        <v>174</v>
      </c>
      <c r="F15" s="162" t="s">
        <v>176</v>
      </c>
      <c r="G15" s="162" t="s">
        <v>178</v>
      </c>
      <c r="H15" s="162"/>
      <c r="I15" s="162"/>
      <c r="J15" s="162"/>
      <c r="K15" s="162"/>
      <c r="L15" s="162"/>
      <c r="M15" s="162"/>
      <c r="N15" s="162"/>
      <c r="O15" s="162"/>
      <c r="P15" s="162"/>
      <c r="Q15" s="162"/>
      <c r="R15" s="162"/>
    </row>
    <row r="16" spans="2:18" ht="15" customHeight="1">
      <c r="B16" s="7" t="s">
        <v>355</v>
      </c>
      <c r="C16" s="8" t="s">
        <v>356</v>
      </c>
      <c r="D16" s="162">
        <v>122002</v>
      </c>
      <c r="E16" s="162">
        <v>122002</v>
      </c>
      <c r="F16" s="162">
        <v>201301</v>
      </c>
      <c r="G16" s="162">
        <v>122101</v>
      </c>
      <c r="H16" s="162"/>
      <c r="I16" s="162"/>
      <c r="J16" s="162"/>
      <c r="K16" s="162"/>
      <c r="L16" s="162"/>
      <c r="M16" s="162"/>
      <c r="N16" s="162"/>
      <c r="O16" s="162"/>
      <c r="P16" s="162"/>
      <c r="Q16" s="162"/>
      <c r="R16" s="162"/>
    </row>
    <row r="17" spans="2:18" ht="15" customHeight="1">
      <c r="B17" s="7" t="s">
        <v>357</v>
      </c>
      <c r="C17" s="8" t="s">
        <v>294</v>
      </c>
      <c r="D17" s="162" t="s">
        <v>172</v>
      </c>
      <c r="E17" s="162" t="s">
        <v>172</v>
      </c>
      <c r="F17" s="162" t="s">
        <v>172</v>
      </c>
      <c r="G17" s="162" t="s">
        <v>172</v>
      </c>
      <c r="H17" s="162"/>
      <c r="I17" s="162"/>
      <c r="J17" s="162"/>
      <c r="K17" s="162"/>
      <c r="L17" s="162"/>
      <c r="M17" s="162"/>
      <c r="N17" s="162"/>
      <c r="O17" s="162"/>
      <c r="P17" s="162"/>
      <c r="Q17" s="162"/>
      <c r="R17" s="162"/>
    </row>
    <row r="18" spans="2:18" ht="15" customHeight="1">
      <c r="B18" s="9" t="s">
        <v>358</v>
      </c>
      <c r="C18" s="10" t="s">
        <v>359</v>
      </c>
      <c r="D18" s="162" t="s">
        <v>360</v>
      </c>
      <c r="E18" s="162" t="s">
        <v>360</v>
      </c>
      <c r="F18" s="162" t="s">
        <v>360</v>
      </c>
      <c r="G18" s="162" t="s">
        <v>360</v>
      </c>
      <c r="H18" s="162"/>
      <c r="I18" s="162"/>
      <c r="J18" s="162"/>
      <c r="K18" s="162"/>
      <c r="L18" s="162"/>
      <c r="M18" s="162"/>
      <c r="N18" s="162"/>
      <c r="O18" s="162"/>
      <c r="P18" s="162"/>
      <c r="Q18" s="162"/>
      <c r="R18" s="162"/>
    </row>
    <row r="19" spans="2:18" ht="45.75" customHeight="1">
      <c r="B19" s="9" t="s">
        <v>361</v>
      </c>
      <c r="C19" s="10" t="s">
        <v>362</v>
      </c>
      <c r="D19" s="162" t="s">
        <v>328</v>
      </c>
      <c r="E19" s="162" t="s">
        <v>328</v>
      </c>
      <c r="F19" s="162" t="s">
        <v>555</v>
      </c>
      <c r="G19" s="162" t="s">
        <v>328</v>
      </c>
      <c r="H19" s="162"/>
      <c r="I19" s="162"/>
      <c r="J19" s="162"/>
      <c r="K19" s="162"/>
      <c r="L19" s="162"/>
      <c r="M19" s="162"/>
      <c r="N19" s="162"/>
      <c r="O19" s="162"/>
      <c r="P19" s="162"/>
      <c r="Q19" s="162"/>
      <c r="R19" s="162"/>
    </row>
    <row r="20" spans="2:18" ht="45" customHeight="1">
      <c r="B20" s="9" t="s">
        <v>363</v>
      </c>
      <c r="C20" s="10" t="s">
        <v>364</v>
      </c>
      <c r="D20" s="162" t="s">
        <v>328</v>
      </c>
      <c r="E20" s="162" t="s">
        <v>328</v>
      </c>
      <c r="F20" s="162" t="s">
        <v>328</v>
      </c>
      <c r="G20" s="162" t="s">
        <v>328</v>
      </c>
      <c r="H20" s="162"/>
      <c r="I20" s="162"/>
      <c r="J20" s="162"/>
      <c r="K20" s="162"/>
      <c r="L20" s="162"/>
      <c r="M20" s="162"/>
      <c r="N20" s="162"/>
      <c r="O20" s="162"/>
      <c r="P20" s="162"/>
      <c r="Q20" s="162"/>
      <c r="R20" s="162"/>
    </row>
    <row r="21" spans="2:18" ht="45" customHeight="1">
      <c r="B21" s="11" t="s">
        <v>365</v>
      </c>
      <c r="C21" s="12" t="s">
        <v>366</v>
      </c>
      <c r="D21" s="162" t="s">
        <v>888</v>
      </c>
      <c r="E21" s="162" t="s">
        <v>888</v>
      </c>
      <c r="F21" s="162" t="s">
        <v>888</v>
      </c>
      <c r="G21" s="162" t="s">
        <v>889</v>
      </c>
      <c r="H21" s="162"/>
      <c r="I21" s="162"/>
      <c r="J21" s="162"/>
      <c r="K21" s="162"/>
      <c r="L21" s="162"/>
      <c r="M21" s="162"/>
      <c r="N21" s="162"/>
      <c r="O21" s="162"/>
      <c r="P21" s="162"/>
      <c r="Q21" s="162"/>
      <c r="R21" s="162"/>
    </row>
    <row r="22" spans="2:18" ht="45" customHeight="1">
      <c r="B22" s="11" t="s">
        <v>369</v>
      </c>
      <c r="C22" s="12" t="s">
        <v>370</v>
      </c>
      <c r="D22" s="162" t="s">
        <v>890</v>
      </c>
      <c r="E22" s="162" t="s">
        <v>891</v>
      </c>
      <c r="F22" s="162" t="s">
        <v>892</v>
      </c>
      <c r="G22" s="162" t="s">
        <v>893</v>
      </c>
      <c r="H22" s="162"/>
      <c r="I22" s="162"/>
      <c r="J22" s="162"/>
      <c r="K22" s="162"/>
      <c r="L22" s="162"/>
      <c r="M22" s="162"/>
      <c r="N22" s="162"/>
      <c r="O22" s="162"/>
      <c r="P22" s="162"/>
      <c r="Q22" s="162"/>
      <c r="R22" s="162"/>
    </row>
    <row r="23" spans="2:18" ht="30" customHeight="1">
      <c r="B23" s="13"/>
      <c r="C23" s="87" t="s">
        <v>374</v>
      </c>
      <c r="D23" s="87" t="s">
        <v>374</v>
      </c>
      <c r="E23" s="87" t="s">
        <v>374</v>
      </c>
      <c r="F23" s="87" t="s">
        <v>374</v>
      </c>
      <c r="G23" s="87" t="s">
        <v>374</v>
      </c>
      <c r="H23" s="162"/>
      <c r="I23" s="162"/>
      <c r="J23" s="162"/>
      <c r="K23" s="162"/>
      <c r="L23" s="162"/>
      <c r="M23" s="162"/>
      <c r="N23" s="162"/>
      <c r="O23" s="162"/>
      <c r="P23" s="162"/>
      <c r="Q23" s="162"/>
      <c r="R23" s="162"/>
    </row>
    <row r="24" spans="2:18" ht="45" customHeight="1">
      <c r="B24" s="13" t="s">
        <v>375</v>
      </c>
      <c r="C24" s="14" t="s">
        <v>376</v>
      </c>
      <c r="D24" s="241">
        <v>945.75</v>
      </c>
      <c r="E24" s="241">
        <v>3532.4522999999999</v>
      </c>
      <c r="F24" s="241">
        <v>1243.0427</v>
      </c>
      <c r="G24" s="241">
        <v>1836.6931</v>
      </c>
      <c r="H24" s="164"/>
      <c r="I24" s="164"/>
      <c r="J24" s="164"/>
      <c r="K24" s="164"/>
      <c r="L24" s="164"/>
      <c r="M24" s="164"/>
      <c r="N24" s="164"/>
      <c r="O24" s="164"/>
      <c r="P24" s="164"/>
      <c r="Q24" s="164"/>
      <c r="R24" s="164"/>
    </row>
    <row r="25" spans="2:18" ht="45" customHeight="1">
      <c r="B25" s="15" t="s">
        <v>377</v>
      </c>
      <c r="C25" s="16" t="s">
        <v>378</v>
      </c>
      <c r="D25" s="218">
        <v>14</v>
      </c>
      <c r="E25" s="218">
        <v>40</v>
      </c>
      <c r="F25" s="162">
        <v>33</v>
      </c>
      <c r="G25" s="218">
        <v>20</v>
      </c>
      <c r="H25" s="162"/>
      <c r="I25" s="162"/>
      <c r="J25" s="162"/>
      <c r="K25" s="162"/>
      <c r="L25" s="162"/>
      <c r="M25" s="162"/>
      <c r="N25" s="162"/>
      <c r="O25" s="162"/>
      <c r="P25" s="162"/>
      <c r="Q25" s="162"/>
      <c r="R25" s="162"/>
    </row>
    <row r="26" spans="2:18" ht="45" customHeight="1">
      <c r="B26" s="15" t="s">
        <v>380</v>
      </c>
      <c r="C26" s="16" t="s">
        <v>381</v>
      </c>
      <c r="D26" s="166" t="s">
        <v>894</v>
      </c>
      <c r="E26" s="166" t="s">
        <v>894</v>
      </c>
      <c r="F26" s="164" t="s">
        <v>894</v>
      </c>
      <c r="G26" s="166" t="s">
        <v>894</v>
      </c>
      <c r="H26" s="162"/>
      <c r="I26" s="162"/>
      <c r="J26" s="162"/>
      <c r="K26" s="162"/>
      <c r="L26" s="162"/>
      <c r="M26" s="162"/>
      <c r="N26" s="162"/>
      <c r="O26" s="162"/>
      <c r="P26" s="162"/>
      <c r="Q26" s="162"/>
      <c r="R26" s="162"/>
    </row>
    <row r="27" spans="2:18" ht="45" customHeight="1">
      <c r="B27" s="15"/>
      <c r="C27" s="167" t="s">
        <v>383</v>
      </c>
      <c r="D27" s="166"/>
      <c r="E27" s="166"/>
      <c r="F27" s="164"/>
      <c r="G27" s="166">
        <f>65*19770+2750*20</f>
        <v>1340050</v>
      </c>
      <c r="H27" s="162"/>
      <c r="I27" s="162"/>
      <c r="J27" s="162"/>
      <c r="K27" s="162"/>
      <c r="L27" s="162"/>
      <c r="M27" s="162"/>
      <c r="N27" s="162"/>
      <c r="O27" s="162"/>
      <c r="P27" s="162"/>
      <c r="Q27" s="162"/>
      <c r="R27" s="162"/>
    </row>
    <row r="28" spans="2:18" ht="45" customHeight="1">
      <c r="B28" s="15" t="s">
        <v>384</v>
      </c>
      <c r="C28" s="16" t="s">
        <v>385</v>
      </c>
      <c r="D28" s="166">
        <f>(109/0.09290304)*12</f>
        <v>14079.194825056315</v>
      </c>
      <c r="E28" s="166">
        <f>(75/0.09290304)*12</f>
        <v>9687.5193750387498</v>
      </c>
      <c r="F28" s="163">
        <f>(52/0.09290304)*12</f>
        <v>6716.6801000268661</v>
      </c>
      <c r="G28" s="166">
        <f>G27/19770</f>
        <v>67.781992918563475</v>
      </c>
      <c r="H28" s="162"/>
      <c r="I28" s="162"/>
      <c r="J28" s="162"/>
      <c r="K28" s="162"/>
      <c r="L28" s="162"/>
      <c r="M28" s="162"/>
      <c r="N28" s="162"/>
      <c r="O28" s="162"/>
      <c r="P28" s="162"/>
      <c r="Q28" s="162"/>
      <c r="R28" s="162"/>
    </row>
    <row r="29" spans="2:18" ht="45" customHeight="1">
      <c r="B29" s="15" t="s">
        <v>387</v>
      </c>
      <c r="C29" s="16" t="s">
        <v>388</v>
      </c>
      <c r="D29" s="166" t="s">
        <v>895</v>
      </c>
      <c r="E29" s="166" t="s">
        <v>896</v>
      </c>
      <c r="F29" s="166" t="s">
        <v>897</v>
      </c>
      <c r="G29" s="232">
        <f>15%/3</f>
        <v>4.9999999999999996E-2</v>
      </c>
      <c r="H29" s="162"/>
      <c r="I29" s="162"/>
      <c r="J29" s="162"/>
      <c r="K29" s="162"/>
      <c r="L29" s="162"/>
      <c r="M29" s="162"/>
      <c r="N29" s="162"/>
      <c r="O29" s="162"/>
      <c r="P29" s="162"/>
      <c r="Q29" s="162"/>
      <c r="R29" s="162"/>
    </row>
    <row r="30" spans="2:18" ht="58">
      <c r="B30" s="13" t="s">
        <v>390</v>
      </c>
      <c r="C30" s="17" t="s">
        <v>391</v>
      </c>
      <c r="D30" s="221">
        <f>((3.9/0.09290304)*12)+E81</f>
        <v>3623.0036991204802</v>
      </c>
      <c r="E30" s="221">
        <f>((17/0.09290304)*12)+G81</f>
        <v>5861.2204427601146</v>
      </c>
      <c r="F30" s="221">
        <f>((19.9/0.09290304)*12)+I81</f>
        <v>4977.251289758573</v>
      </c>
      <c r="G30" s="221">
        <v>135.949114820435</v>
      </c>
      <c r="H30" s="162"/>
      <c r="I30" s="162"/>
      <c r="J30" s="162"/>
      <c r="K30" s="162"/>
      <c r="L30" s="162"/>
      <c r="M30" s="162"/>
      <c r="N30" s="162"/>
      <c r="O30" s="162"/>
      <c r="P30" s="162"/>
      <c r="Q30" s="162"/>
      <c r="R30" s="162"/>
    </row>
    <row r="31" spans="2:18" ht="14">
      <c r="B31" s="13"/>
      <c r="C31" s="167" t="s">
        <v>393</v>
      </c>
      <c r="D31" s="221"/>
      <c r="E31" s="221"/>
      <c r="F31" s="221"/>
      <c r="G31" s="233">
        <f>G27+(G30*19770)</f>
        <v>4027764</v>
      </c>
      <c r="H31" s="162"/>
      <c r="I31" s="162"/>
      <c r="J31" s="162"/>
      <c r="K31" s="162"/>
      <c r="L31" s="162"/>
      <c r="M31" s="162"/>
      <c r="N31" s="162"/>
      <c r="O31" s="162"/>
      <c r="P31" s="162"/>
      <c r="Q31" s="162"/>
      <c r="R31" s="162"/>
    </row>
    <row r="32" spans="2:18" ht="42">
      <c r="B32" s="13" t="s">
        <v>394</v>
      </c>
      <c r="C32" s="17" t="s">
        <v>395</v>
      </c>
      <c r="D32" s="162" t="s">
        <v>898</v>
      </c>
      <c r="E32" s="162" t="s">
        <v>898</v>
      </c>
      <c r="F32" s="162" t="s">
        <v>898</v>
      </c>
      <c r="G32" s="234">
        <v>0.1</v>
      </c>
      <c r="H32" s="162"/>
      <c r="I32" s="162"/>
      <c r="J32" s="162"/>
      <c r="K32" s="162"/>
      <c r="L32" s="162"/>
      <c r="M32" s="162"/>
      <c r="N32" s="162"/>
      <c r="O32" s="162"/>
      <c r="P32" s="162"/>
      <c r="Q32" s="162"/>
      <c r="R32" s="162"/>
    </row>
    <row r="33" spans="2:18" ht="30" customHeight="1">
      <c r="B33" s="18" t="s">
        <v>397</v>
      </c>
      <c r="C33" s="19" t="s">
        <v>313</v>
      </c>
      <c r="D33" s="170">
        <v>44501</v>
      </c>
      <c r="E33" s="170">
        <v>44606</v>
      </c>
      <c r="F33" s="170">
        <v>44727</v>
      </c>
      <c r="G33" s="235">
        <v>45689</v>
      </c>
      <c r="H33" s="170"/>
      <c r="I33" s="170"/>
      <c r="J33" s="162"/>
      <c r="K33" s="162"/>
      <c r="L33" s="162"/>
      <c r="M33" s="162"/>
      <c r="N33" s="162"/>
      <c r="O33" s="162"/>
      <c r="P33" s="162"/>
      <c r="Q33" s="162"/>
      <c r="R33" s="162"/>
    </row>
    <row r="34" spans="2:18" ht="30" customHeight="1">
      <c r="B34" s="20" t="s">
        <v>398</v>
      </c>
      <c r="C34" s="19" t="s">
        <v>315</v>
      </c>
      <c r="D34" s="170" t="s">
        <v>899</v>
      </c>
      <c r="E34" s="170" t="s">
        <v>899</v>
      </c>
      <c r="F34" s="170" t="s">
        <v>899</v>
      </c>
      <c r="G34" s="235">
        <v>46783</v>
      </c>
      <c r="H34" s="170"/>
      <c r="I34" s="170"/>
      <c r="J34" s="162"/>
      <c r="K34" s="162"/>
      <c r="L34" s="162"/>
      <c r="M34" s="162"/>
      <c r="N34" s="162"/>
      <c r="O34" s="162"/>
      <c r="P34" s="162"/>
      <c r="Q34" s="162"/>
      <c r="R34" s="162"/>
    </row>
    <row r="35" spans="2:18" ht="30" customHeight="1">
      <c r="B35" s="20" t="s">
        <v>399</v>
      </c>
      <c r="C35" s="19" t="s">
        <v>400</v>
      </c>
      <c r="D35" s="162" t="s">
        <v>682</v>
      </c>
      <c r="E35" s="162" t="s">
        <v>682</v>
      </c>
      <c r="F35" s="162" t="s">
        <v>682</v>
      </c>
      <c r="G35" s="235">
        <v>46784</v>
      </c>
      <c r="H35" s="162"/>
      <c r="I35" s="162"/>
      <c r="J35" s="162"/>
      <c r="K35" s="162"/>
      <c r="L35" s="162"/>
      <c r="M35" s="162"/>
      <c r="N35" s="162"/>
      <c r="O35" s="162"/>
      <c r="P35" s="162"/>
      <c r="Q35" s="162"/>
      <c r="R35" s="162"/>
    </row>
    <row r="36" spans="2:18" ht="30" customHeight="1">
      <c r="B36" s="20" t="s">
        <v>402</v>
      </c>
      <c r="C36" s="21" t="s">
        <v>403</v>
      </c>
      <c r="D36" s="172" t="s">
        <v>414</v>
      </c>
      <c r="E36" s="172" t="s">
        <v>414</v>
      </c>
      <c r="F36" s="173" t="s">
        <v>414</v>
      </c>
      <c r="G36" s="162" t="s">
        <v>414</v>
      </c>
      <c r="H36" s="173"/>
      <c r="I36" s="173"/>
      <c r="J36" s="162"/>
      <c r="K36" s="162"/>
      <c r="L36" s="162"/>
      <c r="M36" s="162"/>
      <c r="N36" s="162"/>
      <c r="O36" s="162"/>
      <c r="P36" s="162"/>
      <c r="Q36" s="162"/>
      <c r="R36" s="162"/>
    </row>
    <row r="37" spans="2:18" ht="45" customHeight="1">
      <c r="B37" s="20" t="s">
        <v>404</v>
      </c>
      <c r="C37" s="21" t="s">
        <v>405</v>
      </c>
      <c r="D37" s="172" t="s">
        <v>900</v>
      </c>
      <c r="E37" s="172" t="s">
        <v>900</v>
      </c>
      <c r="F37" s="172" t="s">
        <v>900</v>
      </c>
      <c r="G37" s="162" t="s">
        <v>901</v>
      </c>
      <c r="H37" s="173"/>
      <c r="I37" s="173"/>
      <c r="J37" s="162"/>
      <c r="K37" s="162"/>
      <c r="L37" s="162"/>
      <c r="M37" s="162"/>
      <c r="N37" s="162"/>
      <c r="O37" s="162"/>
      <c r="P37" s="162"/>
      <c r="Q37" s="162"/>
      <c r="R37" s="162"/>
    </row>
    <row r="38" spans="2:18" ht="30" customHeight="1">
      <c r="B38" s="20" t="s">
        <v>406</v>
      </c>
      <c r="C38" s="21" t="s">
        <v>407</v>
      </c>
      <c r="D38" s="172" t="s">
        <v>414</v>
      </c>
      <c r="E38" s="172" t="s">
        <v>414</v>
      </c>
      <c r="F38" s="173" t="s">
        <v>414</v>
      </c>
      <c r="G38" s="162" t="s">
        <v>328</v>
      </c>
      <c r="H38" s="173"/>
      <c r="I38" s="173"/>
      <c r="J38" s="162"/>
      <c r="K38" s="162"/>
      <c r="L38" s="162"/>
      <c r="M38" s="162"/>
      <c r="N38" s="162"/>
      <c r="O38" s="162"/>
      <c r="P38" s="162"/>
      <c r="Q38" s="162"/>
      <c r="R38" s="162"/>
    </row>
    <row r="39" spans="2:18" ht="30" customHeight="1">
      <c r="B39" s="20" t="s">
        <v>408</v>
      </c>
      <c r="C39" s="21" t="s">
        <v>409</v>
      </c>
      <c r="D39" s="219">
        <v>6</v>
      </c>
      <c r="E39" s="219">
        <v>6</v>
      </c>
      <c r="F39" s="174">
        <v>6</v>
      </c>
      <c r="G39" s="162" t="s">
        <v>682</v>
      </c>
      <c r="H39" s="173"/>
      <c r="I39" s="173"/>
      <c r="J39" s="162"/>
      <c r="K39" s="162"/>
      <c r="L39" s="162"/>
      <c r="M39" s="162"/>
      <c r="N39" s="162"/>
      <c r="O39" s="162"/>
      <c r="P39" s="162"/>
      <c r="Q39" s="162"/>
      <c r="R39" s="162"/>
    </row>
    <row r="40" spans="2:18" ht="45" customHeight="1">
      <c r="B40" s="20" t="s">
        <v>411</v>
      </c>
      <c r="C40" s="21" t="s">
        <v>314</v>
      </c>
      <c r="D40" s="170">
        <v>46326</v>
      </c>
      <c r="E40" s="170">
        <v>46796</v>
      </c>
      <c r="F40" s="170">
        <v>46918</v>
      </c>
      <c r="G40" s="170">
        <v>47514</v>
      </c>
      <c r="H40" s="173"/>
      <c r="I40" s="173"/>
      <c r="J40" s="162"/>
      <c r="K40" s="162"/>
      <c r="L40" s="162"/>
      <c r="M40" s="162"/>
      <c r="N40" s="162"/>
      <c r="O40" s="162"/>
      <c r="P40" s="162"/>
      <c r="Q40" s="162"/>
      <c r="R40" s="162"/>
    </row>
    <row r="41" spans="2:18" ht="60" customHeight="1">
      <c r="B41" s="22" t="s">
        <v>412</v>
      </c>
      <c r="C41" s="23" t="s">
        <v>413</v>
      </c>
      <c r="D41" s="172" t="s">
        <v>328</v>
      </c>
      <c r="E41" s="172" t="s">
        <v>328</v>
      </c>
      <c r="F41" s="172" t="s">
        <v>328</v>
      </c>
      <c r="G41" s="162" t="s">
        <v>328</v>
      </c>
      <c r="H41" s="172"/>
      <c r="I41" s="172"/>
      <c r="J41" s="172"/>
      <c r="K41" s="172"/>
      <c r="L41" s="172"/>
      <c r="M41" s="172"/>
      <c r="N41" s="172"/>
      <c r="O41" s="172"/>
      <c r="P41" s="172"/>
      <c r="Q41" s="172"/>
      <c r="R41" s="172"/>
    </row>
    <row r="42" spans="2:18" ht="75" customHeight="1">
      <c r="B42" s="24" t="s">
        <v>457</v>
      </c>
      <c r="C42" s="23" t="s">
        <v>458</v>
      </c>
      <c r="D42" s="174" t="s">
        <v>328</v>
      </c>
      <c r="E42" s="174" t="s">
        <v>328</v>
      </c>
      <c r="F42" s="174" t="s">
        <v>328</v>
      </c>
      <c r="G42" s="162" t="s">
        <v>636</v>
      </c>
      <c r="H42" s="174"/>
      <c r="I42" s="174"/>
      <c r="J42" s="174"/>
      <c r="K42" s="174"/>
      <c r="L42" s="174"/>
      <c r="M42" s="174"/>
      <c r="N42" s="174"/>
      <c r="O42" s="174"/>
      <c r="P42" s="174"/>
      <c r="Q42" s="174"/>
      <c r="R42" s="174"/>
    </row>
    <row r="43" spans="2:18" ht="60" customHeight="1">
      <c r="B43" s="25" t="s">
        <v>418</v>
      </c>
      <c r="C43" s="26" t="s">
        <v>419</v>
      </c>
      <c r="D43" s="162" t="s">
        <v>328</v>
      </c>
      <c r="E43" s="162" t="s">
        <v>328</v>
      </c>
      <c r="F43" s="162" t="s">
        <v>328</v>
      </c>
      <c r="G43" s="162" t="s">
        <v>328</v>
      </c>
      <c r="H43" s="162"/>
      <c r="I43" s="162"/>
      <c r="J43" s="162"/>
      <c r="K43" s="162"/>
      <c r="L43" s="162"/>
      <c r="M43" s="162"/>
      <c r="N43" s="162"/>
      <c r="O43" s="162"/>
      <c r="P43" s="162"/>
      <c r="Q43" s="162"/>
      <c r="R43" s="162"/>
    </row>
    <row r="44" spans="2:18" ht="75" customHeight="1">
      <c r="B44" s="25" t="s">
        <v>420</v>
      </c>
      <c r="C44" s="26" t="s">
        <v>421</v>
      </c>
      <c r="D44" s="162" t="s">
        <v>328</v>
      </c>
      <c r="E44" s="162" t="s">
        <v>414</v>
      </c>
      <c r="F44" s="162" t="s">
        <v>414</v>
      </c>
      <c r="G44" s="162" t="s">
        <v>902</v>
      </c>
      <c r="H44" s="162"/>
      <c r="I44" s="162"/>
      <c r="J44" s="162"/>
      <c r="K44" s="162"/>
      <c r="L44" s="162"/>
      <c r="M44" s="162"/>
      <c r="N44" s="162"/>
      <c r="O44" s="162"/>
      <c r="P44" s="162"/>
      <c r="Q44" s="162"/>
      <c r="R44" s="162"/>
    </row>
    <row r="45" spans="2:18">
      <c r="B45" s="175"/>
      <c r="C45" s="175"/>
      <c r="D45" s="175"/>
      <c r="E45" s="175"/>
      <c r="F45" s="175"/>
      <c r="G45" s="175"/>
      <c r="H45" s="175"/>
      <c r="I45" s="175"/>
      <c r="J45" s="175"/>
      <c r="K45" s="175"/>
      <c r="L45" s="175"/>
      <c r="M45" s="175"/>
      <c r="N45" s="175"/>
      <c r="O45" s="175"/>
      <c r="P45" s="175"/>
      <c r="Q45" s="175"/>
      <c r="R45" s="175"/>
    </row>
    <row r="46" spans="2:18" ht="45" customHeight="1">
      <c r="B46" s="175"/>
      <c r="C46" s="176" t="s">
        <v>423</v>
      </c>
      <c r="D46" s="162">
        <v>79</v>
      </c>
      <c r="E46" s="162">
        <v>1425</v>
      </c>
      <c r="F46" s="162">
        <v>352</v>
      </c>
      <c r="G46" s="162">
        <v>639</v>
      </c>
      <c r="H46" s="162"/>
      <c r="I46" s="162"/>
      <c r="J46" s="162"/>
      <c r="K46" s="162"/>
      <c r="L46" s="162"/>
      <c r="M46" s="162"/>
      <c r="N46" s="162"/>
      <c r="O46" s="162"/>
      <c r="P46" s="162"/>
      <c r="Q46" s="162"/>
      <c r="R46" s="162"/>
    </row>
    <row r="47" spans="2:18" ht="30" customHeight="1">
      <c r="B47" s="175"/>
      <c r="C47" s="177" t="s">
        <v>424</v>
      </c>
      <c r="D47" s="162"/>
      <c r="E47" s="162"/>
      <c r="F47" s="162"/>
      <c r="G47" s="162">
        <v>4</v>
      </c>
      <c r="H47" s="162"/>
      <c r="I47" s="162"/>
      <c r="J47" s="162"/>
      <c r="K47" s="162"/>
      <c r="L47" s="162"/>
      <c r="M47" s="162"/>
      <c r="N47" s="162"/>
      <c r="O47" s="162"/>
      <c r="P47" s="162"/>
      <c r="Q47" s="162"/>
      <c r="R47" s="162"/>
    </row>
    <row r="48" spans="2:18" ht="15" customHeight="1">
      <c r="B48" s="175"/>
      <c r="C48" s="177" t="s">
        <v>425</v>
      </c>
      <c r="D48" s="162"/>
      <c r="E48" s="162"/>
      <c r="F48" s="162"/>
      <c r="G48" s="162">
        <f>G46-G47</f>
        <v>635</v>
      </c>
      <c r="H48" s="162"/>
      <c r="I48" s="162"/>
      <c r="J48" s="162"/>
      <c r="K48" s="162"/>
      <c r="L48" s="162"/>
      <c r="M48" s="162"/>
      <c r="N48" s="162"/>
      <c r="O48" s="162"/>
      <c r="P48" s="162"/>
      <c r="Q48" s="162"/>
      <c r="R48" s="162"/>
    </row>
    <row r="49" spans="2:18" ht="3" customHeight="1">
      <c r="B49" s="175"/>
      <c r="C49" s="178"/>
      <c r="D49" s="179"/>
      <c r="E49" s="179"/>
      <c r="F49" s="179"/>
      <c r="G49" s="179"/>
      <c r="H49" s="179"/>
      <c r="I49" s="179"/>
      <c r="J49" s="179"/>
      <c r="K49" s="179"/>
      <c r="L49" s="179"/>
      <c r="M49" s="179"/>
      <c r="N49" s="179"/>
      <c r="O49" s="179"/>
      <c r="P49" s="179"/>
      <c r="Q49" s="179"/>
      <c r="R49" s="179"/>
    </row>
    <row r="50" spans="2:18" ht="30" customHeight="1">
      <c r="B50" s="175"/>
      <c r="C50" s="176" t="s">
        <v>426</v>
      </c>
      <c r="D50" s="162">
        <v>87</v>
      </c>
      <c r="E50" s="162">
        <v>782</v>
      </c>
      <c r="F50" s="162">
        <v>286</v>
      </c>
      <c r="G50" s="162">
        <v>227</v>
      </c>
      <c r="H50" s="162"/>
      <c r="I50" s="162"/>
      <c r="J50" s="162"/>
      <c r="K50" s="162"/>
      <c r="L50" s="162"/>
      <c r="M50" s="162"/>
      <c r="N50" s="162"/>
      <c r="O50" s="162"/>
      <c r="P50" s="162"/>
      <c r="Q50" s="162"/>
      <c r="R50" s="162"/>
    </row>
    <row r="51" spans="2:18" ht="30" customHeight="1">
      <c r="B51" s="175"/>
      <c r="C51" s="177" t="s">
        <v>424</v>
      </c>
      <c r="D51" s="162"/>
      <c r="E51" s="162"/>
      <c r="F51" s="162"/>
      <c r="G51" s="162">
        <v>4</v>
      </c>
      <c r="H51" s="162"/>
      <c r="I51" s="162"/>
      <c r="J51" s="162"/>
      <c r="K51" s="162"/>
      <c r="L51" s="162"/>
      <c r="M51" s="162"/>
      <c r="N51" s="162"/>
      <c r="O51" s="162"/>
      <c r="P51" s="162"/>
      <c r="Q51" s="162"/>
      <c r="R51" s="162"/>
    </row>
    <row r="52" spans="2:18" ht="15" customHeight="1">
      <c r="B52" s="175"/>
      <c r="C52" s="177" t="s">
        <v>425</v>
      </c>
      <c r="D52" s="162"/>
      <c r="E52" s="162"/>
      <c r="F52" s="162"/>
      <c r="G52" s="162">
        <f>G50-G51</f>
        <v>223</v>
      </c>
      <c r="H52" s="162"/>
      <c r="I52" s="162"/>
      <c r="J52" s="162"/>
      <c r="K52" s="162"/>
      <c r="L52" s="162"/>
      <c r="M52" s="162"/>
      <c r="N52" s="162"/>
      <c r="O52" s="162"/>
      <c r="P52" s="162"/>
      <c r="Q52" s="162"/>
      <c r="R52" s="162"/>
    </row>
    <row r="53" spans="2:18" ht="6" customHeight="1">
      <c r="B53" s="175"/>
      <c r="C53" s="180"/>
      <c r="D53" s="179"/>
      <c r="E53" s="179"/>
      <c r="F53" s="179"/>
      <c r="G53" s="179"/>
      <c r="H53" s="179"/>
      <c r="I53" s="179"/>
      <c r="J53" s="179"/>
      <c r="K53" s="179"/>
      <c r="L53" s="179"/>
      <c r="M53" s="179"/>
      <c r="N53" s="179"/>
      <c r="O53" s="179"/>
      <c r="P53" s="179"/>
      <c r="Q53" s="179"/>
      <c r="R53" s="179"/>
    </row>
    <row r="54" spans="2:18" ht="33" customHeight="1">
      <c r="B54" s="175"/>
      <c r="C54" s="76" t="s">
        <v>427</v>
      </c>
      <c r="D54" s="162" t="s">
        <v>328</v>
      </c>
      <c r="E54" s="162" t="s">
        <v>414</v>
      </c>
      <c r="F54" s="162" t="s">
        <v>414</v>
      </c>
      <c r="G54" s="162" t="s">
        <v>414</v>
      </c>
      <c r="H54" s="162"/>
      <c r="I54" s="162"/>
      <c r="J54" s="162"/>
      <c r="K54" s="162"/>
      <c r="L54" s="162"/>
      <c r="M54" s="162"/>
      <c r="N54" s="162"/>
      <c r="O54" s="162"/>
      <c r="P54" s="162"/>
      <c r="Q54" s="162"/>
      <c r="R54" s="162"/>
    </row>
    <row r="55" spans="2:18" ht="30" customHeight="1">
      <c r="B55" s="175"/>
      <c r="C55" s="176" t="s">
        <v>428</v>
      </c>
      <c r="D55" s="162"/>
      <c r="E55" s="162"/>
      <c r="F55" s="162"/>
      <c r="G55" s="162" t="s">
        <v>903</v>
      </c>
      <c r="H55" s="162"/>
      <c r="I55" s="162"/>
      <c r="J55" s="162"/>
      <c r="K55" s="162"/>
      <c r="L55" s="162"/>
      <c r="M55" s="162"/>
      <c r="N55" s="162"/>
      <c r="O55" s="162"/>
      <c r="P55" s="162"/>
      <c r="Q55" s="162"/>
      <c r="R55" s="162"/>
    </row>
    <row r="56" spans="2:18" ht="30" customHeight="1">
      <c r="B56" s="175"/>
      <c r="C56" s="176" t="s">
        <v>429</v>
      </c>
      <c r="D56" s="162"/>
      <c r="E56" s="162"/>
      <c r="F56" s="162"/>
      <c r="G56" s="162" t="s">
        <v>903</v>
      </c>
      <c r="H56" s="162"/>
      <c r="I56" s="162"/>
      <c r="J56" s="162"/>
      <c r="K56" s="162"/>
      <c r="L56" s="162"/>
      <c r="M56" s="162"/>
      <c r="N56" s="162"/>
      <c r="O56" s="162"/>
      <c r="P56" s="162"/>
      <c r="Q56" s="162"/>
      <c r="R56" s="162"/>
    </row>
    <row r="57" spans="2:18" ht="56">
      <c r="C57" s="181" t="s">
        <v>430</v>
      </c>
      <c r="D57" s="153"/>
      <c r="E57" s="153"/>
      <c r="F57" s="153"/>
      <c r="G57" s="480" t="s">
        <v>904</v>
      </c>
      <c r="H57" s="153"/>
      <c r="I57" s="153"/>
      <c r="J57" s="153"/>
      <c r="K57" s="153"/>
      <c r="L57" s="153"/>
      <c r="M57" s="153"/>
      <c r="N57" s="153"/>
      <c r="O57" s="153"/>
      <c r="P57" s="153"/>
      <c r="Q57" s="153"/>
      <c r="R57" s="153"/>
    </row>
    <row r="58" spans="2:18" ht="56">
      <c r="C58" s="181" t="s">
        <v>431</v>
      </c>
      <c r="D58" s="153"/>
      <c r="E58" s="153"/>
      <c r="F58" s="153"/>
      <c r="G58" s="480" t="s">
        <v>904</v>
      </c>
      <c r="H58" s="153"/>
      <c r="I58" s="153"/>
      <c r="J58" s="153"/>
      <c r="K58" s="153"/>
      <c r="L58" s="153"/>
      <c r="M58" s="153"/>
      <c r="N58" s="153"/>
      <c r="O58" s="153"/>
      <c r="P58" s="153"/>
      <c r="Q58" s="153"/>
      <c r="R58" s="153"/>
    </row>
    <row r="59" spans="2:18">
      <c r="C59" s="182"/>
    </row>
    <row r="60" spans="2:18" ht="15">
      <c r="D60" s="139" t="s">
        <v>432</v>
      </c>
    </row>
    <row r="61" spans="2:18">
      <c r="D61" s="183" t="s">
        <v>433</v>
      </c>
    </row>
    <row r="62" spans="2:18">
      <c r="D62" s="184" t="s">
        <v>434</v>
      </c>
    </row>
    <row r="63" spans="2:18">
      <c r="D63" s="184" t="s">
        <v>435</v>
      </c>
    </row>
    <row r="64" spans="2:18">
      <c r="D64" s="184" t="s">
        <v>436</v>
      </c>
    </row>
    <row r="65" spans="4:10">
      <c r="D65" s="184" t="s">
        <v>437</v>
      </c>
    </row>
    <row r="66" spans="4:10">
      <c r="D66" s="184" t="s">
        <v>438</v>
      </c>
    </row>
    <row r="68" spans="4:10" ht="15">
      <c r="D68" s="185" t="s">
        <v>439</v>
      </c>
    </row>
    <row r="69" spans="4:10">
      <c r="G69" s="222">
        <f>((G75+H75)/2)/E24</f>
        <v>76.559278663154203</v>
      </c>
    </row>
    <row r="71" spans="4:10" ht="16" thickBot="1">
      <c r="D71" s="223"/>
      <c r="E71" s="593" t="s">
        <v>905</v>
      </c>
      <c r="F71" s="593"/>
      <c r="G71" s="593" t="s">
        <v>906</v>
      </c>
      <c r="H71" s="593"/>
      <c r="I71" s="593" t="s">
        <v>907</v>
      </c>
      <c r="J71" s="593"/>
    </row>
    <row r="72" spans="4:10" ht="16" thickBot="1">
      <c r="D72" s="224" t="s">
        <v>908</v>
      </c>
      <c r="E72" s="225" t="s">
        <v>909</v>
      </c>
      <c r="F72" s="225" t="s">
        <v>910</v>
      </c>
      <c r="G72" s="225" t="s">
        <v>909</v>
      </c>
      <c r="H72" s="225" t="s">
        <v>910</v>
      </c>
      <c r="I72" s="225" t="s">
        <v>909</v>
      </c>
      <c r="J72" s="225" t="s">
        <v>910</v>
      </c>
    </row>
    <row r="73" spans="4:10" ht="16" thickBot="1">
      <c r="D73" s="226" t="s">
        <v>911</v>
      </c>
      <c r="E73" s="227">
        <v>121036</v>
      </c>
      <c r="F73" s="227">
        <v>121622</v>
      </c>
      <c r="G73" s="227">
        <v>292564</v>
      </c>
      <c r="H73" s="227">
        <v>325643</v>
      </c>
      <c r="I73" s="227">
        <v>66032</v>
      </c>
      <c r="J73" s="227">
        <v>65746</v>
      </c>
    </row>
    <row r="74" spans="4:10" ht="16" thickBot="1">
      <c r="D74" s="226" t="s">
        <v>912</v>
      </c>
      <c r="E74" s="227">
        <v>62443</v>
      </c>
      <c r="F74" s="227">
        <v>62043</v>
      </c>
      <c r="G74" s="227">
        <v>500685</v>
      </c>
      <c r="H74" s="227">
        <v>498188</v>
      </c>
      <c r="I74" s="227">
        <v>53646</v>
      </c>
      <c r="J74" s="227">
        <v>52361</v>
      </c>
    </row>
    <row r="75" spans="4:10" ht="16" thickBot="1">
      <c r="D75" s="226" t="s">
        <v>913</v>
      </c>
      <c r="E75" s="227">
        <v>60500.79</v>
      </c>
      <c r="F75" s="227">
        <v>64028.735999999997</v>
      </c>
      <c r="G75" s="227">
        <v>257753</v>
      </c>
      <c r="H75" s="227">
        <v>283131</v>
      </c>
      <c r="I75" s="227">
        <v>126942</v>
      </c>
      <c r="J75" s="227">
        <v>123470</v>
      </c>
    </row>
    <row r="76" spans="4:10" ht="16" thickBot="1">
      <c r="D76" s="228" t="s">
        <v>914</v>
      </c>
      <c r="E76" s="229">
        <f t="shared" ref="E76:J76" si="0">SUM(E73:E75)</f>
        <v>243979.79</v>
      </c>
      <c r="F76" s="229">
        <f t="shared" si="0"/>
        <v>247693.736</v>
      </c>
      <c r="G76" s="230">
        <f t="shared" si="0"/>
        <v>1051002</v>
      </c>
      <c r="H76" s="229">
        <f t="shared" si="0"/>
        <v>1106962</v>
      </c>
      <c r="I76" s="229">
        <f t="shared" si="0"/>
        <v>246620</v>
      </c>
      <c r="J76" s="229">
        <f t="shared" si="0"/>
        <v>241577</v>
      </c>
    </row>
    <row r="77" spans="4:10" ht="16" thickBot="1">
      <c r="D77" s="228" t="s">
        <v>915</v>
      </c>
      <c r="E77" s="229">
        <f>(E76+F76)/2</f>
        <v>245836.76300000001</v>
      </c>
      <c r="F77" s="229"/>
      <c r="G77" s="230">
        <f>(G76+H76)/2</f>
        <v>1078982</v>
      </c>
      <c r="H77" s="229"/>
      <c r="I77" s="229">
        <f>(I76+J76)/2</f>
        <v>244098.5</v>
      </c>
      <c r="J77" s="229"/>
    </row>
    <row r="78" spans="4:10" ht="16" thickBot="1">
      <c r="D78" s="228" t="s">
        <v>916</v>
      </c>
      <c r="E78" s="229">
        <f>E77*12</f>
        <v>2950041.156</v>
      </c>
      <c r="F78" s="229"/>
      <c r="G78" s="230">
        <f>G77*12</f>
        <v>12947784</v>
      </c>
      <c r="H78" s="229"/>
      <c r="I78" s="229">
        <f>I77*12</f>
        <v>2929182</v>
      </c>
      <c r="J78" s="229"/>
    </row>
    <row r="79" spans="4:10" ht="16" thickBot="1">
      <c r="D79" s="228" t="s">
        <v>917</v>
      </c>
      <c r="E79" s="231">
        <v>10180</v>
      </c>
      <c r="F79" s="231"/>
      <c r="G79" s="231">
        <v>38023</v>
      </c>
      <c r="H79" s="231"/>
      <c r="I79" s="231">
        <v>13100</v>
      </c>
      <c r="J79" s="231"/>
    </row>
    <row r="80" spans="4:10" ht="16" thickBot="1">
      <c r="D80" s="228" t="s">
        <v>918</v>
      </c>
      <c r="E80" s="231">
        <f>E79*0.092903</f>
        <v>945.75253999999995</v>
      </c>
      <c r="F80" s="231"/>
      <c r="G80" s="231">
        <f>G79*0.092903</f>
        <v>3532.450769</v>
      </c>
      <c r="H80" s="231"/>
      <c r="I80" s="231">
        <f>I79*0.092903</f>
        <v>1217.0292999999999</v>
      </c>
      <c r="J80" s="231"/>
    </row>
    <row r="81" spans="4:10" ht="16" thickBot="1">
      <c r="D81" s="228" t="s">
        <v>919</v>
      </c>
      <c r="E81" s="229">
        <f>E78/E80</f>
        <v>3119.2526916184652</v>
      </c>
      <c r="F81" s="229"/>
      <c r="G81" s="229">
        <f>G78/G80</f>
        <v>3665.3827177513313</v>
      </c>
      <c r="H81" s="229"/>
      <c r="I81" s="229">
        <f>I78/I80</f>
        <v>2406.8294822482912</v>
      </c>
      <c r="J81" s="229"/>
    </row>
  </sheetData>
  <mergeCells count="5">
    <mergeCell ref="C6:D6"/>
    <mergeCell ref="C7:D7"/>
    <mergeCell ref="E71:F71"/>
    <mergeCell ref="G71:H71"/>
    <mergeCell ref="I71:J71"/>
  </mergeCells>
  <phoneticPr fontId="8" type="noConversion"/>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108"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26 C28:C30 C32">
    <cfRule type="expression" dxfId="107" priority="1">
      <formula>#REF!="Owned"</formula>
    </cfRule>
  </conditionalFormatting>
  <dataValidations count="1">
    <dataValidation type="list" allowBlank="1" showInputMessage="1" showErrorMessage="1" sqref="E6" xr:uid="{CC83879C-E01B-4687-9C66-FEAC48C04F3B}">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E99DE-1C19-4CE0-905C-976148CF3496}">
  <sheetPr codeName="Feuil21">
    <tabColor rgb="FF00B050"/>
    <pageSetUpPr fitToPage="1"/>
  </sheetPr>
  <dimension ref="B1:R68"/>
  <sheetViews>
    <sheetView topLeftCell="A50" zoomScale="85" zoomScaleNormal="85" workbookViewId="0">
      <selection activeCell="B54" sqref="B54"/>
    </sheetView>
  </sheetViews>
  <sheetFormatPr baseColWidth="10" defaultColWidth="9.1640625" defaultRowHeight="13"/>
  <cols>
    <col min="1" max="1" width="19.5" style="139" customWidth="1"/>
    <col min="2" max="2" width="24.1640625" style="139" customWidth="1"/>
    <col min="3" max="3" width="23.1640625" style="139" customWidth="1"/>
    <col min="4" max="18" width="22.83203125" style="139" customWidth="1"/>
    <col min="19" max="16384" width="9.1640625" style="139"/>
  </cols>
  <sheetData>
    <row r="1" spans="2:18" ht="7.5" customHeight="1"/>
    <row r="2" spans="2:18">
      <c r="C2" s="508" t="s">
        <v>323</v>
      </c>
      <c r="D2" s="501"/>
      <c r="E2" s="141"/>
      <c r="F2" s="142"/>
      <c r="G2" s="142"/>
      <c r="H2" s="142"/>
      <c r="I2" s="143"/>
    </row>
    <row r="4" spans="2:18">
      <c r="C4" s="140" t="s">
        <v>324</v>
      </c>
      <c r="D4" s="144" t="s">
        <v>180</v>
      </c>
      <c r="G4" s="145"/>
      <c r="H4" s="145"/>
      <c r="I4" s="146"/>
    </row>
    <row r="5" spans="2:18" ht="15.75" customHeight="1">
      <c r="C5" s="187"/>
    </row>
    <row r="6" spans="2:18" ht="26.25" customHeight="1">
      <c r="B6" s="139" t="s">
        <v>326</v>
      </c>
      <c r="C6" s="588" t="s">
        <v>327</v>
      </c>
      <c r="D6" s="588"/>
      <c r="E6" s="148" t="s">
        <v>328</v>
      </c>
      <c r="F6" s="149"/>
      <c r="G6" s="150"/>
      <c r="H6" s="150"/>
    </row>
    <row r="7" spans="2:18" ht="26.25" customHeight="1">
      <c r="B7" s="139" t="s">
        <v>326</v>
      </c>
      <c r="C7" s="588" t="s">
        <v>329</v>
      </c>
      <c r="D7" s="588"/>
      <c r="E7" s="148">
        <v>1</v>
      </c>
      <c r="F7" s="149"/>
      <c r="G7" s="150"/>
      <c r="H7" s="150"/>
    </row>
    <row r="8" spans="2:18" ht="24.5" customHeight="1"/>
    <row r="9" spans="2:18" ht="26" customHeight="1">
      <c r="C9" s="151" t="s">
        <v>330</v>
      </c>
      <c r="D9" s="152"/>
      <c r="E9" s="153"/>
      <c r="F9" s="153"/>
      <c r="G9" s="153"/>
      <c r="H9" s="153"/>
      <c r="I9" s="153"/>
      <c r="J9" s="153"/>
      <c r="K9" s="153"/>
      <c r="L9" s="153"/>
      <c r="M9" s="153"/>
      <c r="N9" s="153"/>
      <c r="O9" s="153"/>
      <c r="P9" s="153"/>
      <c r="Q9" s="153"/>
      <c r="R9" s="153"/>
    </row>
    <row r="10" spans="2:18" ht="30" customHeight="1">
      <c r="C10" s="154" t="s">
        <v>331</v>
      </c>
      <c r="D10" s="155" t="s">
        <v>920</v>
      </c>
      <c r="E10" s="156" t="s">
        <v>504</v>
      </c>
      <c r="F10" s="156" t="s">
        <v>334</v>
      </c>
      <c r="G10" s="156" t="s">
        <v>335</v>
      </c>
      <c r="H10" s="156" t="s">
        <v>336</v>
      </c>
      <c r="I10" s="156" t="s">
        <v>337</v>
      </c>
      <c r="J10" s="156" t="s">
        <v>338</v>
      </c>
      <c r="K10" s="156" t="s">
        <v>339</v>
      </c>
      <c r="L10" s="156" t="s">
        <v>340</v>
      </c>
      <c r="M10" s="156" t="s">
        <v>341</v>
      </c>
      <c r="N10" s="156" t="s">
        <v>342</v>
      </c>
      <c r="O10" s="156" t="s">
        <v>343</v>
      </c>
      <c r="P10" s="156" t="s">
        <v>344</v>
      </c>
      <c r="Q10" s="156" t="s">
        <v>345</v>
      </c>
      <c r="R10" s="156" t="s">
        <v>346</v>
      </c>
    </row>
    <row r="11" spans="2:18" ht="30" customHeight="1">
      <c r="C11" s="157" t="s">
        <v>299</v>
      </c>
      <c r="D11" s="158" t="s">
        <v>921</v>
      </c>
      <c r="E11" s="156"/>
      <c r="F11" s="156"/>
      <c r="G11" s="156"/>
      <c r="H11" s="156"/>
      <c r="I11" s="156"/>
      <c r="J11" s="156"/>
      <c r="K11" s="156"/>
      <c r="L11" s="156"/>
      <c r="M11" s="156"/>
      <c r="N11" s="156"/>
      <c r="O11" s="156"/>
      <c r="P11" s="156"/>
      <c r="Q11" s="156"/>
      <c r="R11" s="156"/>
    </row>
    <row r="12" spans="2:18" ht="30" customHeight="1">
      <c r="C12" s="159"/>
      <c r="D12" s="160"/>
      <c r="E12" s="160"/>
      <c r="F12" s="160"/>
      <c r="G12" s="160"/>
      <c r="H12" s="160"/>
      <c r="I12" s="160"/>
      <c r="J12" s="161"/>
      <c r="K12" s="161"/>
      <c r="L12" s="161"/>
      <c r="M12" s="161"/>
      <c r="N12" s="161"/>
      <c r="O12" s="161"/>
      <c r="P12" s="161"/>
      <c r="Q12" s="161"/>
      <c r="R12" s="161"/>
    </row>
    <row r="13" spans="2:18" ht="30" customHeight="1">
      <c r="B13" s="7" t="s">
        <v>348</v>
      </c>
      <c r="C13" s="8" t="s">
        <v>349</v>
      </c>
      <c r="D13" s="162" t="s">
        <v>922</v>
      </c>
      <c r="E13" s="162"/>
      <c r="F13" s="162"/>
      <c r="G13" s="162"/>
      <c r="H13" s="162"/>
      <c r="I13" s="162"/>
      <c r="J13" s="162"/>
      <c r="K13" s="162"/>
      <c r="L13" s="162"/>
      <c r="M13" s="162"/>
      <c r="N13" s="162"/>
      <c r="O13" s="162"/>
      <c r="P13" s="162"/>
      <c r="Q13" s="162"/>
      <c r="R13" s="162"/>
    </row>
    <row r="14" spans="2:18" ht="30" customHeight="1">
      <c r="B14" s="7" t="s">
        <v>352</v>
      </c>
      <c r="C14" s="8" t="s">
        <v>297</v>
      </c>
      <c r="D14" s="162" t="s">
        <v>182</v>
      </c>
      <c r="E14" s="162"/>
      <c r="F14" s="162"/>
      <c r="G14" s="162"/>
      <c r="H14" s="162"/>
      <c r="I14" s="162"/>
      <c r="J14" s="162"/>
      <c r="K14" s="162"/>
      <c r="L14" s="162"/>
      <c r="M14" s="162"/>
      <c r="N14" s="162"/>
      <c r="O14" s="162"/>
      <c r="P14" s="162"/>
      <c r="Q14" s="162"/>
      <c r="R14" s="162"/>
    </row>
    <row r="15" spans="2:18" ht="30" customHeight="1">
      <c r="B15" s="7" t="s">
        <v>353</v>
      </c>
      <c r="C15" s="8" t="s">
        <v>354</v>
      </c>
      <c r="D15" s="162" t="s">
        <v>183</v>
      </c>
      <c r="E15" s="162"/>
      <c r="F15" s="162"/>
      <c r="G15" s="162"/>
      <c r="H15" s="162"/>
      <c r="I15" s="162"/>
      <c r="J15" s="162"/>
      <c r="K15" s="162"/>
      <c r="L15" s="162"/>
      <c r="M15" s="162"/>
      <c r="N15" s="162"/>
      <c r="O15" s="162"/>
      <c r="P15" s="162"/>
      <c r="Q15" s="162"/>
      <c r="R15" s="162"/>
    </row>
    <row r="16" spans="2:18" ht="30" customHeight="1">
      <c r="B16" s="7" t="s">
        <v>355</v>
      </c>
      <c r="C16" s="8" t="s">
        <v>356</v>
      </c>
      <c r="D16" s="162">
        <v>12980</v>
      </c>
      <c r="E16" s="162"/>
      <c r="F16" s="162"/>
      <c r="G16" s="162"/>
      <c r="H16" s="162"/>
      <c r="I16" s="162"/>
      <c r="J16" s="162"/>
      <c r="K16" s="162"/>
      <c r="L16" s="162"/>
      <c r="M16" s="162"/>
      <c r="N16" s="162"/>
      <c r="O16" s="162"/>
      <c r="P16" s="162"/>
      <c r="Q16" s="162"/>
      <c r="R16" s="162"/>
    </row>
    <row r="17" spans="2:18" ht="30" customHeight="1">
      <c r="B17" s="7" t="s">
        <v>357</v>
      </c>
      <c r="C17" s="8" t="s">
        <v>294</v>
      </c>
      <c r="D17" s="162" t="s">
        <v>181</v>
      </c>
      <c r="E17" s="162"/>
      <c r="F17" s="162"/>
      <c r="G17" s="162"/>
      <c r="H17" s="162"/>
      <c r="I17" s="162"/>
      <c r="J17" s="162"/>
      <c r="K17" s="162"/>
      <c r="L17" s="162"/>
      <c r="M17" s="162"/>
      <c r="N17" s="162"/>
      <c r="O17" s="162"/>
      <c r="P17" s="162"/>
      <c r="Q17" s="162"/>
      <c r="R17" s="162"/>
    </row>
    <row r="18" spans="2:18" ht="30" customHeight="1">
      <c r="B18" s="9" t="s">
        <v>358</v>
      </c>
      <c r="C18" s="10" t="s">
        <v>359</v>
      </c>
      <c r="D18" s="162" t="s">
        <v>360</v>
      </c>
      <c r="E18" s="162"/>
      <c r="F18" s="162"/>
      <c r="G18" s="162"/>
      <c r="H18" s="162"/>
      <c r="I18" s="162"/>
      <c r="J18" s="162"/>
      <c r="K18" s="162"/>
      <c r="L18" s="162"/>
      <c r="M18" s="162"/>
      <c r="N18" s="162"/>
      <c r="O18" s="162"/>
      <c r="P18" s="162"/>
      <c r="Q18" s="162"/>
      <c r="R18" s="162"/>
    </row>
    <row r="19" spans="2:18" ht="30" customHeight="1">
      <c r="B19" s="9" t="s">
        <v>361</v>
      </c>
      <c r="C19" s="10" t="s">
        <v>362</v>
      </c>
      <c r="D19" s="162" t="s">
        <v>328</v>
      </c>
      <c r="E19" s="162"/>
      <c r="F19" s="162"/>
      <c r="G19" s="162"/>
      <c r="H19" s="162"/>
      <c r="I19" s="162"/>
      <c r="J19" s="162"/>
      <c r="K19" s="162"/>
      <c r="L19" s="162"/>
      <c r="M19" s="162"/>
      <c r="N19" s="162"/>
      <c r="O19" s="162"/>
      <c r="P19" s="162"/>
      <c r="Q19" s="162"/>
      <c r="R19" s="162"/>
    </row>
    <row r="20" spans="2:18" ht="30" customHeight="1">
      <c r="B20" s="9" t="s">
        <v>363</v>
      </c>
      <c r="C20" s="10" t="s">
        <v>364</v>
      </c>
      <c r="D20" s="162" t="s">
        <v>328</v>
      </c>
      <c r="E20" s="162"/>
      <c r="F20" s="162"/>
      <c r="G20" s="162"/>
      <c r="H20" s="162"/>
      <c r="I20" s="162"/>
      <c r="J20" s="162"/>
      <c r="K20" s="162"/>
      <c r="L20" s="162"/>
      <c r="M20" s="162"/>
      <c r="N20" s="162"/>
      <c r="O20" s="162"/>
      <c r="P20" s="162"/>
      <c r="Q20" s="162"/>
      <c r="R20" s="162"/>
    </row>
    <row r="21" spans="2:18" ht="30" customHeight="1">
      <c r="B21" s="11" t="s">
        <v>365</v>
      </c>
      <c r="C21" s="12" t="s">
        <v>366</v>
      </c>
      <c r="D21" s="162" t="s">
        <v>923</v>
      </c>
      <c r="E21" s="162"/>
      <c r="F21" s="162"/>
      <c r="G21" s="162"/>
      <c r="H21" s="162"/>
      <c r="I21" s="162"/>
      <c r="J21" s="162"/>
      <c r="K21" s="162"/>
      <c r="L21" s="162"/>
      <c r="M21" s="162"/>
      <c r="N21" s="162"/>
      <c r="O21" s="162"/>
      <c r="P21" s="162"/>
      <c r="Q21" s="162"/>
      <c r="R21" s="162"/>
    </row>
    <row r="22" spans="2:18" ht="30" customHeight="1">
      <c r="B22" s="11" t="s">
        <v>369</v>
      </c>
      <c r="C22" s="12" t="s">
        <v>370</v>
      </c>
      <c r="D22" s="162" t="s">
        <v>924</v>
      </c>
      <c r="E22" s="162"/>
      <c r="F22" s="162"/>
      <c r="G22" s="162"/>
      <c r="H22" s="162"/>
      <c r="I22" s="162"/>
      <c r="J22" s="162"/>
      <c r="K22" s="162"/>
      <c r="L22" s="162"/>
      <c r="M22" s="162"/>
      <c r="N22" s="162"/>
      <c r="O22" s="162"/>
      <c r="P22" s="162"/>
      <c r="Q22" s="162"/>
      <c r="R22" s="162"/>
    </row>
    <row r="23" spans="2:18" ht="30" customHeight="1">
      <c r="B23" s="13"/>
      <c r="C23" s="87" t="s">
        <v>374</v>
      </c>
      <c r="D23" s="510" t="s">
        <v>374</v>
      </c>
      <c r="E23" s="162"/>
      <c r="F23" s="162"/>
      <c r="G23" s="162"/>
      <c r="H23" s="162"/>
      <c r="I23" s="162"/>
      <c r="J23" s="162"/>
      <c r="K23" s="162"/>
      <c r="L23" s="162"/>
      <c r="M23" s="162"/>
      <c r="N23" s="162"/>
      <c r="O23" s="162"/>
      <c r="P23" s="162"/>
      <c r="Q23" s="162"/>
      <c r="R23" s="162"/>
    </row>
    <row r="24" spans="2:18" ht="30" customHeight="1">
      <c r="B24" s="13" t="s">
        <v>375</v>
      </c>
      <c r="C24" s="14" t="s">
        <v>376</v>
      </c>
      <c r="D24" s="164">
        <v>332.06</v>
      </c>
      <c r="E24" s="164"/>
      <c r="F24" s="164"/>
      <c r="G24" s="164"/>
      <c r="H24" s="164"/>
      <c r="I24" s="164"/>
      <c r="J24" s="164"/>
      <c r="K24" s="164"/>
      <c r="L24" s="164"/>
      <c r="M24" s="164"/>
      <c r="N24" s="164"/>
      <c r="O24" s="164"/>
      <c r="P24" s="164"/>
      <c r="Q24" s="164"/>
      <c r="R24" s="164"/>
    </row>
    <row r="25" spans="2:18" ht="30" customHeight="1">
      <c r="B25" s="15" t="s">
        <v>377</v>
      </c>
      <c r="C25" s="16" t="s">
        <v>378</v>
      </c>
      <c r="D25" s="218" t="s">
        <v>925</v>
      </c>
      <c r="E25" s="218"/>
      <c r="F25" s="162"/>
      <c r="G25" s="162"/>
      <c r="H25" s="162"/>
      <c r="I25" s="162"/>
      <c r="J25" s="162"/>
      <c r="K25" s="162"/>
      <c r="L25" s="162"/>
      <c r="M25" s="162"/>
      <c r="N25" s="162"/>
      <c r="O25" s="162"/>
      <c r="P25" s="162"/>
      <c r="Q25" s="162"/>
      <c r="R25" s="162"/>
    </row>
    <row r="26" spans="2:18" ht="30" customHeight="1">
      <c r="B26" s="15" t="s">
        <v>380</v>
      </c>
      <c r="C26" s="16" t="s">
        <v>381</v>
      </c>
      <c r="D26" s="166" t="s">
        <v>926</v>
      </c>
      <c r="E26" s="166"/>
      <c r="F26" s="164"/>
      <c r="G26" s="162"/>
      <c r="H26" s="162"/>
      <c r="I26" s="162"/>
      <c r="J26" s="162"/>
      <c r="K26" s="162"/>
      <c r="L26" s="162"/>
      <c r="M26" s="162"/>
      <c r="N26" s="162"/>
      <c r="O26" s="162"/>
      <c r="P26" s="162"/>
      <c r="Q26" s="162"/>
      <c r="R26" s="162"/>
    </row>
    <row r="27" spans="2:18" ht="30" customHeight="1">
      <c r="B27" s="15"/>
      <c r="C27" s="167" t="s">
        <v>383</v>
      </c>
      <c r="D27" s="166"/>
      <c r="E27" s="166"/>
      <c r="F27" s="164"/>
      <c r="G27" s="162"/>
      <c r="H27" s="162"/>
      <c r="I27" s="162"/>
      <c r="J27" s="162"/>
      <c r="K27" s="162"/>
      <c r="L27" s="162"/>
      <c r="M27" s="162"/>
      <c r="N27" s="162"/>
      <c r="O27" s="162"/>
      <c r="P27" s="162"/>
      <c r="Q27" s="162"/>
      <c r="R27" s="162"/>
    </row>
    <row r="28" spans="2:18" ht="30" customHeight="1">
      <c r="B28" s="15" t="s">
        <v>384</v>
      </c>
      <c r="C28" s="16" t="s">
        <v>385</v>
      </c>
      <c r="D28" s="166">
        <f>145000*12</f>
        <v>1740000</v>
      </c>
      <c r="E28" s="166"/>
      <c r="F28" s="164"/>
      <c r="G28" s="162"/>
      <c r="H28" s="162"/>
      <c r="I28" s="162"/>
      <c r="J28" s="162"/>
      <c r="K28" s="162"/>
      <c r="L28" s="162"/>
      <c r="M28" s="162"/>
      <c r="N28" s="162"/>
      <c r="O28" s="162"/>
      <c r="P28" s="162"/>
      <c r="Q28" s="162"/>
      <c r="R28" s="162"/>
    </row>
    <row r="29" spans="2:18" ht="30" customHeight="1">
      <c r="B29" s="15" t="s">
        <v>387</v>
      </c>
      <c r="C29" s="16" t="s">
        <v>388</v>
      </c>
      <c r="D29" s="236">
        <v>0</v>
      </c>
      <c r="E29" s="166"/>
      <c r="F29" s="164"/>
      <c r="G29" s="162"/>
      <c r="H29" s="162"/>
      <c r="I29" s="162"/>
      <c r="J29" s="162"/>
      <c r="K29" s="162"/>
      <c r="L29" s="162"/>
      <c r="M29" s="162"/>
      <c r="N29" s="162"/>
      <c r="O29" s="162"/>
      <c r="P29" s="162"/>
      <c r="Q29" s="162"/>
      <c r="R29" s="162"/>
    </row>
    <row r="30" spans="2:18" ht="30" customHeight="1">
      <c r="B30" s="13" t="s">
        <v>390</v>
      </c>
      <c r="C30" s="17" t="s">
        <v>391</v>
      </c>
      <c r="D30" s="237">
        <f>118000*12</f>
        <v>1416000</v>
      </c>
      <c r="E30" s="162"/>
      <c r="F30" s="162"/>
      <c r="G30" s="162"/>
      <c r="H30" s="162"/>
      <c r="I30" s="162"/>
      <c r="J30" s="162"/>
      <c r="K30" s="162"/>
      <c r="L30" s="162"/>
      <c r="M30" s="162"/>
      <c r="N30" s="162"/>
      <c r="O30" s="162"/>
      <c r="P30" s="162"/>
      <c r="Q30" s="162"/>
      <c r="R30" s="162"/>
    </row>
    <row r="31" spans="2:18" ht="30" customHeight="1">
      <c r="B31" s="13"/>
      <c r="C31" s="167" t="s">
        <v>393</v>
      </c>
      <c r="D31" s="237"/>
      <c r="E31" s="162"/>
      <c r="F31" s="162"/>
      <c r="G31" s="162"/>
      <c r="H31" s="162"/>
      <c r="I31" s="162"/>
      <c r="J31" s="162"/>
      <c r="K31" s="162"/>
      <c r="L31" s="162"/>
      <c r="M31" s="162"/>
      <c r="N31" s="162"/>
      <c r="O31" s="162"/>
      <c r="P31" s="162"/>
      <c r="Q31" s="162"/>
      <c r="R31" s="162"/>
    </row>
    <row r="32" spans="2:18" ht="30" customHeight="1">
      <c r="B32" s="13" t="s">
        <v>394</v>
      </c>
      <c r="C32" s="17" t="s">
        <v>395</v>
      </c>
      <c r="D32" s="162">
        <v>0</v>
      </c>
      <c r="E32" s="162"/>
      <c r="F32" s="162"/>
      <c r="G32" s="162"/>
      <c r="H32" s="162"/>
      <c r="I32" s="162"/>
      <c r="J32" s="162"/>
      <c r="K32" s="162"/>
      <c r="L32" s="162"/>
      <c r="M32" s="162"/>
      <c r="N32" s="162"/>
      <c r="O32" s="162"/>
      <c r="P32" s="162"/>
      <c r="Q32" s="162"/>
      <c r="R32" s="162"/>
    </row>
    <row r="33" spans="2:18" ht="30" customHeight="1">
      <c r="B33" s="18" t="s">
        <v>397</v>
      </c>
      <c r="C33" s="19" t="s">
        <v>313</v>
      </c>
      <c r="D33" s="170">
        <v>44317</v>
      </c>
      <c r="E33" s="170"/>
      <c r="F33" s="170"/>
      <c r="G33" s="170"/>
      <c r="H33" s="170"/>
      <c r="I33" s="170"/>
      <c r="J33" s="162"/>
      <c r="K33" s="162"/>
      <c r="L33" s="162"/>
      <c r="M33" s="162"/>
      <c r="N33" s="162"/>
      <c r="O33" s="162"/>
      <c r="P33" s="162"/>
      <c r="Q33" s="162"/>
      <c r="R33" s="162"/>
    </row>
    <row r="34" spans="2:18" ht="30" customHeight="1">
      <c r="B34" s="20" t="s">
        <v>398</v>
      </c>
      <c r="C34" s="19" t="s">
        <v>315</v>
      </c>
      <c r="D34" s="170">
        <v>47968</v>
      </c>
      <c r="E34" s="170"/>
      <c r="F34" s="170"/>
      <c r="G34" s="170"/>
      <c r="H34" s="170"/>
      <c r="I34" s="170"/>
      <c r="J34" s="162"/>
      <c r="K34" s="162"/>
      <c r="L34" s="162"/>
      <c r="M34" s="162"/>
      <c r="N34" s="162"/>
      <c r="O34" s="162"/>
      <c r="P34" s="162"/>
      <c r="Q34" s="162"/>
      <c r="R34" s="162"/>
    </row>
    <row r="35" spans="2:18" ht="30" customHeight="1">
      <c r="B35" s="20" t="s">
        <v>399</v>
      </c>
      <c r="C35" s="19" t="s">
        <v>400</v>
      </c>
      <c r="D35" s="162"/>
      <c r="E35" s="162"/>
      <c r="F35" s="162"/>
      <c r="G35" s="162"/>
      <c r="H35" s="162"/>
      <c r="I35" s="162"/>
      <c r="J35" s="162"/>
      <c r="K35" s="162"/>
      <c r="L35" s="162"/>
      <c r="M35" s="162"/>
      <c r="N35" s="162"/>
      <c r="O35" s="162"/>
      <c r="P35" s="162"/>
      <c r="Q35" s="162"/>
      <c r="R35" s="162"/>
    </row>
    <row r="36" spans="2:18" ht="30" customHeight="1">
      <c r="B36" s="20" t="s">
        <v>402</v>
      </c>
      <c r="C36" s="21" t="s">
        <v>403</v>
      </c>
      <c r="D36" s="172" t="s">
        <v>414</v>
      </c>
      <c r="E36" s="172"/>
      <c r="F36" s="173"/>
      <c r="G36" s="173"/>
      <c r="H36" s="173"/>
      <c r="I36" s="173"/>
      <c r="J36" s="162"/>
      <c r="K36" s="162"/>
      <c r="L36" s="162"/>
      <c r="M36" s="162"/>
      <c r="N36" s="162"/>
      <c r="O36" s="162"/>
      <c r="P36" s="162"/>
      <c r="Q36" s="162"/>
      <c r="R36" s="162"/>
    </row>
    <row r="37" spans="2:18" ht="30" customHeight="1">
      <c r="B37" s="20" t="s">
        <v>404</v>
      </c>
      <c r="C37" s="21" t="s">
        <v>405</v>
      </c>
      <c r="D37" s="172" t="s">
        <v>927</v>
      </c>
      <c r="E37" s="172"/>
      <c r="F37" s="173"/>
      <c r="G37" s="173"/>
      <c r="H37" s="173"/>
      <c r="I37" s="173"/>
      <c r="J37" s="162"/>
      <c r="K37" s="162"/>
      <c r="L37" s="162"/>
      <c r="M37" s="162"/>
      <c r="N37" s="162"/>
      <c r="O37" s="162"/>
      <c r="P37" s="162"/>
      <c r="Q37" s="162"/>
      <c r="R37" s="162"/>
    </row>
    <row r="38" spans="2:18" ht="30" customHeight="1">
      <c r="B38" s="20" t="s">
        <v>406</v>
      </c>
      <c r="C38" s="21" t="s">
        <v>407</v>
      </c>
      <c r="D38" s="172" t="s">
        <v>328</v>
      </c>
      <c r="E38" s="172"/>
      <c r="F38" s="173"/>
      <c r="G38" s="173"/>
      <c r="H38" s="173"/>
      <c r="I38" s="173"/>
      <c r="J38" s="162"/>
      <c r="K38" s="162"/>
      <c r="L38" s="162"/>
      <c r="M38" s="162"/>
      <c r="N38" s="162"/>
      <c r="O38" s="162"/>
      <c r="P38" s="162"/>
      <c r="Q38" s="162"/>
      <c r="R38" s="162"/>
    </row>
    <row r="39" spans="2:18" ht="30" customHeight="1">
      <c r="B39" s="20" t="s">
        <v>408</v>
      </c>
      <c r="C39" s="21" t="s">
        <v>409</v>
      </c>
      <c r="D39" s="172" t="s">
        <v>410</v>
      </c>
      <c r="E39" s="172"/>
      <c r="F39" s="173"/>
      <c r="G39" s="173"/>
      <c r="H39" s="173"/>
      <c r="I39" s="173"/>
      <c r="J39" s="162"/>
      <c r="K39" s="162"/>
      <c r="L39" s="162"/>
      <c r="M39" s="162"/>
      <c r="N39" s="162"/>
      <c r="O39" s="162"/>
      <c r="P39" s="162"/>
      <c r="Q39" s="162"/>
      <c r="R39" s="162"/>
    </row>
    <row r="40" spans="2:18" ht="30" customHeight="1">
      <c r="B40" s="20" t="s">
        <v>411</v>
      </c>
      <c r="C40" s="21" t="s">
        <v>314</v>
      </c>
      <c r="D40" s="170">
        <v>47968</v>
      </c>
      <c r="E40" s="172"/>
      <c r="F40" s="173"/>
      <c r="G40" s="173"/>
      <c r="H40" s="173"/>
      <c r="I40" s="173"/>
      <c r="J40" s="162"/>
      <c r="K40" s="162"/>
      <c r="L40" s="162"/>
      <c r="M40" s="162"/>
      <c r="N40" s="162"/>
      <c r="O40" s="162"/>
      <c r="P40" s="162"/>
      <c r="Q40" s="162"/>
      <c r="R40" s="162"/>
    </row>
    <row r="41" spans="2:18" ht="30" customHeight="1">
      <c r="B41" s="22" t="s">
        <v>412</v>
      </c>
      <c r="C41" s="23" t="s">
        <v>413</v>
      </c>
      <c r="D41" s="172" t="s">
        <v>328</v>
      </c>
      <c r="E41" s="172"/>
      <c r="F41" s="172"/>
      <c r="G41" s="172"/>
      <c r="H41" s="172"/>
      <c r="I41" s="172"/>
      <c r="J41" s="172"/>
      <c r="K41" s="172"/>
      <c r="L41" s="172"/>
      <c r="M41" s="172"/>
      <c r="N41" s="172"/>
      <c r="O41" s="172"/>
      <c r="P41" s="172"/>
      <c r="Q41" s="172"/>
      <c r="R41" s="172"/>
    </row>
    <row r="42" spans="2:18" ht="30" customHeight="1">
      <c r="B42" s="24" t="s">
        <v>457</v>
      </c>
      <c r="C42" s="23" t="s">
        <v>458</v>
      </c>
      <c r="D42" s="174" t="s">
        <v>328</v>
      </c>
      <c r="E42" s="174"/>
      <c r="F42" s="174"/>
      <c r="G42" s="174"/>
      <c r="H42" s="174"/>
      <c r="I42" s="174"/>
      <c r="J42" s="174"/>
      <c r="K42" s="174"/>
      <c r="L42" s="174"/>
      <c r="M42" s="174"/>
      <c r="N42" s="174"/>
      <c r="O42" s="174"/>
      <c r="P42" s="174"/>
      <c r="Q42" s="174"/>
      <c r="R42" s="174"/>
    </row>
    <row r="43" spans="2:18" ht="30" customHeight="1">
      <c r="B43" s="25" t="s">
        <v>418</v>
      </c>
      <c r="C43" s="26" t="s">
        <v>419</v>
      </c>
      <c r="D43" s="162"/>
      <c r="E43" s="162"/>
      <c r="F43" s="162"/>
      <c r="G43" s="162"/>
      <c r="H43" s="162"/>
      <c r="I43" s="162"/>
      <c r="J43" s="162"/>
      <c r="K43" s="162"/>
      <c r="L43" s="162"/>
      <c r="M43" s="162"/>
      <c r="N43" s="162"/>
      <c r="O43" s="162"/>
      <c r="P43" s="162"/>
      <c r="Q43" s="162"/>
      <c r="R43" s="162"/>
    </row>
    <row r="44" spans="2:18" ht="30" customHeight="1">
      <c r="B44" s="25" t="s">
        <v>420</v>
      </c>
      <c r="C44" s="26" t="s">
        <v>421</v>
      </c>
      <c r="D44" s="162" t="s">
        <v>328</v>
      </c>
      <c r="E44" s="162"/>
      <c r="F44" s="162"/>
      <c r="G44" s="162"/>
      <c r="H44" s="162"/>
      <c r="I44" s="162"/>
      <c r="J44" s="162"/>
      <c r="K44" s="162"/>
      <c r="L44" s="162"/>
      <c r="M44" s="162"/>
      <c r="N44" s="162"/>
      <c r="O44" s="162"/>
      <c r="P44" s="162"/>
      <c r="Q44" s="162"/>
      <c r="R44" s="162"/>
    </row>
    <row r="45" spans="2:18" ht="30" customHeight="1">
      <c r="B45" s="175"/>
      <c r="C45" s="175"/>
      <c r="D45" s="175"/>
      <c r="E45" s="175"/>
      <c r="F45" s="175"/>
      <c r="G45" s="175"/>
      <c r="H45" s="175"/>
      <c r="I45" s="175"/>
      <c r="J45" s="175"/>
      <c r="K45" s="175"/>
      <c r="L45" s="175"/>
      <c r="M45" s="175"/>
      <c r="N45" s="175"/>
      <c r="O45" s="175"/>
      <c r="P45" s="175"/>
      <c r="Q45" s="175"/>
      <c r="R45" s="175"/>
    </row>
    <row r="46" spans="2:18" ht="30" customHeight="1">
      <c r="B46" s="175"/>
      <c r="C46" s="176" t="s">
        <v>423</v>
      </c>
      <c r="D46" s="162">
        <v>38</v>
      </c>
      <c r="E46" s="162"/>
      <c r="F46" s="162"/>
      <c r="G46" s="162"/>
      <c r="H46" s="162"/>
      <c r="I46" s="162"/>
      <c r="J46" s="162"/>
      <c r="K46" s="162"/>
      <c r="L46" s="162"/>
      <c r="M46" s="162"/>
      <c r="N46" s="162"/>
      <c r="O46" s="162"/>
      <c r="P46" s="162"/>
      <c r="Q46" s="162"/>
      <c r="R46" s="162"/>
    </row>
    <row r="47" spans="2:18" ht="30" customHeight="1">
      <c r="B47" s="175"/>
      <c r="C47" s="177" t="s">
        <v>424</v>
      </c>
      <c r="D47" s="162">
        <v>33</v>
      </c>
      <c r="E47" s="162"/>
      <c r="F47" s="162"/>
      <c r="G47" s="162"/>
      <c r="H47" s="162"/>
      <c r="I47" s="162"/>
      <c r="J47" s="162"/>
      <c r="K47" s="162"/>
      <c r="L47" s="162"/>
      <c r="M47" s="162"/>
      <c r="N47" s="162"/>
      <c r="O47" s="162"/>
      <c r="P47" s="162"/>
      <c r="Q47" s="162"/>
      <c r="R47" s="162"/>
    </row>
    <row r="48" spans="2:18" ht="30" customHeight="1">
      <c r="B48" s="175"/>
      <c r="C48" s="177" t="s">
        <v>425</v>
      </c>
      <c r="D48" s="162">
        <v>5</v>
      </c>
      <c r="E48" s="162"/>
      <c r="F48" s="162"/>
      <c r="G48" s="162"/>
      <c r="H48" s="162"/>
      <c r="I48" s="162"/>
      <c r="J48" s="162"/>
      <c r="K48" s="162"/>
      <c r="L48" s="162"/>
      <c r="M48" s="162"/>
      <c r="N48" s="162"/>
      <c r="O48" s="162"/>
      <c r="P48" s="162"/>
      <c r="Q48" s="162"/>
      <c r="R48" s="162"/>
    </row>
    <row r="49" spans="2:18" ht="30" customHeight="1">
      <c r="B49" s="175"/>
      <c r="C49" s="178"/>
      <c r="D49" s="179"/>
      <c r="E49" s="179"/>
      <c r="F49" s="179"/>
      <c r="G49" s="179"/>
      <c r="H49" s="179"/>
      <c r="I49" s="179"/>
      <c r="J49" s="179"/>
      <c r="K49" s="179"/>
      <c r="L49" s="179"/>
      <c r="M49" s="179"/>
      <c r="N49" s="179"/>
      <c r="O49" s="179"/>
      <c r="P49" s="179"/>
      <c r="Q49" s="179"/>
      <c r="R49" s="179"/>
    </row>
    <row r="50" spans="2:18" ht="30" customHeight="1">
      <c r="B50" s="175"/>
      <c r="C50" s="176" t="s">
        <v>426</v>
      </c>
      <c r="D50" s="162">
        <v>51</v>
      </c>
      <c r="E50" s="162"/>
      <c r="F50" s="162"/>
      <c r="G50" s="162"/>
      <c r="H50" s="162"/>
      <c r="I50" s="162"/>
      <c r="J50" s="162"/>
      <c r="K50" s="162"/>
      <c r="L50" s="162"/>
      <c r="M50" s="162"/>
      <c r="N50" s="162"/>
      <c r="O50" s="162"/>
      <c r="P50" s="162"/>
      <c r="Q50" s="162"/>
      <c r="R50" s="162"/>
    </row>
    <row r="51" spans="2:18" ht="30" customHeight="1">
      <c r="B51" s="175"/>
      <c r="C51" s="177" t="s">
        <v>424</v>
      </c>
      <c r="D51" s="162"/>
      <c r="E51" s="162"/>
      <c r="F51" s="162"/>
      <c r="G51" s="162"/>
      <c r="H51" s="162"/>
      <c r="I51" s="162"/>
      <c r="J51" s="162"/>
      <c r="K51" s="162"/>
      <c r="L51" s="162"/>
      <c r="M51" s="162"/>
      <c r="N51" s="162"/>
      <c r="O51" s="162"/>
      <c r="P51" s="162"/>
      <c r="Q51" s="162"/>
      <c r="R51" s="162"/>
    </row>
    <row r="52" spans="2:18" ht="30" customHeight="1">
      <c r="B52" s="175"/>
      <c r="C52" s="177" t="s">
        <v>425</v>
      </c>
      <c r="D52" s="162"/>
      <c r="E52" s="162"/>
      <c r="F52" s="162"/>
      <c r="G52" s="162"/>
      <c r="H52" s="162"/>
      <c r="I52" s="162"/>
      <c r="J52" s="162"/>
      <c r="K52" s="162"/>
      <c r="L52" s="162"/>
      <c r="M52" s="162"/>
      <c r="N52" s="162"/>
      <c r="O52" s="162"/>
      <c r="P52" s="162"/>
      <c r="Q52" s="162"/>
      <c r="R52" s="162"/>
    </row>
    <row r="53" spans="2:18" ht="30" customHeight="1">
      <c r="B53" s="175"/>
      <c r="C53" s="180"/>
      <c r="D53" s="179"/>
      <c r="E53" s="179"/>
      <c r="F53" s="179"/>
      <c r="G53" s="179"/>
      <c r="H53" s="179"/>
      <c r="I53" s="179"/>
      <c r="J53" s="179"/>
      <c r="K53" s="179"/>
      <c r="L53" s="179"/>
      <c r="M53" s="179"/>
      <c r="N53" s="179"/>
      <c r="O53" s="179"/>
      <c r="P53" s="179"/>
      <c r="Q53" s="179"/>
      <c r="R53" s="179"/>
    </row>
    <row r="54" spans="2:18" ht="30" customHeight="1">
      <c r="B54" s="175"/>
      <c r="C54" s="76" t="s">
        <v>427</v>
      </c>
      <c r="D54" s="162" t="s">
        <v>414</v>
      </c>
      <c r="E54" s="162"/>
      <c r="F54" s="162"/>
      <c r="G54" s="162"/>
      <c r="H54" s="162"/>
      <c r="I54" s="162"/>
      <c r="J54" s="162"/>
      <c r="K54" s="162"/>
      <c r="L54" s="162"/>
      <c r="M54" s="162"/>
      <c r="N54" s="162"/>
      <c r="O54" s="162"/>
      <c r="P54" s="162"/>
      <c r="Q54" s="162"/>
      <c r="R54" s="162"/>
    </row>
    <row r="55" spans="2:18" ht="30" customHeight="1">
      <c r="B55" s="175"/>
      <c r="C55" s="176" t="s">
        <v>428</v>
      </c>
      <c r="D55" s="162"/>
      <c r="E55" s="162"/>
      <c r="F55" s="162"/>
      <c r="G55" s="162"/>
      <c r="H55" s="162"/>
      <c r="I55" s="162"/>
      <c r="J55" s="162"/>
      <c r="K55" s="162"/>
      <c r="L55" s="162"/>
      <c r="M55" s="162"/>
      <c r="N55" s="162"/>
      <c r="O55" s="162"/>
      <c r="P55" s="162"/>
      <c r="Q55" s="162"/>
      <c r="R55" s="162"/>
    </row>
    <row r="56" spans="2:18" ht="30" customHeight="1">
      <c r="B56" s="175"/>
      <c r="C56" s="176" t="s">
        <v>429</v>
      </c>
      <c r="D56" s="162"/>
      <c r="E56" s="162"/>
      <c r="F56" s="162"/>
      <c r="G56" s="162"/>
      <c r="H56" s="162"/>
      <c r="I56" s="162"/>
      <c r="J56" s="162"/>
      <c r="K56" s="162"/>
      <c r="L56" s="162"/>
      <c r="M56" s="162"/>
      <c r="N56" s="162"/>
      <c r="O56" s="162"/>
      <c r="P56" s="162"/>
      <c r="Q56" s="162"/>
      <c r="R56" s="162"/>
    </row>
    <row r="57" spans="2:18" ht="30" customHeight="1">
      <c r="C57" s="181" t="s">
        <v>430</v>
      </c>
      <c r="D57" s="153"/>
      <c r="E57" s="153"/>
      <c r="F57" s="153"/>
      <c r="G57" s="153"/>
      <c r="H57" s="153"/>
      <c r="I57" s="153"/>
      <c r="J57" s="153"/>
      <c r="K57" s="153"/>
      <c r="L57" s="153"/>
      <c r="M57" s="153"/>
      <c r="N57" s="153"/>
      <c r="O57" s="153"/>
      <c r="P57" s="153"/>
      <c r="Q57" s="153"/>
      <c r="R57" s="153"/>
    </row>
    <row r="58" spans="2:18" ht="30" customHeight="1">
      <c r="C58" s="181" t="s">
        <v>431</v>
      </c>
      <c r="D58" s="153"/>
      <c r="E58" s="153"/>
      <c r="F58" s="153"/>
      <c r="G58" s="153"/>
      <c r="H58" s="153"/>
      <c r="I58" s="153"/>
      <c r="J58" s="153"/>
      <c r="K58" s="153"/>
      <c r="L58" s="153"/>
      <c r="M58" s="153"/>
      <c r="N58" s="153"/>
      <c r="O58" s="153"/>
      <c r="P58" s="153"/>
      <c r="Q58" s="153"/>
      <c r="R58" s="153"/>
    </row>
    <row r="59" spans="2:18">
      <c r="C59" s="182"/>
    </row>
    <row r="60" spans="2:18" ht="15">
      <c r="D60" s="139" t="s">
        <v>432</v>
      </c>
    </row>
    <row r="61" spans="2:18">
      <c r="D61" s="183" t="s">
        <v>433</v>
      </c>
    </row>
    <row r="62" spans="2:18">
      <c r="D62" s="184" t="s">
        <v>434</v>
      </c>
    </row>
    <row r="63" spans="2:18">
      <c r="D63" s="184" t="s">
        <v>435</v>
      </c>
    </row>
    <row r="64" spans="2:18">
      <c r="D64" s="184" t="s">
        <v>436</v>
      </c>
    </row>
    <row r="65" spans="4:4">
      <c r="D65" s="184" t="s">
        <v>437</v>
      </c>
    </row>
    <row r="66" spans="4:4">
      <c r="D66" s="184" t="s">
        <v>438</v>
      </c>
    </row>
    <row r="68" spans="4:4" ht="15">
      <c r="D68" s="185" t="s">
        <v>439</v>
      </c>
    </row>
  </sheetData>
  <mergeCells count="2">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106"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26 C28:C30 C32">
    <cfRule type="expression" dxfId="105" priority="1">
      <formula>#REF!="Owned"</formula>
    </cfRule>
  </conditionalFormatting>
  <dataValidations count="1">
    <dataValidation type="list" allowBlank="1" showInputMessage="1" showErrorMessage="1" sqref="E6" xr:uid="{36DCF204-4B0F-48DC-B23E-61EE59876E3F}">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EFB60-7E31-4817-A6C8-0C3F0A2F2206}">
  <sheetPr codeName="Feuil22">
    <tabColor rgb="FF00B050"/>
    <pageSetUpPr fitToPage="1"/>
  </sheetPr>
  <dimension ref="B1:K69"/>
  <sheetViews>
    <sheetView topLeftCell="A44" zoomScale="70" zoomScaleNormal="70" workbookViewId="0">
      <selection activeCell="G25" sqref="G25"/>
    </sheetView>
  </sheetViews>
  <sheetFormatPr baseColWidth="10" defaultColWidth="9.1640625" defaultRowHeight="13"/>
  <cols>
    <col min="1" max="1" width="19.5" style="1" customWidth="1"/>
    <col min="2" max="2" width="24.1640625" style="1" customWidth="1"/>
    <col min="3" max="3" width="23.1640625" style="1" customWidth="1"/>
    <col min="4" max="4" width="25.83203125" style="1" customWidth="1"/>
    <col min="5" max="5" width="31.5" style="1" customWidth="1"/>
    <col min="6" max="8" width="25.83203125" style="1" customWidth="1"/>
    <col min="9" max="9" width="41" customWidth="1"/>
    <col min="10" max="10" width="25.83203125" style="1" customWidth="1"/>
    <col min="11" max="13" width="33.83203125" style="1" customWidth="1"/>
    <col min="14" max="15" width="19.83203125" style="1" customWidth="1"/>
    <col min="16" max="16384" width="9.1640625" style="1"/>
  </cols>
  <sheetData>
    <row r="1" spans="2:11" ht="20.5" customHeight="1"/>
    <row r="2" spans="2:11" ht="23" customHeight="1">
      <c r="C2" s="506" t="s">
        <v>323</v>
      </c>
      <c r="D2" s="100">
        <v>45919</v>
      </c>
      <c r="E2" s="80"/>
      <c r="F2" s="3"/>
      <c r="G2" s="3"/>
      <c r="H2" s="3"/>
      <c r="I2" s="111"/>
      <c r="J2" s="4"/>
    </row>
    <row r="3" spans="2:11" ht="23" customHeight="1"/>
    <row r="4" spans="2:11" ht="22.5" customHeight="1">
      <c r="C4" s="81" t="s">
        <v>324</v>
      </c>
      <c r="D4" s="82" t="s">
        <v>241</v>
      </c>
      <c r="G4" s="83"/>
      <c r="H4" s="83"/>
      <c r="I4" s="5"/>
      <c r="J4" s="5"/>
    </row>
    <row r="5" spans="2:11" ht="16" customHeight="1"/>
    <row r="6" spans="2:11" ht="29.5" customHeight="1">
      <c r="B6" s="1" t="s">
        <v>326</v>
      </c>
      <c r="C6" s="589" t="s">
        <v>327</v>
      </c>
      <c r="D6" s="591"/>
      <c r="E6" s="6" t="s">
        <v>414</v>
      </c>
      <c r="F6" s="101"/>
      <c r="G6" s="101"/>
      <c r="H6" s="101"/>
      <c r="I6" s="42"/>
      <c r="J6" s="42"/>
    </row>
    <row r="7" spans="2:11" ht="26.25" customHeight="1">
      <c r="B7" s="1" t="s">
        <v>326</v>
      </c>
      <c r="C7" s="589" t="s">
        <v>329</v>
      </c>
      <c r="D7" s="591"/>
      <c r="E7" s="84" t="s">
        <v>928</v>
      </c>
      <c r="F7" s="101"/>
      <c r="G7" s="101"/>
      <c r="H7" s="101"/>
      <c r="I7" s="42"/>
      <c r="J7" s="42"/>
    </row>
    <row r="8" spans="2:11" ht="21.5" customHeight="1"/>
    <row r="9" spans="2:11" ht="26.5" customHeight="1">
      <c r="C9" s="69" t="s">
        <v>441</v>
      </c>
      <c r="D9" s="102" t="s">
        <v>929</v>
      </c>
      <c r="E9" s="103"/>
      <c r="F9" s="103"/>
      <c r="G9" s="103"/>
      <c r="H9" s="103"/>
      <c r="I9" s="103"/>
      <c r="J9" s="103"/>
      <c r="K9" s="103"/>
    </row>
    <row r="10" spans="2:11" ht="47" customHeight="1">
      <c r="C10" s="104" t="s">
        <v>331</v>
      </c>
      <c r="D10" s="84" t="s">
        <v>930</v>
      </c>
      <c r="E10" s="84" t="s">
        <v>931</v>
      </c>
      <c r="F10" s="84" t="s">
        <v>932</v>
      </c>
      <c r="G10" s="84" t="s">
        <v>933</v>
      </c>
      <c r="H10" s="84" t="s">
        <v>934</v>
      </c>
      <c r="I10" s="84" t="s">
        <v>935</v>
      </c>
      <c r="J10" s="84" t="s">
        <v>935</v>
      </c>
      <c r="K10" s="84" t="s">
        <v>935</v>
      </c>
    </row>
    <row r="11" spans="2:11" ht="47" customHeight="1">
      <c r="C11" s="104" t="s">
        <v>299</v>
      </c>
      <c r="D11" s="84" t="s">
        <v>936</v>
      </c>
      <c r="E11" s="84" t="s">
        <v>937</v>
      </c>
      <c r="F11" s="84" t="s">
        <v>938</v>
      </c>
      <c r="G11" s="84" t="s">
        <v>939</v>
      </c>
      <c r="H11" s="84" t="s">
        <v>940</v>
      </c>
      <c r="I11" s="84" t="s">
        <v>937</v>
      </c>
      <c r="J11" s="84" t="s">
        <v>937</v>
      </c>
      <c r="K11" s="84" t="s">
        <v>937</v>
      </c>
    </row>
    <row r="12" spans="2:11" ht="38.5" customHeight="1">
      <c r="C12" s="32"/>
      <c r="D12" s="105"/>
      <c r="E12" s="105"/>
      <c r="F12" s="105"/>
      <c r="G12" s="105"/>
      <c r="H12" s="105"/>
      <c r="I12" s="105"/>
      <c r="J12" s="105"/>
      <c r="K12" s="105"/>
    </row>
    <row r="13" spans="2:11" ht="30" customHeight="1">
      <c r="B13" s="7" t="s">
        <v>348</v>
      </c>
      <c r="C13" s="8" t="s">
        <v>349</v>
      </c>
      <c r="D13" s="85" t="s">
        <v>655</v>
      </c>
      <c r="E13" s="85" t="s">
        <v>655</v>
      </c>
      <c r="F13" s="85" t="s">
        <v>655</v>
      </c>
      <c r="G13" s="85" t="s">
        <v>655</v>
      </c>
      <c r="H13" s="85" t="s">
        <v>655</v>
      </c>
      <c r="I13" s="85" t="s">
        <v>941</v>
      </c>
      <c r="J13" s="85" t="s">
        <v>941</v>
      </c>
      <c r="K13" s="85" t="s">
        <v>942</v>
      </c>
    </row>
    <row r="14" spans="2:11" ht="77.25" customHeight="1">
      <c r="B14" s="7" t="s">
        <v>352</v>
      </c>
      <c r="C14" s="8" t="s">
        <v>297</v>
      </c>
      <c r="D14" s="86" t="s">
        <v>245</v>
      </c>
      <c r="E14" s="86" t="s">
        <v>236</v>
      </c>
      <c r="F14" s="86" t="s">
        <v>238</v>
      </c>
      <c r="G14" s="86" t="s">
        <v>239</v>
      </c>
      <c r="H14" s="86" t="s">
        <v>240</v>
      </c>
      <c r="I14" s="86" t="s">
        <v>236</v>
      </c>
      <c r="J14" s="86" t="s">
        <v>236</v>
      </c>
      <c r="K14" s="86" t="s">
        <v>236</v>
      </c>
    </row>
    <row r="15" spans="2:11" ht="30" customHeight="1">
      <c r="B15" s="7" t="s">
        <v>353</v>
      </c>
      <c r="C15" s="8" t="s">
        <v>354</v>
      </c>
      <c r="D15" s="86" t="s">
        <v>237</v>
      </c>
      <c r="E15" s="86" t="s">
        <v>237</v>
      </c>
      <c r="F15" s="86" t="s">
        <v>237</v>
      </c>
      <c r="G15" s="86" t="s">
        <v>237</v>
      </c>
      <c r="H15" s="86" t="s">
        <v>237</v>
      </c>
      <c r="I15" s="86" t="s">
        <v>237</v>
      </c>
      <c r="J15" s="86" t="s">
        <v>237</v>
      </c>
      <c r="K15" s="86" t="s">
        <v>237</v>
      </c>
    </row>
    <row r="16" spans="2:11" ht="15" customHeight="1">
      <c r="B16" s="7" t="s">
        <v>355</v>
      </c>
      <c r="C16" s="8" t="s">
        <v>356</v>
      </c>
      <c r="D16" s="86" t="s">
        <v>943</v>
      </c>
      <c r="E16" s="86" t="s">
        <v>943</v>
      </c>
      <c r="F16" s="86" t="s">
        <v>944</v>
      </c>
      <c r="G16" s="86" t="s">
        <v>945</v>
      </c>
      <c r="H16" s="86" t="s">
        <v>946</v>
      </c>
      <c r="I16" s="86" t="s">
        <v>943</v>
      </c>
      <c r="J16" s="86" t="s">
        <v>943</v>
      </c>
      <c r="K16" s="86" t="s">
        <v>943</v>
      </c>
    </row>
    <row r="17" spans="2:11" ht="15" customHeight="1">
      <c r="B17" s="7" t="s">
        <v>357</v>
      </c>
      <c r="C17" s="8" t="s">
        <v>294</v>
      </c>
      <c r="D17" s="86" t="s">
        <v>235</v>
      </c>
      <c r="E17" s="86" t="s">
        <v>235</v>
      </c>
      <c r="F17" s="86" t="s">
        <v>235</v>
      </c>
      <c r="G17" s="86" t="s">
        <v>235</v>
      </c>
      <c r="H17" s="86" t="s">
        <v>235</v>
      </c>
      <c r="I17" s="86" t="s">
        <v>235</v>
      </c>
      <c r="J17" s="86" t="s">
        <v>235</v>
      </c>
      <c r="K17" s="86" t="s">
        <v>235</v>
      </c>
    </row>
    <row r="18" spans="2:11" ht="56.5" customHeight="1">
      <c r="B18" s="9" t="s">
        <v>358</v>
      </c>
      <c r="C18" s="10" t="s">
        <v>947</v>
      </c>
      <c r="D18" s="85" t="s">
        <v>948</v>
      </c>
      <c r="E18" s="85" t="s">
        <v>948</v>
      </c>
      <c r="F18" s="85" t="s">
        <v>948</v>
      </c>
      <c r="G18" s="85" t="s">
        <v>948</v>
      </c>
      <c r="H18" s="85" t="s">
        <v>948</v>
      </c>
      <c r="I18" s="85" t="s">
        <v>527</v>
      </c>
      <c r="J18" s="85" t="s">
        <v>527</v>
      </c>
      <c r="K18" s="85" t="s">
        <v>527</v>
      </c>
    </row>
    <row r="19" spans="2:11" ht="56.5" customHeight="1">
      <c r="B19" s="9" t="s">
        <v>361</v>
      </c>
      <c r="C19" s="10" t="s">
        <v>362</v>
      </c>
      <c r="D19" s="85" t="s">
        <v>410</v>
      </c>
      <c r="E19" s="85" t="s">
        <v>410</v>
      </c>
      <c r="F19" s="85" t="s">
        <v>410</v>
      </c>
      <c r="G19" s="85" t="s">
        <v>410</v>
      </c>
      <c r="H19" s="85" t="s">
        <v>410</v>
      </c>
      <c r="I19" s="85" t="s">
        <v>949</v>
      </c>
      <c r="J19" s="85" t="s">
        <v>949</v>
      </c>
      <c r="K19" s="85" t="s">
        <v>949</v>
      </c>
    </row>
    <row r="20" spans="2:11" ht="45" customHeight="1">
      <c r="B20" s="9" t="s">
        <v>363</v>
      </c>
      <c r="C20" s="10" t="s">
        <v>364</v>
      </c>
      <c r="D20" s="85" t="s">
        <v>410</v>
      </c>
      <c r="E20" s="85" t="s">
        <v>410</v>
      </c>
      <c r="F20" s="85" t="s">
        <v>410</v>
      </c>
      <c r="G20" s="85" t="s">
        <v>410</v>
      </c>
      <c r="H20" s="85" t="s">
        <v>410</v>
      </c>
      <c r="I20" s="85" t="s">
        <v>950</v>
      </c>
      <c r="J20" s="85" t="s">
        <v>950</v>
      </c>
      <c r="K20" s="85" t="s">
        <v>950</v>
      </c>
    </row>
    <row r="21" spans="2:11" ht="47.5" customHeight="1">
      <c r="B21" s="11" t="s">
        <v>365</v>
      </c>
      <c r="C21" s="12" t="s">
        <v>366</v>
      </c>
      <c r="D21" s="85" t="s">
        <v>951</v>
      </c>
      <c r="E21" s="85" t="s">
        <v>951</v>
      </c>
      <c r="F21" s="85" t="s">
        <v>951</v>
      </c>
      <c r="G21" s="85" t="s">
        <v>951</v>
      </c>
      <c r="H21" s="85" t="s">
        <v>951</v>
      </c>
      <c r="I21" s="85" t="s">
        <v>952</v>
      </c>
      <c r="J21" s="85" t="s">
        <v>953</v>
      </c>
      <c r="K21" s="85" t="s">
        <v>954</v>
      </c>
    </row>
    <row r="22" spans="2:11" ht="44.5" customHeight="1">
      <c r="B22" s="11" t="s">
        <v>369</v>
      </c>
      <c r="C22" s="12" t="s">
        <v>370</v>
      </c>
      <c r="D22" s="85" t="s">
        <v>951</v>
      </c>
      <c r="E22" s="85" t="s">
        <v>951</v>
      </c>
      <c r="F22" s="85" t="s">
        <v>951</v>
      </c>
      <c r="G22" s="85" t="s">
        <v>951</v>
      </c>
      <c r="H22" s="85" t="s">
        <v>951</v>
      </c>
      <c r="I22" s="85" t="s">
        <v>951</v>
      </c>
      <c r="J22" s="85" t="s">
        <v>951</v>
      </c>
      <c r="K22" s="85" t="s">
        <v>951</v>
      </c>
    </row>
    <row r="23" spans="2:11" ht="30" customHeight="1">
      <c r="B23" s="13"/>
      <c r="C23" s="87" t="s">
        <v>374</v>
      </c>
      <c r="D23" s="85" t="s">
        <v>374</v>
      </c>
      <c r="E23" s="85" t="s">
        <v>374</v>
      </c>
      <c r="F23" s="85" t="s">
        <v>374</v>
      </c>
      <c r="G23" s="85" t="s">
        <v>374</v>
      </c>
      <c r="H23" s="85" t="s">
        <v>374</v>
      </c>
      <c r="I23" s="85" t="s">
        <v>374</v>
      </c>
      <c r="J23" s="85" t="s">
        <v>374</v>
      </c>
      <c r="K23" s="85" t="s">
        <v>955</v>
      </c>
    </row>
    <row r="24" spans="2:11" ht="45" customHeight="1">
      <c r="B24" s="13" t="s">
        <v>375</v>
      </c>
      <c r="C24" s="14" t="s">
        <v>376</v>
      </c>
      <c r="D24" s="88">
        <v>1937</v>
      </c>
      <c r="E24" s="88">
        <v>1968.2</v>
      </c>
      <c r="F24" s="88">
        <v>1523.88</v>
      </c>
      <c r="G24" s="88">
        <v>1773.08</v>
      </c>
      <c r="H24" s="88">
        <v>2530.52</v>
      </c>
      <c r="I24" s="107">
        <v>198</v>
      </c>
      <c r="J24" s="88">
        <v>96</v>
      </c>
      <c r="K24" s="88">
        <v>179</v>
      </c>
    </row>
    <row r="25" spans="2:11" ht="45" customHeight="1">
      <c r="B25" s="15" t="s">
        <v>377</v>
      </c>
      <c r="C25" s="16" t="s">
        <v>378</v>
      </c>
      <c r="D25" s="89">
        <v>30</v>
      </c>
      <c r="E25" s="89">
        <v>26</v>
      </c>
      <c r="F25" s="85">
        <v>26</v>
      </c>
      <c r="G25" s="85">
        <v>21</v>
      </c>
      <c r="H25" s="85">
        <v>30</v>
      </c>
      <c r="I25" s="106" t="s">
        <v>956</v>
      </c>
      <c r="J25" s="85">
        <v>0</v>
      </c>
      <c r="K25" s="106" t="s">
        <v>957</v>
      </c>
    </row>
    <row r="26" spans="2:11" ht="45" customHeight="1">
      <c r="B26" s="15" t="s">
        <v>380</v>
      </c>
      <c r="C26" s="16" t="s">
        <v>381</v>
      </c>
      <c r="D26" s="89" t="s">
        <v>449</v>
      </c>
      <c r="E26" s="89" t="s">
        <v>449</v>
      </c>
      <c r="F26" s="88" t="s">
        <v>449</v>
      </c>
      <c r="G26" s="85" t="s">
        <v>449</v>
      </c>
      <c r="H26" s="85" t="s">
        <v>449</v>
      </c>
      <c r="I26" s="85" t="s">
        <v>449</v>
      </c>
      <c r="J26" s="85" t="s">
        <v>449</v>
      </c>
      <c r="K26" s="85" t="s">
        <v>449</v>
      </c>
    </row>
    <row r="27" spans="2:11" ht="45" customHeight="1">
      <c r="B27" s="15"/>
      <c r="C27" s="16" t="s">
        <v>383</v>
      </c>
      <c r="D27" s="89"/>
      <c r="E27" s="89"/>
      <c r="F27" s="88"/>
      <c r="G27" s="85"/>
      <c r="H27" s="85"/>
      <c r="I27" s="85">
        <v>45000</v>
      </c>
      <c r="J27" s="85">
        <v>20000</v>
      </c>
      <c r="K27" s="85">
        <v>160000</v>
      </c>
    </row>
    <row r="28" spans="2:11" ht="45" customHeight="1">
      <c r="B28" s="15" t="s">
        <v>384</v>
      </c>
      <c r="C28" s="16" t="s">
        <v>450</v>
      </c>
      <c r="D28" s="89">
        <v>190</v>
      </c>
      <c r="E28" s="89">
        <v>190</v>
      </c>
      <c r="F28" s="88">
        <v>190</v>
      </c>
      <c r="G28" s="85">
        <v>190</v>
      </c>
      <c r="H28" s="85">
        <v>190</v>
      </c>
      <c r="I28" s="85">
        <f>15000/198</f>
        <v>75.757575757575751</v>
      </c>
      <c r="J28" s="85">
        <f>J27/J24</f>
        <v>208.33333333333334</v>
      </c>
      <c r="K28" s="85" t="s">
        <v>958</v>
      </c>
    </row>
    <row r="29" spans="2:11" ht="45" customHeight="1">
      <c r="B29" s="15" t="s">
        <v>387</v>
      </c>
      <c r="C29" s="16" t="s">
        <v>388</v>
      </c>
      <c r="D29" s="89" t="s">
        <v>410</v>
      </c>
      <c r="E29" s="89" t="s">
        <v>410</v>
      </c>
      <c r="F29" s="88" t="s">
        <v>410</v>
      </c>
      <c r="G29" s="85" t="s">
        <v>410</v>
      </c>
      <c r="H29" s="85" t="s">
        <v>410</v>
      </c>
      <c r="I29" s="85" t="s">
        <v>959</v>
      </c>
      <c r="J29" s="85" t="s">
        <v>960</v>
      </c>
      <c r="K29" s="85" t="s">
        <v>961</v>
      </c>
    </row>
    <row r="30" spans="2:11" ht="60" customHeight="1">
      <c r="B30" s="13" t="s">
        <v>390</v>
      </c>
      <c r="C30" s="17" t="s">
        <v>453</v>
      </c>
      <c r="D30" s="88">
        <f>(1900000/(SUM($D$24:$H$24)))*D24</f>
        <v>378138.39559093694</v>
      </c>
      <c r="E30" s="88">
        <f>(1900000/(SUM($D$24:$H$24)))*E24</f>
        <v>384229.21538569027</v>
      </c>
      <c r="F30" s="88">
        <f>(1900000/(SUM($D$24:$H$24)))*F24</f>
        <v>297489.69451374136</v>
      </c>
      <c r="G30" s="88">
        <f>(1900000/(SUM($D$24:$H$24)))*G24</f>
        <v>346138.16543850204</v>
      </c>
      <c r="H30" s="88">
        <f>(1900000/(SUM($D$24:$H$24)))*H24</f>
        <v>494004.52907112945</v>
      </c>
      <c r="I30" s="106" t="s">
        <v>962</v>
      </c>
      <c r="J30" s="85" t="s">
        <v>963</v>
      </c>
      <c r="K30" s="85" t="s">
        <v>964</v>
      </c>
    </row>
    <row r="31" spans="2:11" ht="60" customHeight="1">
      <c r="B31" s="13"/>
      <c r="C31" s="17" t="s">
        <v>393</v>
      </c>
      <c r="D31" s="88"/>
      <c r="E31" s="88"/>
      <c r="F31" s="88"/>
      <c r="G31" s="88"/>
      <c r="H31" s="88"/>
      <c r="I31" s="85">
        <v>88000</v>
      </c>
      <c r="J31" s="85">
        <v>20000</v>
      </c>
      <c r="K31" s="85">
        <v>20000</v>
      </c>
    </row>
    <row r="32" spans="2:11" ht="60" customHeight="1">
      <c r="B32" s="13" t="s">
        <v>394</v>
      </c>
      <c r="C32" s="17" t="s">
        <v>395</v>
      </c>
      <c r="D32" s="85" t="s">
        <v>410</v>
      </c>
      <c r="E32" s="85" t="s">
        <v>410</v>
      </c>
      <c r="F32" s="85" t="s">
        <v>410</v>
      </c>
      <c r="G32" s="85" t="s">
        <v>410</v>
      </c>
      <c r="H32" s="85" t="s">
        <v>410</v>
      </c>
      <c r="I32" s="106" t="s">
        <v>410</v>
      </c>
      <c r="J32" s="106" t="s">
        <v>410</v>
      </c>
      <c r="K32" s="106" t="s">
        <v>410</v>
      </c>
    </row>
    <row r="33" spans="2:11" ht="42.75" customHeight="1">
      <c r="B33" s="18" t="s">
        <v>397</v>
      </c>
      <c r="C33" s="19" t="s">
        <v>313</v>
      </c>
      <c r="D33" s="91" t="s">
        <v>410</v>
      </c>
      <c r="E33" s="91" t="s">
        <v>410</v>
      </c>
      <c r="F33" s="91" t="s">
        <v>410</v>
      </c>
      <c r="G33" s="91" t="s">
        <v>410</v>
      </c>
      <c r="H33" s="91" t="s">
        <v>410</v>
      </c>
      <c r="I33" s="108" t="s">
        <v>965</v>
      </c>
      <c r="J33" s="91">
        <v>44503</v>
      </c>
      <c r="K33" s="108" t="s">
        <v>966</v>
      </c>
    </row>
    <row r="34" spans="2:11" ht="47.25" customHeight="1">
      <c r="B34" s="20" t="s">
        <v>398</v>
      </c>
      <c r="C34" s="19" t="s">
        <v>315</v>
      </c>
      <c r="D34" s="91" t="s">
        <v>410</v>
      </c>
      <c r="E34" s="91" t="s">
        <v>410</v>
      </c>
      <c r="F34" s="91" t="s">
        <v>410</v>
      </c>
      <c r="G34" s="91" t="s">
        <v>410</v>
      </c>
      <c r="H34" s="91" t="s">
        <v>410</v>
      </c>
      <c r="I34" s="108" t="s">
        <v>967</v>
      </c>
      <c r="J34" s="108" t="s">
        <v>410</v>
      </c>
      <c r="K34" s="108" t="s">
        <v>410</v>
      </c>
    </row>
    <row r="35" spans="2:11" ht="48.75" customHeight="1">
      <c r="B35" s="20" t="s">
        <v>399</v>
      </c>
      <c r="C35" s="19" t="s">
        <v>400</v>
      </c>
      <c r="D35" s="85" t="s">
        <v>410</v>
      </c>
      <c r="E35" s="85" t="s">
        <v>410</v>
      </c>
      <c r="F35" s="85" t="s">
        <v>410</v>
      </c>
      <c r="G35" s="85" t="s">
        <v>410</v>
      </c>
      <c r="H35" s="85" t="s">
        <v>410</v>
      </c>
      <c r="I35" s="85" t="s">
        <v>968</v>
      </c>
      <c r="J35" s="93" t="s">
        <v>969</v>
      </c>
      <c r="K35" s="93" t="s">
        <v>970</v>
      </c>
    </row>
    <row r="36" spans="2:11" ht="42">
      <c r="B36" s="20" t="s">
        <v>402</v>
      </c>
      <c r="C36" s="21" t="s">
        <v>403</v>
      </c>
      <c r="D36" s="92" t="s">
        <v>410</v>
      </c>
      <c r="E36" s="92" t="s">
        <v>410</v>
      </c>
      <c r="F36" s="93" t="s">
        <v>410</v>
      </c>
      <c r="G36" s="93" t="s">
        <v>410</v>
      </c>
      <c r="H36" s="93" t="s">
        <v>410</v>
      </c>
      <c r="I36" s="93" t="s">
        <v>971</v>
      </c>
      <c r="J36" s="93" t="s">
        <v>969</v>
      </c>
      <c r="K36" s="93" t="s">
        <v>970</v>
      </c>
    </row>
    <row r="37" spans="2:11" ht="62.5" customHeight="1">
      <c r="B37" s="20" t="s">
        <v>404</v>
      </c>
      <c r="C37" s="21" t="s">
        <v>405</v>
      </c>
      <c r="D37" s="92" t="s">
        <v>410</v>
      </c>
      <c r="E37" s="92" t="s">
        <v>410</v>
      </c>
      <c r="F37" s="93" t="s">
        <v>410</v>
      </c>
      <c r="G37" s="93" t="s">
        <v>410</v>
      </c>
      <c r="H37" s="93" t="s">
        <v>410</v>
      </c>
      <c r="I37" s="93" t="s">
        <v>971</v>
      </c>
      <c r="J37" s="93" t="s">
        <v>969</v>
      </c>
      <c r="K37" s="93" t="s">
        <v>970</v>
      </c>
    </row>
    <row r="38" spans="2:11" ht="30" customHeight="1">
      <c r="B38" s="20" t="s">
        <v>406</v>
      </c>
      <c r="C38" s="21" t="s">
        <v>407</v>
      </c>
      <c r="D38" s="92" t="s">
        <v>410</v>
      </c>
      <c r="E38" s="92" t="s">
        <v>410</v>
      </c>
      <c r="F38" s="93" t="s">
        <v>410</v>
      </c>
      <c r="G38" s="93" t="s">
        <v>410</v>
      </c>
      <c r="H38" s="93" t="s">
        <v>410</v>
      </c>
      <c r="I38" s="93" t="s">
        <v>972</v>
      </c>
      <c r="J38" s="93" t="s">
        <v>972</v>
      </c>
      <c r="K38" s="93" t="s">
        <v>970</v>
      </c>
    </row>
    <row r="39" spans="2:11" ht="30" customHeight="1">
      <c r="B39" s="20" t="s">
        <v>408</v>
      </c>
      <c r="C39" s="21" t="s">
        <v>409</v>
      </c>
      <c r="D39" s="92" t="s">
        <v>410</v>
      </c>
      <c r="E39" s="92" t="s">
        <v>410</v>
      </c>
      <c r="F39" s="93" t="s">
        <v>410</v>
      </c>
      <c r="G39" s="93" t="s">
        <v>410</v>
      </c>
      <c r="H39" s="93" t="s">
        <v>410</v>
      </c>
      <c r="I39" s="93" t="s">
        <v>971</v>
      </c>
      <c r="J39" s="93" t="s">
        <v>973</v>
      </c>
      <c r="K39" s="93" t="s">
        <v>970</v>
      </c>
    </row>
    <row r="40" spans="2:11" ht="45" customHeight="1">
      <c r="B40" s="20" t="s">
        <v>411</v>
      </c>
      <c r="C40" s="21" t="s">
        <v>314</v>
      </c>
      <c r="D40" s="92" t="s">
        <v>410</v>
      </c>
      <c r="E40" s="92" t="s">
        <v>410</v>
      </c>
      <c r="F40" s="93" t="s">
        <v>410</v>
      </c>
      <c r="G40" s="93" t="s">
        <v>410</v>
      </c>
      <c r="H40" s="93" t="s">
        <v>410</v>
      </c>
      <c r="I40" s="93" t="s">
        <v>974</v>
      </c>
      <c r="J40" s="93" t="s">
        <v>974</v>
      </c>
      <c r="K40" s="93" t="s">
        <v>974</v>
      </c>
    </row>
    <row r="41" spans="2:11" ht="60" customHeight="1">
      <c r="B41" s="22" t="s">
        <v>412</v>
      </c>
      <c r="C41" s="23" t="s">
        <v>413</v>
      </c>
      <c r="D41" s="92" t="s">
        <v>414</v>
      </c>
      <c r="E41" s="94" t="s">
        <v>975</v>
      </c>
      <c r="F41" s="92" t="s">
        <v>414</v>
      </c>
      <c r="G41" s="92" t="s">
        <v>414</v>
      </c>
      <c r="H41" s="92" t="s">
        <v>414</v>
      </c>
      <c r="I41" s="92" t="s">
        <v>950</v>
      </c>
      <c r="J41" s="92" t="s">
        <v>950</v>
      </c>
      <c r="K41" s="92" t="s">
        <v>950</v>
      </c>
    </row>
    <row r="42" spans="2:11" ht="75" customHeight="1">
      <c r="B42" s="24" t="s">
        <v>457</v>
      </c>
      <c r="C42" s="23" t="s">
        <v>458</v>
      </c>
      <c r="D42" s="95" t="s">
        <v>328</v>
      </c>
      <c r="E42" s="95" t="s">
        <v>414</v>
      </c>
      <c r="F42" s="95" t="s">
        <v>328</v>
      </c>
      <c r="G42" s="95" t="s">
        <v>328</v>
      </c>
      <c r="H42" s="95" t="s">
        <v>328</v>
      </c>
      <c r="I42" s="95" t="s">
        <v>976</v>
      </c>
      <c r="J42" s="95" t="s">
        <v>977</v>
      </c>
      <c r="K42" s="95" t="s">
        <v>978</v>
      </c>
    </row>
    <row r="43" spans="2:11" ht="60" customHeight="1">
      <c r="B43" s="25" t="s">
        <v>418</v>
      </c>
      <c r="C43" s="26" t="s">
        <v>419</v>
      </c>
      <c r="D43" s="85" t="s">
        <v>414</v>
      </c>
      <c r="E43" s="85" t="s">
        <v>546</v>
      </c>
      <c r="F43" s="85" t="s">
        <v>414</v>
      </c>
      <c r="G43" s="85" t="s">
        <v>414</v>
      </c>
      <c r="H43" s="85" t="s">
        <v>674</v>
      </c>
      <c r="I43" s="85" t="s">
        <v>414</v>
      </c>
      <c r="J43" s="85"/>
      <c r="K43" s="85" t="s">
        <v>414</v>
      </c>
    </row>
    <row r="44" spans="2:11" ht="75" customHeight="1">
      <c r="B44" s="25" t="s">
        <v>420</v>
      </c>
      <c r="C44" s="26" t="s">
        <v>421</v>
      </c>
      <c r="D44" s="85" t="s">
        <v>328</v>
      </c>
      <c r="E44" s="85" t="s">
        <v>328</v>
      </c>
      <c r="F44" s="85" t="s">
        <v>328</v>
      </c>
      <c r="G44" s="85" t="s">
        <v>328</v>
      </c>
      <c r="H44" s="85" t="s">
        <v>328</v>
      </c>
      <c r="I44" s="85" t="s">
        <v>328</v>
      </c>
      <c r="J44" s="85" t="s">
        <v>950</v>
      </c>
      <c r="K44" s="85" t="s">
        <v>950</v>
      </c>
    </row>
    <row r="45" spans="2:11">
      <c r="B45" s="27"/>
      <c r="C45" s="27"/>
      <c r="D45" s="27"/>
      <c r="E45" s="27"/>
      <c r="F45" s="27"/>
      <c r="G45" s="27"/>
      <c r="H45" s="27"/>
      <c r="I45" s="27"/>
      <c r="J45" s="27"/>
      <c r="K45" s="27"/>
    </row>
    <row r="46" spans="2:11" ht="45" customHeight="1">
      <c r="B46" s="27"/>
      <c r="C46" s="28" t="s">
        <v>979</v>
      </c>
      <c r="D46" s="85">
        <v>130</v>
      </c>
      <c r="E46" s="85">
        <v>203</v>
      </c>
      <c r="F46" s="85">
        <v>0</v>
      </c>
      <c r="G46" s="85">
        <v>310</v>
      </c>
      <c r="H46" s="85">
        <v>305</v>
      </c>
      <c r="I46" s="85">
        <v>25</v>
      </c>
      <c r="J46" s="85">
        <v>0</v>
      </c>
      <c r="K46" s="85"/>
    </row>
    <row r="47" spans="2:11" ht="30" customHeight="1">
      <c r="B47" s="27"/>
      <c r="C47" s="29" t="s">
        <v>424</v>
      </c>
      <c r="D47" s="85">
        <v>130</v>
      </c>
      <c r="E47" s="85">
        <v>199</v>
      </c>
      <c r="F47" s="85">
        <v>0</v>
      </c>
      <c r="G47" s="85">
        <v>0</v>
      </c>
      <c r="H47" s="85">
        <v>180</v>
      </c>
      <c r="I47" s="85">
        <v>25</v>
      </c>
      <c r="J47" s="85">
        <v>0</v>
      </c>
      <c r="K47" s="85"/>
    </row>
    <row r="48" spans="2:11" ht="15" customHeight="1">
      <c r="B48" s="27"/>
      <c r="C48" s="29" t="s">
        <v>425</v>
      </c>
      <c r="D48" s="85">
        <f>-D47+D46</f>
        <v>0</v>
      </c>
      <c r="E48" s="85">
        <f>-E47+E46</f>
        <v>4</v>
      </c>
      <c r="F48" s="85">
        <f>-F47+F46</f>
        <v>0</v>
      </c>
      <c r="G48" s="85">
        <f>-G47+G46</f>
        <v>310</v>
      </c>
      <c r="H48" s="85">
        <f>-H47+H46</f>
        <v>125</v>
      </c>
      <c r="I48" s="85">
        <v>0</v>
      </c>
      <c r="J48" s="85">
        <v>0</v>
      </c>
      <c r="K48" s="85"/>
    </row>
    <row r="49" spans="2:11" ht="11" customHeight="1">
      <c r="B49" s="27"/>
      <c r="C49" s="30"/>
      <c r="D49" s="96"/>
      <c r="E49" s="96"/>
      <c r="F49" s="96"/>
      <c r="G49" s="96"/>
      <c r="H49" s="96"/>
      <c r="I49" s="96"/>
      <c r="J49" s="96"/>
      <c r="K49" s="96"/>
    </row>
    <row r="50" spans="2:11" ht="30" customHeight="1">
      <c r="B50" s="27"/>
      <c r="C50" s="28" t="s">
        <v>426</v>
      </c>
      <c r="D50" s="85">
        <v>137</v>
      </c>
      <c r="E50" s="85">
        <v>125</v>
      </c>
      <c r="F50" s="85">
        <v>0</v>
      </c>
      <c r="G50" s="85">
        <v>206</v>
      </c>
      <c r="H50" s="85">
        <v>192</v>
      </c>
      <c r="I50" s="85">
        <v>16</v>
      </c>
      <c r="J50" s="85">
        <v>0</v>
      </c>
      <c r="K50" s="85"/>
    </row>
    <row r="51" spans="2:11" ht="30" customHeight="1">
      <c r="B51" s="27"/>
      <c r="C51" s="29" t="s">
        <v>424</v>
      </c>
      <c r="D51" s="85"/>
      <c r="E51" s="85"/>
      <c r="F51" s="85"/>
      <c r="G51" s="85"/>
      <c r="H51" s="85"/>
      <c r="I51" s="85">
        <v>16</v>
      </c>
      <c r="J51" s="85">
        <v>0</v>
      </c>
      <c r="K51" s="85"/>
    </row>
    <row r="52" spans="2:11" ht="15" customHeight="1">
      <c r="B52" s="27"/>
      <c r="C52" s="29" t="s">
        <v>425</v>
      </c>
      <c r="D52" s="85"/>
      <c r="E52" s="85"/>
      <c r="F52" s="85"/>
      <c r="G52" s="85"/>
      <c r="H52" s="85"/>
      <c r="I52" s="85">
        <v>0</v>
      </c>
      <c r="J52" s="85">
        <v>0</v>
      </c>
      <c r="K52" s="85"/>
    </row>
    <row r="53" spans="2:11" ht="11.5" customHeight="1">
      <c r="B53" s="27"/>
      <c r="C53" s="31"/>
      <c r="D53" s="96"/>
      <c r="E53" s="96"/>
      <c r="F53" s="96"/>
      <c r="G53" s="96"/>
      <c r="H53" s="96"/>
      <c r="I53" s="96"/>
      <c r="J53" s="96"/>
      <c r="K53" s="96"/>
    </row>
    <row r="54" spans="2:11" ht="30" customHeight="1">
      <c r="B54" s="27"/>
      <c r="C54" s="28" t="s">
        <v>427</v>
      </c>
      <c r="D54" s="85"/>
      <c r="E54" s="85"/>
      <c r="F54" s="85"/>
      <c r="G54" s="85"/>
      <c r="H54" s="85"/>
      <c r="I54" s="85"/>
      <c r="J54" s="85">
        <v>0</v>
      </c>
      <c r="K54" s="85"/>
    </row>
    <row r="55" spans="2:11" ht="30" customHeight="1">
      <c r="B55" s="27"/>
      <c r="C55" s="28" t="s">
        <v>428</v>
      </c>
      <c r="D55" s="85">
        <v>0</v>
      </c>
      <c r="E55" s="85">
        <v>0</v>
      </c>
      <c r="F55" s="85">
        <v>0</v>
      </c>
      <c r="G55" s="85">
        <v>0</v>
      </c>
      <c r="H55" s="85">
        <v>0</v>
      </c>
      <c r="I55" s="85"/>
      <c r="J55" s="85">
        <v>0</v>
      </c>
      <c r="K55" s="85"/>
    </row>
    <row r="56" spans="2:11" ht="30" customHeight="1">
      <c r="B56" s="27"/>
      <c r="C56" s="28" t="s">
        <v>429</v>
      </c>
      <c r="D56" s="85">
        <v>0</v>
      </c>
      <c r="E56" s="85">
        <v>0</v>
      </c>
      <c r="F56" s="85">
        <v>0</v>
      </c>
      <c r="G56" s="85">
        <v>0</v>
      </c>
      <c r="H56" s="85">
        <v>0</v>
      </c>
      <c r="I56" s="85"/>
      <c r="J56" s="85">
        <v>0</v>
      </c>
      <c r="K56" s="85"/>
    </row>
    <row r="57" spans="2:11" ht="43" customHeight="1">
      <c r="B57" s="27"/>
      <c r="C57" s="28" t="s">
        <v>430</v>
      </c>
      <c r="D57" s="85"/>
      <c r="E57" s="85"/>
      <c r="F57" s="85"/>
      <c r="G57" s="85"/>
      <c r="H57" s="85"/>
      <c r="I57" s="85"/>
      <c r="J57" s="85"/>
      <c r="K57" s="85"/>
    </row>
    <row r="58" spans="2:11" ht="43.5" customHeight="1">
      <c r="B58" s="27"/>
      <c r="C58" s="28" t="s">
        <v>431</v>
      </c>
      <c r="D58" s="85"/>
      <c r="E58" s="85"/>
      <c r="F58" s="85"/>
      <c r="G58" s="85"/>
      <c r="H58" s="85"/>
      <c r="I58" s="85"/>
      <c r="J58" s="85"/>
      <c r="K58" s="85"/>
    </row>
    <row r="61" spans="2:11" ht="15">
      <c r="D61" s="1" t="s">
        <v>432</v>
      </c>
    </row>
    <row r="62" spans="2:11">
      <c r="D62" s="97" t="s">
        <v>433</v>
      </c>
    </row>
    <row r="63" spans="2:11">
      <c r="D63" s="98" t="s">
        <v>434</v>
      </c>
    </row>
    <row r="64" spans="2:11">
      <c r="D64" s="98" t="s">
        <v>435</v>
      </c>
    </row>
    <row r="65" spans="4:4">
      <c r="D65" s="98" t="s">
        <v>436</v>
      </c>
    </row>
    <row r="66" spans="4:4">
      <c r="D66" s="98" t="s">
        <v>437</v>
      </c>
    </row>
    <row r="67" spans="4:4">
      <c r="D67" s="98" t="s">
        <v>438</v>
      </c>
    </row>
    <row r="69" spans="4:4" ht="15">
      <c r="D69" s="99" t="s">
        <v>439</v>
      </c>
    </row>
  </sheetData>
  <mergeCells count="2">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104"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32">
    <cfRule type="expression" dxfId="103" priority="1">
      <formula>#REF!="Owned"</formula>
    </cfRule>
  </conditionalFormatting>
  <dataValidations count="1">
    <dataValidation type="list" allowBlank="1" showInputMessage="1" showErrorMessage="1" sqref="I6:J6 E6" xr:uid="{B3235E49-1E06-4B3D-BBA2-A84E7233C5CC}">
      <formula1>"Yes, No"</formula1>
    </dataValidation>
  </dataValidations>
  <hyperlinks>
    <hyperlink ref="D9" r:id="rId1" xr:uid="{A69581BC-87EF-42E6-8261-B407B775A7BF}"/>
  </hyperlinks>
  <pageMargins left="0.7" right="0.7" top="0.75" bottom="0.75" header="0.3" footer="0.3"/>
  <pageSetup scale="22" orientation="portrait" horizontalDpi="90" verticalDpi="90" r:id="rId2"/>
  <headerFooter>
    <oddHeader>&amp;C&amp;"Calibri"&amp;10&amp;K000000 Internal&amp;1#_x000D_&amp;"Arial"&amp;10&amp;K000000&amp;"Arial"&amp;10&amp;K000000</oddHeader>
  </headerFooter>
  <colBreaks count="1" manualBreakCount="1">
    <brk id="8" max="1048575" man="1"/>
  </colBreaks>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FCD09-4F7F-402A-88D2-79C728EE773F}">
  <sheetPr codeName="Feuil23">
    <tabColor rgb="FF00B050"/>
    <pageSetUpPr fitToPage="1"/>
  </sheetPr>
  <dimension ref="B2:Q68"/>
  <sheetViews>
    <sheetView topLeftCell="A42" zoomScale="70" zoomScaleNormal="70" workbookViewId="0">
      <selection activeCell="G25" sqref="G25"/>
    </sheetView>
  </sheetViews>
  <sheetFormatPr baseColWidth="10" defaultColWidth="9.1640625" defaultRowHeight="36.5" customHeight="1"/>
  <cols>
    <col min="1" max="1" width="2.5" style="1" customWidth="1"/>
    <col min="2" max="2" width="24.1640625" style="1" customWidth="1"/>
    <col min="3" max="3" width="25.5" style="1" customWidth="1"/>
    <col min="4" max="4" width="41.83203125" style="1" customWidth="1"/>
    <col min="5" max="5" width="22.83203125" style="1" customWidth="1"/>
    <col min="6" max="6" width="43.6640625" style="1" customWidth="1"/>
    <col min="7" max="17" width="22.83203125" style="1" customWidth="1"/>
    <col min="18" max="16384" width="9.1640625" style="1"/>
  </cols>
  <sheetData>
    <row r="2" spans="2:17" ht="36.5" customHeight="1">
      <c r="C2" s="506" t="s">
        <v>323</v>
      </c>
      <c r="D2" s="509" t="s">
        <v>980</v>
      </c>
      <c r="E2" s="315"/>
      <c r="F2" s="3"/>
      <c r="G2" s="3"/>
      <c r="H2" s="4"/>
    </row>
    <row r="4" spans="2:17" ht="36.5" customHeight="1">
      <c r="C4" s="316" t="s">
        <v>324</v>
      </c>
      <c r="D4" s="82" t="s">
        <v>96</v>
      </c>
      <c r="E4" s="82" t="s">
        <v>96</v>
      </c>
      <c r="F4" s="82" t="s">
        <v>96</v>
      </c>
      <c r="H4" s="5"/>
    </row>
    <row r="6" spans="2:17" ht="36.5" customHeight="1">
      <c r="B6" s="1" t="s">
        <v>326</v>
      </c>
      <c r="C6" s="589" t="s">
        <v>327</v>
      </c>
      <c r="D6" s="591"/>
      <c r="E6" s="6" t="s">
        <v>414</v>
      </c>
      <c r="F6" s="101"/>
      <c r="G6" s="101"/>
    </row>
    <row r="7" spans="2:17" ht="36.5" customHeight="1">
      <c r="B7" s="1" t="s">
        <v>326</v>
      </c>
      <c r="C7" s="589" t="s">
        <v>329</v>
      </c>
      <c r="D7" s="591"/>
      <c r="E7" s="82">
        <v>3</v>
      </c>
      <c r="F7" s="101"/>
      <c r="G7" s="101"/>
    </row>
    <row r="8" spans="2:17" ht="36.5" customHeight="1">
      <c r="C8" s="113"/>
      <c r="D8" s="113"/>
      <c r="E8" s="42"/>
      <c r="F8" s="101"/>
      <c r="G8" s="101"/>
    </row>
    <row r="9" spans="2:17" ht="36.5" customHeight="1">
      <c r="C9" s="318" t="s">
        <v>441</v>
      </c>
      <c r="D9" s="67"/>
      <c r="E9" s="67"/>
      <c r="F9" s="67"/>
      <c r="G9" s="67"/>
      <c r="H9" s="67"/>
      <c r="I9" s="67"/>
      <c r="J9" s="67"/>
      <c r="K9" s="67"/>
      <c r="L9" s="67"/>
      <c r="M9" s="67"/>
      <c r="N9" s="67"/>
      <c r="O9" s="67"/>
      <c r="P9" s="67"/>
    </row>
    <row r="10" spans="2:17" ht="36.5" customHeight="1">
      <c r="C10" s="104" t="s">
        <v>331</v>
      </c>
      <c r="D10" s="349" t="s">
        <v>981</v>
      </c>
      <c r="E10" s="114" t="s">
        <v>982</v>
      </c>
      <c r="F10" s="350" t="s">
        <v>983</v>
      </c>
      <c r="G10" s="114" t="s">
        <v>336</v>
      </c>
      <c r="H10" s="114" t="s">
        <v>337</v>
      </c>
      <c r="I10" s="114" t="s">
        <v>338</v>
      </c>
      <c r="J10" s="114" t="s">
        <v>339</v>
      </c>
      <c r="K10" s="114" t="s">
        <v>340</v>
      </c>
      <c r="L10" s="114" t="s">
        <v>341</v>
      </c>
      <c r="M10" s="114" t="s">
        <v>342</v>
      </c>
      <c r="N10" s="114" t="s">
        <v>343</v>
      </c>
      <c r="O10" s="114" t="s">
        <v>344</v>
      </c>
      <c r="P10" s="114" t="s">
        <v>345</v>
      </c>
      <c r="Q10" s="114" t="s">
        <v>346</v>
      </c>
    </row>
    <row r="11" spans="2:17" ht="36.5" customHeight="1">
      <c r="C11" s="104" t="str">
        <f>D4</f>
        <v>BU Italy</v>
      </c>
      <c r="D11" s="131" t="s">
        <v>984</v>
      </c>
      <c r="E11" s="84" t="s">
        <v>985</v>
      </c>
      <c r="F11" s="131" t="s">
        <v>986</v>
      </c>
      <c r="G11" s="84"/>
      <c r="H11" s="84"/>
      <c r="I11" s="84"/>
      <c r="J11" s="84"/>
      <c r="K11" s="84"/>
      <c r="L11" s="84"/>
      <c r="M11" s="84"/>
      <c r="N11" s="84"/>
      <c r="O11" s="84"/>
      <c r="P11" s="84"/>
      <c r="Q11" s="84"/>
    </row>
    <row r="12" spans="2:17" ht="36.5" customHeight="1">
      <c r="C12" s="68"/>
      <c r="D12" s="320"/>
      <c r="E12" s="321"/>
      <c r="F12" s="321"/>
      <c r="G12" s="321"/>
      <c r="H12" s="321"/>
      <c r="I12" s="322"/>
      <c r="J12" s="322"/>
      <c r="K12" s="322"/>
      <c r="L12" s="322"/>
      <c r="M12" s="322"/>
      <c r="N12" s="322"/>
      <c r="O12" s="322"/>
      <c r="P12" s="322"/>
      <c r="Q12" s="322"/>
    </row>
    <row r="13" spans="2:17" ht="36.5" customHeight="1">
      <c r="B13" s="7" t="s">
        <v>348</v>
      </c>
      <c r="C13" s="8" t="s">
        <v>349</v>
      </c>
      <c r="D13" s="118" t="s">
        <v>987</v>
      </c>
      <c r="E13" s="118" t="s">
        <v>988</v>
      </c>
      <c r="F13" s="351" t="s">
        <v>445</v>
      </c>
      <c r="G13" s="118"/>
      <c r="H13" s="118"/>
      <c r="I13" s="118"/>
      <c r="J13" s="118"/>
      <c r="K13" s="118"/>
      <c r="L13" s="118"/>
      <c r="M13" s="118"/>
      <c r="N13" s="118"/>
      <c r="O13" s="118"/>
      <c r="P13" s="118"/>
      <c r="Q13" s="118"/>
    </row>
    <row r="14" spans="2:17" ht="36.5" customHeight="1">
      <c r="B14" s="7" t="s">
        <v>352</v>
      </c>
      <c r="C14" s="8" t="s">
        <v>297</v>
      </c>
      <c r="D14" s="85" t="s">
        <v>100</v>
      </c>
      <c r="E14" s="85" t="s">
        <v>102</v>
      </c>
      <c r="F14" s="352" t="s">
        <v>98</v>
      </c>
      <c r="G14" s="85"/>
      <c r="H14" s="85"/>
      <c r="I14" s="85"/>
      <c r="J14" s="85"/>
      <c r="K14" s="85"/>
      <c r="L14" s="85"/>
      <c r="M14" s="85"/>
      <c r="N14" s="85"/>
      <c r="O14" s="85"/>
      <c r="P14" s="85"/>
      <c r="Q14" s="85"/>
    </row>
    <row r="15" spans="2:17" ht="36.5" customHeight="1">
      <c r="B15" s="7" t="s">
        <v>353</v>
      </c>
      <c r="C15" s="8" t="s">
        <v>354</v>
      </c>
      <c r="D15" s="85" t="s">
        <v>101</v>
      </c>
      <c r="E15" s="85" t="s">
        <v>103</v>
      </c>
      <c r="F15" s="352" t="s">
        <v>99</v>
      </c>
      <c r="G15" s="85"/>
      <c r="H15" s="85"/>
      <c r="I15" s="85"/>
      <c r="J15" s="85"/>
      <c r="K15" s="85"/>
      <c r="L15" s="85"/>
      <c r="M15" s="85"/>
      <c r="N15" s="85"/>
      <c r="O15" s="85"/>
      <c r="P15" s="85"/>
      <c r="Q15" s="85"/>
    </row>
    <row r="16" spans="2:17" ht="36.5" customHeight="1">
      <c r="B16" s="7" t="s">
        <v>355</v>
      </c>
      <c r="C16" s="8" t="s">
        <v>356</v>
      </c>
      <c r="D16" s="85">
        <v>20139</v>
      </c>
      <c r="E16" s="85">
        <v>73042</v>
      </c>
      <c r="F16" s="352">
        <v>40055</v>
      </c>
      <c r="G16" s="85"/>
      <c r="H16" s="85"/>
      <c r="I16" s="85"/>
      <c r="J16" s="85"/>
      <c r="K16" s="85"/>
      <c r="L16" s="85"/>
      <c r="M16" s="85"/>
      <c r="N16" s="85"/>
      <c r="O16" s="85"/>
      <c r="P16" s="85"/>
      <c r="Q16" s="85"/>
    </row>
    <row r="17" spans="2:17" ht="36.5" customHeight="1">
      <c r="B17" s="7" t="s">
        <v>357</v>
      </c>
      <c r="C17" s="8" t="s">
        <v>294</v>
      </c>
      <c r="D17" s="85" t="s">
        <v>97</v>
      </c>
      <c r="E17" s="85" t="s">
        <v>97</v>
      </c>
      <c r="F17" s="85" t="s">
        <v>97</v>
      </c>
      <c r="G17" s="85"/>
      <c r="H17" s="85"/>
      <c r="I17" s="85"/>
      <c r="J17" s="85"/>
      <c r="K17" s="85"/>
      <c r="L17" s="85"/>
      <c r="M17" s="85"/>
      <c r="N17" s="85"/>
      <c r="O17" s="85"/>
      <c r="P17" s="85"/>
      <c r="Q17" s="85"/>
    </row>
    <row r="18" spans="2:17" ht="36.5" customHeight="1">
      <c r="B18" s="9" t="s">
        <v>358</v>
      </c>
      <c r="C18" s="10" t="s">
        <v>359</v>
      </c>
      <c r="D18" s="85" t="s">
        <v>360</v>
      </c>
      <c r="E18" s="85" t="s">
        <v>360</v>
      </c>
      <c r="F18" s="352" t="s">
        <v>360</v>
      </c>
      <c r="G18" s="85"/>
      <c r="H18" s="85"/>
      <c r="I18" s="85"/>
      <c r="J18" s="85"/>
      <c r="K18" s="85"/>
      <c r="L18" s="85"/>
      <c r="M18" s="85"/>
      <c r="N18" s="85"/>
      <c r="O18" s="85"/>
      <c r="P18" s="85"/>
      <c r="Q18" s="85"/>
    </row>
    <row r="19" spans="2:17" ht="36.5" customHeight="1">
      <c r="B19" s="9" t="s">
        <v>361</v>
      </c>
      <c r="C19" s="10" t="s">
        <v>362</v>
      </c>
      <c r="D19" s="85" t="s">
        <v>414</v>
      </c>
      <c r="E19" s="85" t="s">
        <v>328</v>
      </c>
      <c r="F19" s="352" t="s">
        <v>328</v>
      </c>
      <c r="G19" s="85"/>
      <c r="H19" s="85"/>
      <c r="I19" s="85"/>
      <c r="J19" s="85"/>
      <c r="K19" s="85"/>
      <c r="L19" s="85"/>
      <c r="M19" s="85"/>
      <c r="N19" s="85"/>
      <c r="O19" s="85"/>
      <c r="P19" s="85"/>
      <c r="Q19" s="85"/>
    </row>
    <row r="20" spans="2:17" ht="36.5" customHeight="1">
      <c r="B20" s="9" t="s">
        <v>363</v>
      </c>
      <c r="C20" s="10" t="s">
        <v>364</v>
      </c>
      <c r="D20" s="85" t="s">
        <v>414</v>
      </c>
      <c r="E20" s="85" t="s">
        <v>328</v>
      </c>
      <c r="F20" s="352" t="s">
        <v>328</v>
      </c>
      <c r="G20" s="85"/>
      <c r="H20" s="85"/>
      <c r="I20" s="85"/>
      <c r="J20" s="85"/>
      <c r="K20" s="85"/>
      <c r="L20" s="85"/>
      <c r="M20" s="85"/>
      <c r="N20" s="85"/>
      <c r="O20" s="85"/>
      <c r="P20" s="85"/>
      <c r="Q20" s="85"/>
    </row>
    <row r="21" spans="2:17" ht="36.5" customHeight="1">
      <c r="B21" s="11" t="s">
        <v>365</v>
      </c>
      <c r="C21" s="12" t="s">
        <v>366</v>
      </c>
      <c r="D21" s="85" t="s">
        <v>989</v>
      </c>
      <c r="E21" s="85" t="s">
        <v>990</v>
      </c>
      <c r="F21" s="85" t="s">
        <v>990</v>
      </c>
      <c r="G21" s="85"/>
      <c r="H21" s="85"/>
      <c r="I21" s="85"/>
      <c r="J21" s="85"/>
      <c r="K21" s="85"/>
      <c r="L21" s="85"/>
      <c r="M21" s="85"/>
      <c r="N21" s="85"/>
      <c r="O21" s="85"/>
      <c r="P21" s="85"/>
      <c r="Q21" s="85"/>
    </row>
    <row r="22" spans="2:17" ht="36.5" customHeight="1">
      <c r="B22" s="11" t="s">
        <v>369</v>
      </c>
      <c r="C22" s="12" t="s">
        <v>370</v>
      </c>
      <c r="D22" s="85" t="s">
        <v>991</v>
      </c>
      <c r="E22" s="85" t="s">
        <v>992</v>
      </c>
      <c r="F22" s="352" t="s">
        <v>993</v>
      </c>
      <c r="G22" s="85"/>
      <c r="H22" s="85"/>
      <c r="I22" s="85"/>
      <c r="J22" s="85"/>
      <c r="K22" s="85"/>
      <c r="L22" s="85"/>
      <c r="M22" s="85"/>
      <c r="N22" s="85"/>
      <c r="O22" s="85"/>
      <c r="P22" s="85"/>
      <c r="Q22" s="85"/>
    </row>
    <row r="23" spans="2:17" ht="36.5" customHeight="1">
      <c r="B23" s="13"/>
      <c r="C23" s="87" t="s">
        <v>374</v>
      </c>
      <c r="D23" s="131" t="s">
        <v>374</v>
      </c>
      <c r="E23" s="131" t="s">
        <v>374</v>
      </c>
      <c r="F23" s="511" t="s">
        <v>374</v>
      </c>
      <c r="G23" s="85"/>
      <c r="H23" s="85"/>
      <c r="I23" s="85"/>
      <c r="J23" s="85"/>
      <c r="K23" s="85"/>
      <c r="L23" s="85"/>
      <c r="M23" s="85"/>
      <c r="N23" s="85"/>
      <c r="O23" s="85"/>
      <c r="P23" s="85"/>
      <c r="Q23" s="85"/>
    </row>
    <row r="24" spans="2:17" ht="36.5" customHeight="1">
      <c r="B24" s="13" t="s">
        <v>375</v>
      </c>
      <c r="C24" s="14" t="s">
        <v>376</v>
      </c>
      <c r="D24" s="88">
        <v>2314</v>
      </c>
      <c r="E24" s="88">
        <v>1305</v>
      </c>
      <c r="F24" s="352">
        <v>120</v>
      </c>
      <c r="G24" s="88"/>
      <c r="H24" s="88"/>
      <c r="I24" s="88"/>
      <c r="J24" s="88"/>
      <c r="K24" s="88"/>
      <c r="L24" s="88"/>
      <c r="M24" s="88"/>
      <c r="N24" s="88"/>
      <c r="O24" s="88"/>
      <c r="P24" s="88"/>
      <c r="Q24" s="88"/>
    </row>
    <row r="25" spans="2:17" ht="36.5" customHeight="1">
      <c r="B25" s="15" t="s">
        <v>377</v>
      </c>
      <c r="C25" s="16" t="s">
        <v>378</v>
      </c>
      <c r="D25" s="119">
        <v>25</v>
      </c>
      <c r="E25" s="119">
        <v>1</v>
      </c>
      <c r="F25" s="352">
        <v>0</v>
      </c>
      <c r="G25" s="85"/>
      <c r="H25" s="85"/>
      <c r="I25" s="85"/>
      <c r="J25" s="85"/>
      <c r="K25" s="85"/>
      <c r="L25" s="85"/>
      <c r="M25" s="85"/>
      <c r="N25" s="85"/>
      <c r="O25" s="85"/>
      <c r="P25" s="85"/>
      <c r="Q25" s="85"/>
    </row>
    <row r="26" spans="2:17" ht="36.5" customHeight="1">
      <c r="B26" s="15" t="s">
        <v>380</v>
      </c>
      <c r="C26" s="16" t="s">
        <v>381</v>
      </c>
      <c r="D26" s="89" t="s">
        <v>449</v>
      </c>
      <c r="E26" s="89" t="s">
        <v>449</v>
      </c>
      <c r="F26" s="85" t="s">
        <v>449</v>
      </c>
      <c r="G26" s="85"/>
      <c r="H26" s="85"/>
      <c r="I26" s="85"/>
      <c r="J26" s="85"/>
      <c r="K26" s="85"/>
      <c r="L26" s="85"/>
      <c r="M26" s="85"/>
      <c r="N26" s="85"/>
      <c r="O26" s="85"/>
      <c r="P26" s="85"/>
      <c r="Q26" s="85"/>
    </row>
    <row r="27" spans="2:17" ht="36.5" customHeight="1">
      <c r="B27" s="323" t="s">
        <v>383</v>
      </c>
      <c r="C27" s="324" t="s">
        <v>383</v>
      </c>
      <c r="D27" s="353" t="s">
        <v>994</v>
      </c>
      <c r="E27" s="353" t="s">
        <v>995</v>
      </c>
      <c r="F27" s="353" t="s">
        <v>996</v>
      </c>
      <c r="G27" s="85"/>
      <c r="H27" s="85"/>
      <c r="I27" s="85"/>
      <c r="J27" s="85"/>
      <c r="K27" s="85"/>
      <c r="L27" s="85"/>
      <c r="M27" s="85"/>
      <c r="N27" s="85"/>
      <c r="O27" s="85"/>
      <c r="P27" s="85"/>
      <c r="Q27" s="85"/>
    </row>
    <row r="28" spans="2:17" ht="36.5" customHeight="1">
      <c r="B28" s="15" t="s">
        <v>384</v>
      </c>
      <c r="C28" s="16" t="s">
        <v>450</v>
      </c>
      <c r="D28" s="353">
        <f>675000/D24</f>
        <v>291.70267934312881</v>
      </c>
      <c r="E28" s="353">
        <f>(52661/1305)</f>
        <v>40.353256704980843</v>
      </c>
      <c r="F28" s="354">
        <v>186</v>
      </c>
      <c r="G28" s="85"/>
      <c r="H28" s="85"/>
      <c r="I28" s="85"/>
      <c r="J28" s="85"/>
      <c r="K28" s="85"/>
      <c r="L28" s="85"/>
      <c r="M28" s="85"/>
      <c r="N28" s="85"/>
      <c r="O28" s="85"/>
      <c r="P28" s="85"/>
      <c r="Q28" s="85"/>
    </row>
    <row r="29" spans="2:17" ht="75.5" customHeight="1">
      <c r="B29" s="15" t="s">
        <v>387</v>
      </c>
      <c r="C29" s="16" t="s">
        <v>388</v>
      </c>
      <c r="D29" s="353" t="s">
        <v>997</v>
      </c>
      <c r="E29" s="353" t="s">
        <v>998</v>
      </c>
      <c r="F29" s="85" t="s">
        <v>636</v>
      </c>
      <c r="G29" s="85"/>
      <c r="H29" s="85"/>
      <c r="I29" s="85"/>
      <c r="J29" s="85"/>
      <c r="K29" s="85"/>
      <c r="L29" s="85"/>
      <c r="M29" s="85"/>
      <c r="N29" s="85"/>
      <c r="O29" s="85"/>
      <c r="P29" s="85"/>
      <c r="Q29" s="85"/>
    </row>
    <row r="30" spans="2:17" ht="59" customHeight="1">
      <c r="B30" s="13" t="s">
        <v>390</v>
      </c>
      <c r="C30" s="17" t="s">
        <v>453</v>
      </c>
      <c r="D30" s="355">
        <v>335000</v>
      </c>
      <c r="E30" s="355">
        <v>70000</v>
      </c>
      <c r="F30" s="354">
        <v>13500</v>
      </c>
      <c r="G30" s="85"/>
      <c r="H30" s="85"/>
      <c r="I30" s="85"/>
      <c r="J30" s="85"/>
      <c r="K30" s="85"/>
      <c r="L30" s="85"/>
      <c r="M30" s="85"/>
      <c r="N30" s="85"/>
      <c r="O30" s="85"/>
      <c r="P30" s="85"/>
      <c r="Q30" s="85"/>
    </row>
    <row r="31" spans="2:17" ht="36.5" customHeight="1">
      <c r="B31" s="326"/>
      <c r="C31" s="327" t="s">
        <v>393</v>
      </c>
      <c r="D31" s="356"/>
      <c r="E31" s="355"/>
      <c r="F31" s="354"/>
      <c r="G31" s="85"/>
      <c r="H31" s="85"/>
      <c r="I31" s="85"/>
      <c r="J31" s="85"/>
      <c r="K31" s="85"/>
      <c r="L31" s="85"/>
      <c r="M31" s="85"/>
      <c r="N31" s="85"/>
      <c r="O31" s="85"/>
      <c r="P31" s="85"/>
      <c r="Q31" s="85"/>
    </row>
    <row r="32" spans="2:17" ht="45" customHeight="1">
      <c r="B32" s="13" t="s">
        <v>394</v>
      </c>
      <c r="C32" s="17" t="s">
        <v>395</v>
      </c>
      <c r="D32" s="357" t="s">
        <v>999</v>
      </c>
      <c r="E32" s="357" t="s">
        <v>999</v>
      </c>
      <c r="F32" s="135" t="s">
        <v>999</v>
      </c>
      <c r="G32" s="85"/>
      <c r="H32" s="85"/>
      <c r="I32" s="85"/>
      <c r="J32" s="85"/>
      <c r="K32" s="85"/>
      <c r="L32" s="85"/>
      <c r="M32" s="85"/>
      <c r="N32" s="85"/>
      <c r="O32" s="85"/>
      <c r="P32" s="85"/>
      <c r="Q32" s="85"/>
    </row>
    <row r="33" spans="2:17" ht="36.5" customHeight="1">
      <c r="B33" s="18" t="s">
        <v>397</v>
      </c>
      <c r="C33" s="19" t="s">
        <v>313</v>
      </c>
      <c r="D33" s="358">
        <v>45838</v>
      </c>
      <c r="E33" s="91">
        <v>43101</v>
      </c>
      <c r="F33" s="91">
        <v>44563</v>
      </c>
      <c r="G33" s="91"/>
      <c r="H33" s="91"/>
      <c r="I33" s="85"/>
      <c r="J33" s="85"/>
      <c r="K33" s="85"/>
      <c r="L33" s="85"/>
      <c r="M33" s="85"/>
      <c r="N33" s="85"/>
      <c r="O33" s="85"/>
      <c r="P33" s="85"/>
      <c r="Q33" s="85"/>
    </row>
    <row r="34" spans="2:17" ht="36.5" customHeight="1">
      <c r="B34" s="20" t="s">
        <v>398</v>
      </c>
      <c r="C34" s="19" t="s">
        <v>315</v>
      </c>
      <c r="D34" s="358">
        <v>48394</v>
      </c>
      <c r="E34" s="359">
        <v>47848</v>
      </c>
      <c r="F34" s="91">
        <v>46811</v>
      </c>
      <c r="G34" s="91"/>
      <c r="H34" s="91"/>
      <c r="I34" s="85"/>
      <c r="J34" s="85"/>
      <c r="K34" s="85"/>
      <c r="L34" s="85"/>
      <c r="M34" s="85"/>
      <c r="N34" s="85"/>
      <c r="O34" s="85"/>
      <c r="P34" s="85"/>
      <c r="Q34" s="85"/>
    </row>
    <row r="35" spans="2:17" ht="36.5" customHeight="1">
      <c r="B35" s="20" t="s">
        <v>399</v>
      </c>
      <c r="C35" s="19" t="s">
        <v>400</v>
      </c>
      <c r="D35" s="358">
        <v>48028</v>
      </c>
      <c r="E35" s="359" t="s">
        <v>636</v>
      </c>
      <c r="F35" s="91">
        <v>46627</v>
      </c>
      <c r="G35" s="85"/>
      <c r="H35" s="85"/>
      <c r="I35" s="85"/>
      <c r="J35" s="85"/>
      <c r="K35" s="85"/>
      <c r="L35" s="85"/>
      <c r="M35" s="85"/>
      <c r="N35" s="85"/>
      <c r="O35" s="85"/>
      <c r="P35" s="85"/>
      <c r="Q35" s="85"/>
    </row>
    <row r="36" spans="2:17" ht="36.5" customHeight="1">
      <c r="B36" s="20" t="s">
        <v>402</v>
      </c>
      <c r="C36" s="21" t="s">
        <v>403</v>
      </c>
      <c r="D36" s="353" t="s">
        <v>414</v>
      </c>
      <c r="E36" s="92" t="s">
        <v>414</v>
      </c>
      <c r="F36" s="93" t="s">
        <v>414</v>
      </c>
      <c r="G36" s="93"/>
      <c r="H36" s="93"/>
      <c r="I36" s="85"/>
      <c r="J36" s="85"/>
      <c r="K36" s="85"/>
      <c r="L36" s="85"/>
      <c r="M36" s="85"/>
      <c r="N36" s="85"/>
      <c r="O36" s="85"/>
      <c r="P36" s="85"/>
      <c r="Q36" s="85"/>
    </row>
    <row r="37" spans="2:17" ht="83.5" customHeight="1">
      <c r="B37" s="20" t="s">
        <v>404</v>
      </c>
      <c r="C37" s="21" t="s">
        <v>405</v>
      </c>
      <c r="D37" s="353" t="s">
        <v>1000</v>
      </c>
      <c r="E37" s="360" t="s">
        <v>1001</v>
      </c>
      <c r="F37" s="360" t="s">
        <v>1002</v>
      </c>
      <c r="G37" s="93"/>
      <c r="H37" s="93"/>
      <c r="I37" s="85"/>
      <c r="J37" s="85"/>
      <c r="K37" s="85"/>
      <c r="L37" s="85"/>
      <c r="M37" s="85"/>
      <c r="N37" s="85"/>
      <c r="O37" s="85"/>
      <c r="P37" s="85"/>
      <c r="Q37" s="85"/>
    </row>
    <row r="38" spans="2:17" ht="36.5" customHeight="1">
      <c r="B38" s="20" t="s">
        <v>406</v>
      </c>
      <c r="C38" s="21" t="s">
        <v>407</v>
      </c>
      <c r="D38" s="353" t="s">
        <v>414</v>
      </c>
      <c r="E38" s="92" t="s">
        <v>328</v>
      </c>
      <c r="F38" s="93" t="s">
        <v>414</v>
      </c>
      <c r="G38" s="93"/>
      <c r="H38" s="93"/>
      <c r="I38" s="85"/>
      <c r="J38" s="85"/>
      <c r="K38" s="85"/>
      <c r="L38" s="85"/>
      <c r="M38" s="85"/>
      <c r="N38" s="85"/>
      <c r="O38" s="85"/>
      <c r="P38" s="85"/>
      <c r="Q38" s="85"/>
    </row>
    <row r="39" spans="2:17" ht="36.5" customHeight="1">
      <c r="B39" s="20" t="s">
        <v>408</v>
      </c>
      <c r="C39" s="21" t="s">
        <v>409</v>
      </c>
      <c r="D39" s="353" t="s">
        <v>681</v>
      </c>
      <c r="E39" s="136" t="s">
        <v>636</v>
      </c>
      <c r="F39" s="95">
        <v>6</v>
      </c>
      <c r="G39" s="93"/>
      <c r="H39" s="93"/>
      <c r="I39" s="85"/>
      <c r="J39" s="85"/>
      <c r="K39" s="85"/>
      <c r="L39" s="85"/>
      <c r="M39" s="85"/>
      <c r="N39" s="85"/>
      <c r="O39" s="85"/>
      <c r="P39" s="85"/>
      <c r="Q39" s="85"/>
    </row>
    <row r="40" spans="2:17" ht="36.5" customHeight="1">
      <c r="B40" s="20" t="s">
        <v>411</v>
      </c>
      <c r="C40" s="21" t="s">
        <v>314</v>
      </c>
      <c r="D40" s="358">
        <v>50585</v>
      </c>
      <c r="E40" s="92">
        <v>47848</v>
      </c>
      <c r="F40" s="93">
        <v>49003</v>
      </c>
      <c r="G40" s="93"/>
      <c r="H40" s="93"/>
      <c r="I40" s="85"/>
      <c r="J40" s="85"/>
      <c r="K40" s="85"/>
      <c r="L40" s="85"/>
      <c r="M40" s="85"/>
      <c r="N40" s="85"/>
      <c r="O40" s="85"/>
      <c r="P40" s="85"/>
      <c r="Q40" s="85"/>
    </row>
    <row r="41" spans="2:17" ht="51.5" customHeight="1">
      <c r="B41" s="22" t="s">
        <v>412</v>
      </c>
      <c r="C41" s="23" t="s">
        <v>413</v>
      </c>
      <c r="D41" s="353" t="s">
        <v>1003</v>
      </c>
      <c r="E41" s="92" t="s">
        <v>328</v>
      </c>
      <c r="F41" s="92" t="s">
        <v>328</v>
      </c>
      <c r="G41" s="92"/>
      <c r="H41" s="92"/>
      <c r="I41" s="92"/>
      <c r="J41" s="92"/>
      <c r="K41" s="92"/>
      <c r="L41" s="92"/>
      <c r="M41" s="92"/>
      <c r="N41" s="92"/>
      <c r="O41" s="92"/>
      <c r="P41" s="92"/>
      <c r="Q41" s="92"/>
    </row>
    <row r="42" spans="2:17" ht="50" customHeight="1">
      <c r="B42" s="24" t="s">
        <v>457</v>
      </c>
      <c r="C42" s="23" t="s">
        <v>458</v>
      </c>
      <c r="D42" s="353" t="s">
        <v>328</v>
      </c>
      <c r="E42" s="92" t="s">
        <v>328</v>
      </c>
      <c r="F42" s="92" t="s">
        <v>328</v>
      </c>
      <c r="G42" s="95"/>
      <c r="H42" s="95"/>
      <c r="I42" s="95"/>
      <c r="J42" s="95"/>
      <c r="K42" s="95"/>
      <c r="L42" s="95"/>
      <c r="M42" s="95"/>
      <c r="N42" s="95"/>
      <c r="O42" s="95"/>
      <c r="P42" s="95"/>
      <c r="Q42" s="95"/>
    </row>
    <row r="43" spans="2:17" ht="36.5" customHeight="1">
      <c r="B43" s="25" t="s">
        <v>418</v>
      </c>
      <c r="C43" s="26" t="s">
        <v>419</v>
      </c>
      <c r="D43" s="353" t="s">
        <v>414</v>
      </c>
      <c r="E43" s="352" t="s">
        <v>414</v>
      </c>
      <c r="F43" s="85" t="s">
        <v>410</v>
      </c>
      <c r="G43" s="85"/>
      <c r="H43" s="85"/>
      <c r="I43" s="85"/>
      <c r="J43" s="85"/>
      <c r="K43" s="85"/>
      <c r="L43" s="85"/>
      <c r="M43" s="85"/>
      <c r="N43" s="85"/>
      <c r="O43" s="85"/>
      <c r="P43" s="85"/>
      <c r="Q43" s="85"/>
    </row>
    <row r="44" spans="2:17" ht="48" customHeight="1">
      <c r="B44" s="25" t="s">
        <v>420</v>
      </c>
      <c r="C44" s="26" t="s">
        <v>421</v>
      </c>
      <c r="D44" s="353" t="s">
        <v>1004</v>
      </c>
      <c r="E44" s="352" t="s">
        <v>328</v>
      </c>
      <c r="F44" s="85" t="s">
        <v>328</v>
      </c>
      <c r="G44" s="85"/>
      <c r="H44" s="85"/>
      <c r="I44" s="85"/>
      <c r="J44" s="85"/>
      <c r="K44" s="85"/>
      <c r="L44" s="85"/>
      <c r="M44" s="85"/>
      <c r="N44" s="85"/>
      <c r="O44" s="85"/>
      <c r="P44" s="85"/>
      <c r="Q44" s="85"/>
    </row>
    <row r="45" spans="2:17" ht="36.5" customHeight="1">
      <c r="B45" s="27"/>
      <c r="C45" s="27"/>
      <c r="D45" s="27"/>
      <c r="E45" s="27"/>
      <c r="F45" s="27"/>
      <c r="G45" s="27"/>
      <c r="H45" s="27"/>
      <c r="I45" s="27"/>
      <c r="J45" s="27"/>
      <c r="K45" s="27"/>
      <c r="L45" s="27"/>
      <c r="M45" s="27"/>
      <c r="N45" s="27"/>
      <c r="O45" s="27"/>
      <c r="P45" s="27"/>
      <c r="Q45" s="27"/>
    </row>
    <row r="46" spans="2:17" ht="36.5" customHeight="1">
      <c r="B46" s="27">
        <f>D46-D48</f>
        <v>118</v>
      </c>
      <c r="C46" s="28" t="s">
        <v>423</v>
      </c>
      <c r="D46" s="85">
        <v>407</v>
      </c>
      <c r="E46" s="85">
        <v>154</v>
      </c>
      <c r="F46" s="85">
        <v>15</v>
      </c>
      <c r="G46" s="85"/>
      <c r="H46" s="85"/>
      <c r="I46" s="85"/>
      <c r="J46" s="85"/>
      <c r="K46" s="85"/>
      <c r="L46" s="85"/>
      <c r="M46" s="85"/>
      <c r="N46" s="85"/>
      <c r="O46" s="85"/>
      <c r="P46" s="85"/>
      <c r="Q46" s="85"/>
    </row>
    <row r="47" spans="2:17" ht="36.5" customHeight="1">
      <c r="B47" s="27"/>
      <c r="C47" s="29" t="s">
        <v>424</v>
      </c>
      <c r="D47" s="86">
        <v>118</v>
      </c>
      <c r="E47" s="85">
        <v>0</v>
      </c>
      <c r="F47" s="85">
        <v>0</v>
      </c>
      <c r="G47" s="85"/>
      <c r="H47" s="85"/>
      <c r="I47" s="85"/>
      <c r="J47" s="85"/>
      <c r="K47" s="85"/>
      <c r="L47" s="85"/>
      <c r="M47" s="85"/>
      <c r="N47" s="85"/>
      <c r="O47" s="85"/>
      <c r="P47" s="85"/>
      <c r="Q47" s="85"/>
    </row>
    <row r="48" spans="2:17" ht="36.5" customHeight="1">
      <c r="B48" s="27"/>
      <c r="C48" s="29" t="s">
        <v>425</v>
      </c>
      <c r="D48" s="86">
        <v>289</v>
      </c>
      <c r="E48" s="85">
        <f>E46</f>
        <v>154</v>
      </c>
      <c r="F48" s="85">
        <f>F46</f>
        <v>15</v>
      </c>
      <c r="G48" s="85"/>
      <c r="H48" s="85"/>
      <c r="I48" s="85"/>
      <c r="J48" s="85"/>
      <c r="K48" s="85"/>
      <c r="L48" s="85"/>
      <c r="M48" s="85"/>
      <c r="N48" s="85"/>
      <c r="O48" s="85"/>
      <c r="P48" s="85"/>
      <c r="Q48" s="85"/>
    </row>
    <row r="49" spans="2:17" ht="10" customHeight="1">
      <c r="B49" s="27"/>
      <c r="C49" s="30"/>
      <c r="D49" s="96"/>
      <c r="E49" s="96"/>
      <c r="F49" s="96"/>
      <c r="G49" s="96"/>
      <c r="H49" s="96"/>
      <c r="I49" s="96"/>
      <c r="J49" s="96"/>
      <c r="K49" s="96"/>
      <c r="L49" s="96"/>
      <c r="M49" s="96"/>
      <c r="N49" s="96"/>
      <c r="O49" s="96"/>
      <c r="P49" s="96"/>
      <c r="Q49" s="96"/>
    </row>
    <row r="50" spans="2:17" ht="36.5" customHeight="1">
      <c r="B50" s="27"/>
      <c r="C50" s="28" t="s">
        <v>426</v>
      </c>
      <c r="D50" s="85">
        <v>203</v>
      </c>
      <c r="E50" s="85">
        <v>295</v>
      </c>
      <c r="F50" s="85">
        <v>12</v>
      </c>
      <c r="G50" s="85"/>
      <c r="H50" s="85"/>
      <c r="I50" s="85"/>
      <c r="J50" s="85"/>
      <c r="K50" s="85"/>
      <c r="L50" s="85"/>
      <c r="M50" s="85"/>
      <c r="N50" s="85"/>
      <c r="O50" s="85"/>
      <c r="P50" s="85"/>
      <c r="Q50" s="85"/>
    </row>
    <row r="51" spans="2:17" ht="33.5" customHeight="1">
      <c r="B51" s="27"/>
      <c r="C51" s="29" t="s">
        <v>424</v>
      </c>
      <c r="D51" s="85">
        <v>77</v>
      </c>
      <c r="E51" s="85">
        <v>3</v>
      </c>
      <c r="F51" s="85">
        <v>0</v>
      </c>
      <c r="G51" s="85"/>
      <c r="H51" s="85"/>
      <c r="I51" s="85"/>
      <c r="J51" s="85"/>
      <c r="K51" s="85"/>
      <c r="L51" s="85"/>
      <c r="M51" s="85"/>
      <c r="N51" s="85"/>
      <c r="O51" s="85"/>
      <c r="P51" s="85"/>
      <c r="Q51" s="85"/>
    </row>
    <row r="52" spans="2:17" ht="36.5" customHeight="1">
      <c r="B52" s="27"/>
      <c r="C52" s="29" t="s">
        <v>425</v>
      </c>
      <c r="D52" s="85">
        <v>126</v>
      </c>
      <c r="E52" s="85">
        <v>292</v>
      </c>
      <c r="F52" s="85">
        <v>12</v>
      </c>
      <c r="G52" s="85"/>
      <c r="H52" s="85"/>
      <c r="I52" s="85"/>
      <c r="J52" s="85"/>
      <c r="K52" s="85"/>
      <c r="L52" s="85"/>
      <c r="M52" s="85"/>
      <c r="N52" s="85"/>
      <c r="O52" s="85"/>
      <c r="P52" s="85"/>
      <c r="Q52" s="85"/>
    </row>
    <row r="53" spans="2:17" ht="12" customHeight="1">
      <c r="B53" s="27"/>
      <c r="C53" s="31"/>
      <c r="D53" s="96"/>
      <c r="E53" s="96"/>
      <c r="F53" s="96"/>
      <c r="G53" s="96"/>
      <c r="H53" s="96"/>
      <c r="I53" s="96"/>
      <c r="J53" s="96"/>
      <c r="K53" s="96"/>
      <c r="L53" s="96"/>
      <c r="M53" s="96"/>
      <c r="N53" s="96"/>
      <c r="O53" s="96"/>
      <c r="P53" s="96"/>
      <c r="Q53" s="96"/>
    </row>
    <row r="54" spans="2:17" ht="29" customHeight="1">
      <c r="B54" s="27"/>
      <c r="C54" s="28" t="s">
        <v>427</v>
      </c>
      <c r="D54" s="85" t="s">
        <v>414</v>
      </c>
      <c r="E54" s="85" t="s">
        <v>414</v>
      </c>
      <c r="F54" s="85" t="s">
        <v>328</v>
      </c>
      <c r="G54" s="85"/>
      <c r="H54" s="85"/>
      <c r="I54" s="85"/>
      <c r="J54" s="85"/>
      <c r="K54" s="85"/>
      <c r="L54" s="85"/>
      <c r="M54" s="85"/>
      <c r="N54" s="85"/>
      <c r="O54" s="85"/>
      <c r="P54" s="85"/>
      <c r="Q54" s="85"/>
    </row>
    <row r="55" spans="2:17" ht="36.5" customHeight="1">
      <c r="B55" s="27"/>
      <c r="C55" s="28" t="s">
        <v>428</v>
      </c>
      <c r="D55" s="85" t="s">
        <v>1005</v>
      </c>
      <c r="E55" s="95">
        <v>15</v>
      </c>
      <c r="F55" s="85" t="s">
        <v>636</v>
      </c>
      <c r="G55" s="85"/>
      <c r="H55" s="85"/>
      <c r="I55" s="85"/>
      <c r="J55" s="85"/>
      <c r="K55" s="85"/>
      <c r="L55" s="85"/>
      <c r="M55" s="85"/>
      <c r="N55" s="85"/>
      <c r="O55" s="85"/>
      <c r="P55" s="85"/>
      <c r="Q55" s="85"/>
    </row>
    <row r="56" spans="2:17" ht="33.5" customHeight="1">
      <c r="B56" s="27"/>
      <c r="C56" s="330" t="s">
        <v>429</v>
      </c>
      <c r="D56" s="85" t="s">
        <v>1006</v>
      </c>
      <c r="E56" s="95">
        <v>35</v>
      </c>
      <c r="F56" s="95" t="s">
        <v>636</v>
      </c>
      <c r="G56" s="95"/>
      <c r="H56" s="95"/>
      <c r="I56" s="95"/>
      <c r="J56" s="95"/>
      <c r="K56" s="95"/>
      <c r="L56" s="95"/>
      <c r="M56" s="95"/>
      <c r="N56" s="95"/>
      <c r="O56" s="95"/>
      <c r="P56" s="95"/>
      <c r="Q56" s="95"/>
    </row>
    <row r="57" spans="2:17" ht="56" customHeight="1">
      <c r="C57" s="331" t="s">
        <v>430</v>
      </c>
      <c r="D57" s="85" t="s">
        <v>1007</v>
      </c>
      <c r="E57" s="361" t="s">
        <v>1008</v>
      </c>
      <c r="F57" s="362" t="s">
        <v>636</v>
      </c>
      <c r="G57" s="71"/>
      <c r="H57" s="71"/>
      <c r="I57" s="71"/>
      <c r="J57" s="71"/>
      <c r="K57" s="71"/>
      <c r="L57" s="71"/>
      <c r="M57" s="71"/>
      <c r="N57" s="71"/>
      <c r="O57" s="71"/>
      <c r="P57" s="71"/>
      <c r="Q57" s="71"/>
    </row>
    <row r="58" spans="2:17" ht="57" customHeight="1">
      <c r="C58" s="331" t="s">
        <v>431</v>
      </c>
      <c r="D58" s="85" t="s">
        <v>1009</v>
      </c>
      <c r="E58" s="361" t="s">
        <v>1010</v>
      </c>
      <c r="F58" s="85" t="s">
        <v>1011</v>
      </c>
      <c r="G58" s="71"/>
      <c r="H58" s="71"/>
      <c r="I58" s="71"/>
      <c r="J58" s="71"/>
      <c r="K58" s="71"/>
      <c r="L58" s="71"/>
      <c r="M58" s="71"/>
      <c r="N58" s="71"/>
      <c r="O58" s="71"/>
      <c r="P58" s="71"/>
      <c r="Q58" s="71"/>
    </row>
    <row r="60" spans="2:17" ht="17" customHeight="1">
      <c r="D60" s="1" t="s">
        <v>432</v>
      </c>
    </row>
    <row r="61" spans="2:17" ht="17" customHeight="1">
      <c r="D61" s="97" t="s">
        <v>433</v>
      </c>
    </row>
    <row r="62" spans="2:17" ht="17" customHeight="1">
      <c r="D62" s="98" t="s">
        <v>434</v>
      </c>
    </row>
    <row r="63" spans="2:17" ht="17" customHeight="1">
      <c r="D63" s="98" t="s">
        <v>435</v>
      </c>
    </row>
    <row r="64" spans="2:17" ht="17" customHeight="1">
      <c r="D64" s="98" t="s">
        <v>436</v>
      </c>
    </row>
    <row r="65" spans="4:4" ht="17" customHeight="1">
      <c r="D65" s="98" t="s">
        <v>437</v>
      </c>
    </row>
    <row r="66" spans="4:4" ht="17" customHeight="1">
      <c r="D66" s="98" t="s">
        <v>438</v>
      </c>
    </row>
    <row r="67" spans="4:4" ht="17" customHeight="1"/>
    <row r="68" spans="4:4" ht="17" customHeight="1">
      <c r="D68" s="99" t="s">
        <v>439</v>
      </c>
    </row>
  </sheetData>
  <mergeCells count="2">
    <mergeCell ref="C6:D6"/>
    <mergeCell ref="C7:D7"/>
  </mergeCells>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3">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102" priority="3">
      <formula>#REF!="Owned"</formula>
    </cfRule>
  </conditionalFormatting>
  <conditionalFormatting sqref="B28:B29 B26">
    <cfRule type="colorScale" priority="10">
      <colorScale>
        <cfvo type="min"/>
        <cfvo type="percentile" val="50"/>
        <cfvo type="max"/>
        <color rgb="FFF8696B"/>
        <color rgb="FFFCFCFF"/>
        <color rgb="FF63BE7B"/>
      </colorScale>
    </cfRule>
  </conditionalFormatting>
  <conditionalFormatting sqref="B30 B32">
    <cfRule type="colorScale" priority="6">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3:B35">
    <cfRule type="colorScale" priority="12">
      <colorScale>
        <cfvo type="min"/>
        <cfvo type="percentile" val="50"/>
        <cfvo type="max"/>
        <color rgb="FFF8696B"/>
        <color rgb="FFFCFCFF"/>
        <color rgb="FF63BE7B"/>
      </colorScale>
    </cfRule>
  </conditionalFormatting>
  <conditionalFormatting sqref="B36:B44">
    <cfRule type="colorScale" priority="11">
      <colorScale>
        <cfvo type="min"/>
        <cfvo type="percentile" val="50"/>
        <cfvo type="max"/>
        <color rgb="FFF8696B"/>
        <color rgb="FFFCFCFF"/>
        <color rgb="FF63BE7B"/>
      </colorScale>
    </cfRule>
  </conditionalFormatting>
  <conditionalFormatting sqref="B25:C26">
    <cfRule type="expression" dxfId="101" priority="5">
      <formula>#REF!="Owned"</formula>
    </cfRule>
  </conditionalFormatting>
  <conditionalFormatting sqref="C27:C32">
    <cfRule type="expression" dxfId="100" priority="1">
      <formula>#REF!="Owned"</formula>
    </cfRule>
  </conditionalFormatting>
  <dataValidations count="1">
    <dataValidation type="list" allowBlank="1" showInputMessage="1" showErrorMessage="1" sqref="E6" xr:uid="{2FA369C1-1300-4F8C-ADD7-53FC22C35E4C}">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7" max="1048575" man="1"/>
  </colBreak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1E21E-D375-4AC7-9028-FEC3B75ED986}">
  <sheetPr codeName="Feuil28">
    <tabColor rgb="FF00B050"/>
    <pageSetUpPr fitToPage="1"/>
  </sheetPr>
  <dimension ref="B1:R68"/>
  <sheetViews>
    <sheetView topLeftCell="A46" zoomScale="85" zoomScaleNormal="85" workbookViewId="0">
      <selection activeCell="G52" sqref="G52"/>
    </sheetView>
  </sheetViews>
  <sheetFormatPr baseColWidth="10" defaultColWidth="9.1640625" defaultRowHeight="13"/>
  <cols>
    <col min="1" max="1" width="19.5" style="139" customWidth="1"/>
    <col min="2" max="2" width="24.1640625" style="139" customWidth="1"/>
    <col min="3" max="3" width="23.1640625" style="139" customWidth="1"/>
    <col min="4" max="18" width="22.83203125" style="139" customWidth="1"/>
    <col min="19" max="16384" width="9.1640625" style="139"/>
  </cols>
  <sheetData>
    <row r="1" spans="2:18" ht="7.5" customHeight="1"/>
    <row r="2" spans="2:18">
      <c r="C2" s="508" t="s">
        <v>323</v>
      </c>
      <c r="D2" s="501">
        <v>46056</v>
      </c>
      <c r="E2" s="141"/>
      <c r="F2" s="142"/>
      <c r="G2" s="142"/>
      <c r="H2" s="142"/>
      <c r="I2" s="143"/>
    </row>
    <row r="4" spans="2:18">
      <c r="C4" s="140" t="s">
        <v>324</v>
      </c>
      <c r="D4" s="144" t="s">
        <v>197</v>
      </c>
      <c r="E4" s="144" t="s">
        <v>197</v>
      </c>
      <c r="G4" s="145"/>
      <c r="H4" s="145"/>
      <c r="I4" s="146"/>
    </row>
    <row r="5" spans="2:18" ht="15.75" customHeight="1">
      <c r="C5" s="187"/>
    </row>
    <row r="6" spans="2:18" ht="26.25" customHeight="1">
      <c r="B6" s="139" t="s">
        <v>326</v>
      </c>
      <c r="C6" s="588" t="s">
        <v>327</v>
      </c>
      <c r="D6" s="588"/>
      <c r="E6" s="148" t="s">
        <v>414</v>
      </c>
      <c r="F6" s="149"/>
      <c r="G6" s="150"/>
      <c r="H6" s="150"/>
    </row>
    <row r="7" spans="2:18" ht="26.25" customHeight="1">
      <c r="B7" s="139" t="s">
        <v>326</v>
      </c>
      <c r="C7" s="588" t="s">
        <v>329</v>
      </c>
      <c r="D7" s="588"/>
      <c r="E7" s="148">
        <v>2</v>
      </c>
      <c r="F7" s="149"/>
      <c r="G7" s="150"/>
      <c r="H7" s="150"/>
    </row>
    <row r="8" spans="2:18" ht="24.5" customHeight="1"/>
    <row r="9" spans="2:18" ht="26" customHeight="1">
      <c r="C9" s="151" t="s">
        <v>330</v>
      </c>
      <c r="D9" s="152"/>
      <c r="E9" s="153"/>
      <c r="F9" s="153"/>
      <c r="G9" s="153"/>
      <c r="H9" s="153"/>
      <c r="I9" s="153"/>
      <c r="J9" s="153"/>
      <c r="K9" s="153"/>
      <c r="L9" s="153"/>
      <c r="M9" s="153"/>
      <c r="N9" s="153"/>
      <c r="O9" s="153"/>
      <c r="P9" s="153"/>
      <c r="Q9" s="153"/>
      <c r="R9" s="153"/>
    </row>
    <row r="10" spans="2:18" ht="25.5" customHeight="1">
      <c r="C10" s="154" t="s">
        <v>331</v>
      </c>
      <c r="D10" s="155" t="s">
        <v>1012</v>
      </c>
      <c r="E10" s="156" t="s">
        <v>1013</v>
      </c>
      <c r="F10" s="156" t="s">
        <v>334</v>
      </c>
      <c r="G10" s="156" t="s">
        <v>335</v>
      </c>
      <c r="H10" s="156" t="s">
        <v>336</v>
      </c>
      <c r="I10" s="156" t="s">
        <v>337</v>
      </c>
      <c r="J10" s="156" t="s">
        <v>338</v>
      </c>
      <c r="K10" s="156" t="s">
        <v>339</v>
      </c>
      <c r="L10" s="156" t="s">
        <v>340</v>
      </c>
      <c r="M10" s="156" t="s">
        <v>341</v>
      </c>
      <c r="N10" s="156" t="s">
        <v>342</v>
      </c>
      <c r="O10" s="156" t="s">
        <v>343</v>
      </c>
      <c r="P10" s="156" t="s">
        <v>344</v>
      </c>
      <c r="Q10" s="156" t="s">
        <v>345</v>
      </c>
      <c r="R10" s="156" t="s">
        <v>346</v>
      </c>
    </row>
    <row r="11" spans="2:18" ht="25.5" customHeight="1">
      <c r="C11" s="157" t="s">
        <v>299</v>
      </c>
      <c r="D11" s="158" t="s">
        <v>1014</v>
      </c>
      <c r="E11" s="158" t="s">
        <v>1015</v>
      </c>
      <c r="F11" s="156"/>
      <c r="G11" s="156"/>
      <c r="H11" s="156"/>
      <c r="I11" s="156"/>
      <c r="J11" s="156"/>
      <c r="K11" s="156"/>
      <c r="L11" s="156"/>
      <c r="M11" s="156"/>
      <c r="N11" s="156"/>
      <c r="O11" s="156"/>
      <c r="P11" s="156"/>
      <c r="Q11" s="156"/>
      <c r="R11" s="156"/>
    </row>
    <row r="12" spans="2:18" ht="15" customHeight="1">
      <c r="C12" s="159"/>
      <c r="D12" s="160"/>
      <c r="E12" s="160"/>
      <c r="F12" s="160"/>
      <c r="G12" s="160"/>
      <c r="H12" s="160"/>
      <c r="I12" s="160"/>
      <c r="J12" s="161"/>
      <c r="K12" s="161"/>
      <c r="L12" s="161"/>
      <c r="M12" s="161"/>
      <c r="N12" s="161"/>
      <c r="O12" s="161"/>
      <c r="P12" s="161"/>
      <c r="Q12" s="161"/>
      <c r="R12" s="161"/>
    </row>
    <row r="13" spans="2:18" ht="30" customHeight="1">
      <c r="B13" s="7" t="s">
        <v>348</v>
      </c>
      <c r="C13" s="8" t="s">
        <v>349</v>
      </c>
      <c r="D13" s="162" t="s">
        <v>752</v>
      </c>
      <c r="E13" s="162" t="s">
        <v>1016</v>
      </c>
      <c r="F13" s="162"/>
      <c r="G13" s="162"/>
      <c r="H13" s="162"/>
      <c r="I13" s="162"/>
      <c r="J13" s="162"/>
      <c r="K13" s="162"/>
      <c r="L13" s="162"/>
      <c r="M13" s="162"/>
      <c r="N13" s="162"/>
      <c r="O13" s="162"/>
      <c r="P13" s="162"/>
      <c r="Q13" s="162"/>
      <c r="R13" s="162"/>
    </row>
    <row r="14" spans="2:18" ht="77.25" customHeight="1">
      <c r="B14" s="7" t="s">
        <v>352</v>
      </c>
      <c r="C14" s="8" t="s">
        <v>297</v>
      </c>
      <c r="D14" s="162" t="s">
        <v>200</v>
      </c>
      <c r="E14" s="162" t="s">
        <v>198</v>
      </c>
      <c r="F14" s="162"/>
      <c r="G14" s="162"/>
      <c r="H14" s="162"/>
      <c r="I14" s="162"/>
      <c r="J14" s="162"/>
      <c r="K14" s="162"/>
      <c r="L14" s="162"/>
      <c r="M14" s="162"/>
      <c r="N14" s="162"/>
      <c r="O14" s="162"/>
      <c r="P14" s="162"/>
      <c r="Q14" s="162"/>
      <c r="R14" s="162"/>
    </row>
    <row r="15" spans="2:18" ht="30" customHeight="1">
      <c r="B15" s="7" t="s">
        <v>353</v>
      </c>
      <c r="C15" s="8" t="s">
        <v>354</v>
      </c>
      <c r="D15" s="162" t="s">
        <v>201</v>
      </c>
      <c r="E15" s="162" t="s">
        <v>199</v>
      </c>
      <c r="F15" s="162"/>
      <c r="G15" s="162"/>
      <c r="H15" s="162"/>
      <c r="I15" s="162"/>
      <c r="J15" s="162"/>
      <c r="K15" s="162"/>
      <c r="L15" s="162"/>
      <c r="M15" s="162"/>
      <c r="N15" s="162"/>
      <c r="O15" s="162"/>
      <c r="P15" s="162"/>
      <c r="Q15" s="162"/>
      <c r="R15" s="162"/>
    </row>
    <row r="16" spans="2:18" ht="15" customHeight="1">
      <c r="B16" s="7" t="s">
        <v>355</v>
      </c>
      <c r="C16" s="8" t="s">
        <v>356</v>
      </c>
      <c r="D16" s="162">
        <v>1400002</v>
      </c>
      <c r="E16" s="162">
        <v>8020005</v>
      </c>
      <c r="F16" s="162"/>
      <c r="G16" s="162"/>
      <c r="H16" s="162"/>
      <c r="I16" s="162"/>
      <c r="J16" s="162"/>
      <c r="K16" s="162"/>
      <c r="L16" s="162"/>
      <c r="M16" s="162"/>
      <c r="N16" s="162"/>
      <c r="O16" s="162"/>
      <c r="P16" s="162"/>
      <c r="Q16" s="162"/>
      <c r="R16" s="162"/>
    </row>
    <row r="17" spans="2:18" ht="15" customHeight="1">
      <c r="B17" s="7" t="s">
        <v>357</v>
      </c>
      <c r="C17" s="8" t="s">
        <v>294</v>
      </c>
      <c r="D17" s="162" t="s">
        <v>197</v>
      </c>
      <c r="E17" s="162" t="s">
        <v>197</v>
      </c>
      <c r="F17" s="162"/>
      <c r="G17" s="162"/>
      <c r="H17" s="162"/>
      <c r="I17" s="162"/>
      <c r="J17" s="162"/>
      <c r="K17" s="162"/>
      <c r="L17" s="162"/>
      <c r="M17" s="162"/>
      <c r="N17" s="162"/>
      <c r="O17" s="162"/>
      <c r="P17" s="162"/>
      <c r="Q17" s="162"/>
      <c r="R17" s="162"/>
    </row>
    <row r="18" spans="2:18" ht="15" customHeight="1">
      <c r="B18" s="9" t="s">
        <v>358</v>
      </c>
      <c r="C18" s="10" t="s">
        <v>359</v>
      </c>
      <c r="D18" s="162" t="s">
        <v>360</v>
      </c>
      <c r="E18" s="162" t="s">
        <v>360</v>
      </c>
      <c r="F18" s="162"/>
      <c r="G18" s="162"/>
      <c r="H18" s="162"/>
      <c r="I18" s="162"/>
      <c r="J18" s="162"/>
      <c r="K18" s="162"/>
      <c r="L18" s="162"/>
      <c r="M18" s="162"/>
      <c r="N18" s="162"/>
      <c r="O18" s="162"/>
      <c r="P18" s="162"/>
      <c r="Q18" s="162"/>
      <c r="R18" s="162"/>
    </row>
    <row r="19" spans="2:18" ht="45.75" customHeight="1">
      <c r="B19" s="9" t="s">
        <v>1017</v>
      </c>
      <c r="C19" s="10" t="s">
        <v>1018</v>
      </c>
      <c r="D19" s="162" t="s">
        <v>1019</v>
      </c>
      <c r="E19" s="162" t="s">
        <v>1019</v>
      </c>
      <c r="F19" s="162"/>
      <c r="G19" s="162"/>
      <c r="H19" s="162"/>
      <c r="I19" s="162"/>
      <c r="J19" s="162"/>
      <c r="K19" s="162"/>
      <c r="L19" s="162"/>
      <c r="M19" s="162"/>
      <c r="N19" s="162"/>
      <c r="O19" s="162"/>
      <c r="P19" s="162"/>
      <c r="Q19" s="162"/>
      <c r="R19" s="162"/>
    </row>
    <row r="20" spans="2:18" ht="45" customHeight="1">
      <c r="B20" s="9" t="s">
        <v>1020</v>
      </c>
      <c r="C20" s="10" t="s">
        <v>364</v>
      </c>
      <c r="D20" s="162" t="s">
        <v>1019</v>
      </c>
      <c r="E20" s="162" t="s">
        <v>1019</v>
      </c>
      <c r="F20" s="162"/>
      <c r="G20" s="162"/>
      <c r="H20" s="162"/>
      <c r="I20" s="162"/>
      <c r="J20" s="162"/>
      <c r="K20" s="162"/>
      <c r="L20" s="162"/>
      <c r="M20" s="162"/>
      <c r="N20" s="162"/>
      <c r="O20" s="162"/>
      <c r="P20" s="162"/>
      <c r="Q20" s="162"/>
      <c r="R20" s="162"/>
    </row>
    <row r="21" spans="2:18" ht="30" customHeight="1">
      <c r="B21" s="11" t="s">
        <v>365</v>
      </c>
      <c r="C21" s="12" t="s">
        <v>366</v>
      </c>
      <c r="D21" s="162" t="s">
        <v>1021</v>
      </c>
      <c r="E21" s="162" t="s">
        <v>1021</v>
      </c>
      <c r="F21" s="162"/>
      <c r="G21" s="162"/>
      <c r="H21" s="162"/>
      <c r="I21" s="162"/>
      <c r="J21" s="162"/>
      <c r="K21" s="162"/>
      <c r="L21" s="162"/>
      <c r="M21" s="162"/>
      <c r="N21" s="162"/>
      <c r="O21" s="162"/>
      <c r="P21" s="162"/>
      <c r="Q21" s="162"/>
      <c r="R21" s="162"/>
    </row>
    <row r="22" spans="2:18" ht="40.5" customHeight="1">
      <c r="B22" s="11" t="s">
        <v>369</v>
      </c>
      <c r="C22" s="12" t="s">
        <v>370</v>
      </c>
      <c r="D22" s="162" t="s">
        <v>1022</v>
      </c>
      <c r="E22" s="162" t="s">
        <v>1023</v>
      </c>
      <c r="F22" s="162"/>
      <c r="G22" s="162"/>
      <c r="H22" s="162"/>
      <c r="I22" s="162"/>
      <c r="J22" s="162"/>
      <c r="K22" s="162"/>
      <c r="L22" s="162"/>
      <c r="M22" s="162"/>
      <c r="N22" s="162"/>
      <c r="O22" s="162"/>
      <c r="P22" s="162"/>
      <c r="Q22" s="162"/>
      <c r="R22" s="162"/>
    </row>
    <row r="23" spans="2:18" ht="30" customHeight="1">
      <c r="B23" s="13" t="s">
        <v>372</v>
      </c>
      <c r="C23" s="14" t="s">
        <v>1024</v>
      </c>
      <c r="D23" s="162" t="s">
        <v>374</v>
      </c>
      <c r="E23" s="162" t="s">
        <v>374</v>
      </c>
      <c r="F23" s="162"/>
      <c r="G23" s="162"/>
      <c r="H23" s="162"/>
      <c r="I23" s="162"/>
      <c r="J23" s="162"/>
      <c r="K23" s="162"/>
      <c r="L23" s="162"/>
      <c r="M23" s="162"/>
      <c r="N23" s="162"/>
      <c r="O23" s="162"/>
      <c r="P23" s="162"/>
      <c r="Q23" s="162"/>
      <c r="R23" s="162"/>
    </row>
    <row r="24" spans="2:18" ht="45" customHeight="1">
      <c r="B24" s="13" t="s">
        <v>375</v>
      </c>
      <c r="C24" s="14" t="s">
        <v>376</v>
      </c>
      <c r="D24" s="164">
        <v>1247.42</v>
      </c>
      <c r="E24" s="164">
        <v>352.94</v>
      </c>
      <c r="F24" s="164"/>
      <c r="G24" s="164"/>
      <c r="H24" s="164"/>
      <c r="I24" s="164"/>
      <c r="J24" s="164"/>
      <c r="K24" s="164"/>
      <c r="L24" s="164"/>
      <c r="M24" s="164"/>
      <c r="N24" s="164"/>
      <c r="O24" s="164"/>
      <c r="P24" s="164"/>
      <c r="Q24" s="164"/>
      <c r="R24" s="164"/>
    </row>
    <row r="25" spans="2:18" ht="45" customHeight="1">
      <c r="B25" s="15" t="s">
        <v>377</v>
      </c>
      <c r="C25" s="16" t="s">
        <v>378</v>
      </c>
      <c r="D25" s="218" t="s">
        <v>1025</v>
      </c>
      <c r="E25" s="218" t="s">
        <v>1025</v>
      </c>
      <c r="F25" s="162"/>
      <c r="G25" s="162"/>
      <c r="H25" s="162"/>
      <c r="I25" s="162"/>
      <c r="J25" s="162"/>
      <c r="K25" s="162"/>
      <c r="L25" s="162"/>
      <c r="M25" s="162"/>
      <c r="N25" s="162"/>
      <c r="O25" s="162"/>
      <c r="P25" s="162"/>
      <c r="Q25" s="162"/>
      <c r="R25" s="162"/>
    </row>
    <row r="26" spans="2:18" ht="45" customHeight="1">
      <c r="B26" s="15" t="s">
        <v>380</v>
      </c>
      <c r="C26" s="16" t="s">
        <v>381</v>
      </c>
      <c r="D26" s="166" t="s">
        <v>1026</v>
      </c>
      <c r="E26" s="166" t="s">
        <v>1026</v>
      </c>
      <c r="F26" s="164"/>
      <c r="G26" s="162"/>
      <c r="H26" s="162"/>
      <c r="I26" s="162"/>
      <c r="J26" s="162"/>
      <c r="K26" s="162"/>
      <c r="L26" s="162"/>
      <c r="M26" s="162"/>
      <c r="N26" s="162"/>
      <c r="O26" s="162"/>
      <c r="P26" s="162"/>
      <c r="Q26" s="162"/>
      <c r="R26" s="162"/>
    </row>
    <row r="27" spans="2:18" ht="45" customHeight="1">
      <c r="B27" s="15"/>
      <c r="C27" s="167" t="s">
        <v>383</v>
      </c>
      <c r="D27" s="166">
        <v>45280800</v>
      </c>
      <c r="E27" s="166">
        <v>12171720</v>
      </c>
      <c r="F27" s="164"/>
      <c r="G27" s="162"/>
      <c r="H27" s="162"/>
      <c r="I27" s="162"/>
      <c r="J27" s="162"/>
      <c r="K27" s="162"/>
      <c r="L27" s="162"/>
      <c r="M27" s="162"/>
      <c r="N27" s="162"/>
      <c r="O27" s="162"/>
      <c r="P27" s="162"/>
      <c r="Q27" s="162"/>
      <c r="R27" s="162"/>
    </row>
    <row r="28" spans="2:18" ht="45" customHeight="1">
      <c r="B28" s="15" t="s">
        <v>1027</v>
      </c>
      <c r="C28" s="16" t="s">
        <v>385</v>
      </c>
      <c r="D28" s="238">
        <f>D27/D24</f>
        <v>36299.562296580138</v>
      </c>
      <c r="E28" s="238">
        <f>E27/E24</f>
        <v>34486.654955516518</v>
      </c>
      <c r="F28" s="164"/>
      <c r="G28" s="162"/>
      <c r="H28" s="162"/>
      <c r="I28" s="162"/>
      <c r="J28" s="162"/>
      <c r="K28" s="162"/>
      <c r="L28" s="162"/>
      <c r="M28" s="162"/>
      <c r="N28" s="162"/>
      <c r="O28" s="162"/>
      <c r="P28" s="162"/>
      <c r="Q28" s="162"/>
      <c r="R28" s="162"/>
    </row>
    <row r="29" spans="2:18" ht="45" customHeight="1">
      <c r="B29" s="15" t="s">
        <v>1028</v>
      </c>
      <c r="C29" s="16" t="s">
        <v>1029</v>
      </c>
      <c r="D29" s="166">
        <v>0</v>
      </c>
      <c r="E29" s="166">
        <v>0</v>
      </c>
      <c r="F29" s="164"/>
      <c r="G29" s="162"/>
      <c r="H29" s="162"/>
      <c r="I29" s="162"/>
      <c r="J29" s="162"/>
      <c r="K29" s="162"/>
      <c r="L29" s="162"/>
      <c r="M29" s="162"/>
      <c r="N29" s="162"/>
      <c r="O29" s="162"/>
      <c r="P29" s="162"/>
      <c r="Q29" s="162"/>
      <c r="R29" s="162"/>
    </row>
    <row r="30" spans="2:18" ht="60" customHeight="1">
      <c r="B30" s="13" t="s">
        <v>390</v>
      </c>
      <c r="C30" s="17" t="s">
        <v>391</v>
      </c>
      <c r="D30" s="239">
        <f>D31/D24</f>
        <v>42199.629635567806</v>
      </c>
      <c r="E30" s="239">
        <f>E31/E24</f>
        <v>9306.8651895506318</v>
      </c>
      <c r="F30" s="162"/>
      <c r="G30" s="162"/>
      <c r="H30" s="162"/>
      <c r="I30" s="162"/>
      <c r="J30" s="162"/>
      <c r="K30" s="162"/>
      <c r="L30" s="162"/>
      <c r="M30" s="162"/>
      <c r="N30" s="162"/>
      <c r="O30" s="162"/>
      <c r="P30" s="162"/>
      <c r="Q30" s="162"/>
      <c r="R30" s="162"/>
    </row>
    <row r="31" spans="2:18" ht="60" customHeight="1">
      <c r="B31" s="13"/>
      <c r="C31" s="167" t="s">
        <v>393</v>
      </c>
      <c r="D31" s="239">
        <v>52640662</v>
      </c>
      <c r="E31" s="239">
        <v>3284765</v>
      </c>
      <c r="F31" s="162"/>
      <c r="G31" s="162"/>
      <c r="H31" s="162"/>
      <c r="I31" s="162"/>
      <c r="J31" s="162"/>
      <c r="K31" s="162"/>
      <c r="L31" s="162"/>
      <c r="M31" s="162"/>
      <c r="N31" s="162"/>
      <c r="O31" s="162"/>
      <c r="P31" s="162"/>
      <c r="Q31" s="162"/>
      <c r="R31" s="162"/>
    </row>
    <row r="32" spans="2:18" ht="60" customHeight="1">
      <c r="B32" s="13" t="s">
        <v>394</v>
      </c>
      <c r="C32" s="17" t="s">
        <v>395</v>
      </c>
      <c r="D32" s="166">
        <v>0</v>
      </c>
      <c r="E32" s="166">
        <v>0</v>
      </c>
      <c r="F32" s="162"/>
      <c r="G32" s="162"/>
      <c r="H32" s="162"/>
      <c r="I32" s="162"/>
      <c r="J32" s="162"/>
      <c r="K32" s="162"/>
      <c r="L32" s="162"/>
      <c r="M32" s="162"/>
      <c r="N32" s="162"/>
      <c r="O32" s="162"/>
      <c r="P32" s="162"/>
      <c r="Q32" s="162"/>
      <c r="R32" s="162"/>
    </row>
    <row r="33" spans="2:18" ht="30" customHeight="1">
      <c r="B33" s="18" t="s">
        <v>397</v>
      </c>
      <c r="C33" s="19" t="s">
        <v>313</v>
      </c>
      <c r="D33" s="170">
        <v>45200</v>
      </c>
      <c r="E33" s="170">
        <v>44621</v>
      </c>
      <c r="F33" s="170"/>
      <c r="G33" s="170"/>
      <c r="H33" s="170"/>
      <c r="I33" s="170"/>
      <c r="J33" s="162"/>
      <c r="K33" s="162"/>
      <c r="L33" s="162"/>
      <c r="M33" s="162"/>
      <c r="N33" s="162"/>
      <c r="O33" s="162"/>
      <c r="P33" s="162"/>
      <c r="Q33" s="162"/>
      <c r="R33" s="162"/>
    </row>
    <row r="34" spans="2:18" ht="30" customHeight="1">
      <c r="B34" s="20" t="s">
        <v>398</v>
      </c>
      <c r="C34" s="19" t="s">
        <v>315</v>
      </c>
      <c r="D34" s="170">
        <v>45930</v>
      </c>
      <c r="E34" s="170">
        <v>46081</v>
      </c>
      <c r="F34" s="170"/>
      <c r="G34" s="170"/>
      <c r="H34" s="170"/>
      <c r="I34" s="170"/>
      <c r="J34" s="162"/>
      <c r="K34" s="162"/>
      <c r="L34" s="162"/>
      <c r="M34" s="162"/>
      <c r="N34" s="162"/>
      <c r="O34" s="162"/>
      <c r="P34" s="162"/>
      <c r="Q34" s="162"/>
      <c r="R34" s="162"/>
    </row>
    <row r="35" spans="2:18" ht="30" customHeight="1">
      <c r="B35" s="20" t="s">
        <v>399</v>
      </c>
      <c r="C35" s="19" t="s">
        <v>400</v>
      </c>
      <c r="D35" s="170">
        <v>45747</v>
      </c>
      <c r="E35" s="170">
        <v>45900</v>
      </c>
      <c r="F35" s="162"/>
      <c r="G35" s="162"/>
      <c r="H35" s="162"/>
      <c r="I35" s="162"/>
      <c r="J35" s="162"/>
      <c r="K35" s="162"/>
      <c r="L35" s="162"/>
      <c r="M35" s="162"/>
      <c r="N35" s="162"/>
      <c r="O35" s="162"/>
      <c r="P35" s="162"/>
      <c r="Q35" s="162"/>
      <c r="R35" s="162"/>
    </row>
    <row r="36" spans="2:18" ht="30" customHeight="1">
      <c r="B36" s="20" t="s">
        <v>402</v>
      </c>
      <c r="C36" s="21" t="s">
        <v>1030</v>
      </c>
      <c r="D36" s="172" t="s">
        <v>1031</v>
      </c>
      <c r="E36" s="172" t="s">
        <v>1031</v>
      </c>
      <c r="F36" s="173"/>
      <c r="G36" s="173"/>
      <c r="H36" s="173"/>
      <c r="I36" s="173"/>
      <c r="J36" s="162"/>
      <c r="K36" s="162"/>
      <c r="L36" s="162"/>
      <c r="M36" s="162"/>
      <c r="N36" s="162"/>
      <c r="O36" s="162"/>
      <c r="P36" s="162"/>
      <c r="Q36" s="162"/>
      <c r="R36" s="162"/>
    </row>
    <row r="37" spans="2:18" ht="45" customHeight="1">
      <c r="B37" s="20" t="s">
        <v>404</v>
      </c>
      <c r="C37" s="21" t="s">
        <v>405</v>
      </c>
      <c r="D37" s="240" t="s">
        <v>1032</v>
      </c>
      <c r="E37" s="240" t="s">
        <v>1032</v>
      </c>
      <c r="F37" s="173"/>
      <c r="G37" s="173"/>
      <c r="H37" s="173"/>
      <c r="I37" s="173"/>
      <c r="J37" s="162"/>
      <c r="K37" s="162"/>
      <c r="L37" s="162"/>
      <c r="M37" s="162"/>
      <c r="N37" s="162"/>
      <c r="O37" s="162"/>
      <c r="P37" s="162"/>
      <c r="Q37" s="162"/>
      <c r="R37" s="162"/>
    </row>
    <row r="38" spans="2:18" ht="30" customHeight="1">
      <c r="B38" s="20" t="s">
        <v>406</v>
      </c>
      <c r="C38" s="21" t="s">
        <v>407</v>
      </c>
      <c r="D38" s="172" t="s">
        <v>1031</v>
      </c>
      <c r="E38" s="172" t="s">
        <v>1031</v>
      </c>
      <c r="F38" s="173"/>
      <c r="G38" s="173"/>
      <c r="H38" s="173"/>
      <c r="I38" s="173"/>
      <c r="J38" s="162"/>
      <c r="K38" s="162"/>
      <c r="L38" s="162"/>
      <c r="M38" s="162"/>
      <c r="N38" s="162"/>
      <c r="O38" s="162"/>
      <c r="P38" s="162"/>
      <c r="Q38" s="162"/>
      <c r="R38" s="162"/>
    </row>
    <row r="39" spans="2:18" ht="30" customHeight="1">
      <c r="B39" s="20" t="s">
        <v>408</v>
      </c>
      <c r="C39" s="21" t="s">
        <v>409</v>
      </c>
      <c r="D39" s="219" t="s">
        <v>1033</v>
      </c>
      <c r="E39" s="219" t="s">
        <v>1033</v>
      </c>
      <c r="F39" s="174"/>
      <c r="G39" s="173"/>
      <c r="H39" s="173"/>
      <c r="I39" s="173"/>
      <c r="J39" s="162"/>
      <c r="K39" s="162"/>
      <c r="L39" s="162"/>
      <c r="M39" s="162"/>
      <c r="N39" s="162"/>
      <c r="O39" s="162"/>
      <c r="P39" s="162"/>
      <c r="Q39" s="162"/>
      <c r="R39" s="162"/>
    </row>
    <row r="40" spans="2:18" ht="45" customHeight="1">
      <c r="B40" s="20" t="s">
        <v>411</v>
      </c>
      <c r="C40" s="21" t="s">
        <v>314</v>
      </c>
      <c r="D40" s="172">
        <v>46660</v>
      </c>
      <c r="E40" s="172">
        <v>46081</v>
      </c>
      <c r="F40" s="173"/>
      <c r="G40" s="173"/>
      <c r="H40" s="173"/>
      <c r="I40" s="173"/>
      <c r="J40" s="162"/>
      <c r="K40" s="162"/>
      <c r="L40" s="162"/>
      <c r="M40" s="162"/>
      <c r="N40" s="162"/>
      <c r="O40" s="162"/>
      <c r="P40" s="162"/>
      <c r="Q40" s="162"/>
      <c r="R40" s="162"/>
    </row>
    <row r="41" spans="2:18" ht="60" customHeight="1">
      <c r="B41" s="22" t="s">
        <v>412</v>
      </c>
      <c r="C41" s="23" t="s">
        <v>1034</v>
      </c>
      <c r="D41" s="172" t="s">
        <v>1019</v>
      </c>
      <c r="E41" s="172" t="s">
        <v>1019</v>
      </c>
      <c r="F41" s="172"/>
      <c r="G41" s="172"/>
      <c r="H41" s="172"/>
      <c r="I41" s="172"/>
      <c r="J41" s="172"/>
      <c r="K41" s="172"/>
      <c r="L41" s="172"/>
      <c r="M41" s="172"/>
      <c r="N41" s="172"/>
      <c r="O41" s="172"/>
      <c r="P41" s="172"/>
      <c r="Q41" s="172"/>
      <c r="R41" s="172"/>
    </row>
    <row r="42" spans="2:18" ht="75" customHeight="1">
      <c r="B42" s="24" t="s">
        <v>457</v>
      </c>
      <c r="C42" s="23" t="s">
        <v>1035</v>
      </c>
      <c r="D42" s="174" t="s">
        <v>328</v>
      </c>
      <c r="E42" s="174" t="s">
        <v>328</v>
      </c>
      <c r="F42" s="174"/>
      <c r="G42" s="174"/>
      <c r="H42" s="174"/>
      <c r="I42" s="174"/>
      <c r="J42" s="174"/>
      <c r="K42" s="174"/>
      <c r="L42" s="174"/>
      <c r="M42" s="174"/>
      <c r="N42" s="174"/>
      <c r="O42" s="174"/>
      <c r="P42" s="174"/>
      <c r="Q42" s="174"/>
      <c r="R42" s="174"/>
    </row>
    <row r="43" spans="2:18" ht="60" customHeight="1">
      <c r="B43" s="25" t="s">
        <v>418</v>
      </c>
      <c r="C43" s="26" t="s">
        <v>419</v>
      </c>
      <c r="D43" s="162" t="s">
        <v>1019</v>
      </c>
      <c r="E43" s="162" t="s">
        <v>1019</v>
      </c>
      <c r="F43" s="162"/>
      <c r="G43" s="162"/>
      <c r="H43" s="162"/>
      <c r="I43" s="162"/>
      <c r="J43" s="162"/>
      <c r="K43" s="162"/>
      <c r="L43" s="162"/>
      <c r="M43" s="162"/>
      <c r="N43" s="162"/>
      <c r="O43" s="162"/>
      <c r="P43" s="162"/>
      <c r="Q43" s="162"/>
      <c r="R43" s="162"/>
    </row>
    <row r="44" spans="2:18" ht="75" customHeight="1">
      <c r="B44" s="25" t="s">
        <v>420</v>
      </c>
      <c r="C44" s="26" t="s">
        <v>421</v>
      </c>
      <c r="D44" s="162" t="s">
        <v>1019</v>
      </c>
      <c r="E44" s="162" t="s">
        <v>1019</v>
      </c>
      <c r="F44" s="162"/>
      <c r="G44" s="162"/>
      <c r="H44" s="162"/>
      <c r="I44" s="162"/>
      <c r="J44" s="162"/>
      <c r="K44" s="162"/>
      <c r="L44" s="162"/>
      <c r="M44" s="162"/>
      <c r="N44" s="162"/>
      <c r="O44" s="162"/>
      <c r="P44" s="162"/>
      <c r="Q44" s="162"/>
      <c r="R44" s="162"/>
    </row>
    <row r="45" spans="2:18">
      <c r="B45" s="175"/>
      <c r="C45" s="175"/>
      <c r="D45" s="175"/>
      <c r="E45" s="175"/>
      <c r="F45" s="175"/>
      <c r="G45" s="175"/>
      <c r="H45" s="175"/>
      <c r="I45" s="175"/>
      <c r="J45" s="175"/>
      <c r="K45" s="175"/>
      <c r="L45" s="175"/>
      <c r="M45" s="175"/>
      <c r="N45" s="175"/>
      <c r="O45" s="175"/>
      <c r="P45" s="175"/>
      <c r="Q45" s="175"/>
      <c r="R45" s="175"/>
    </row>
    <row r="46" spans="2:18" ht="45" customHeight="1">
      <c r="B46" s="175"/>
      <c r="C46" s="176" t="s">
        <v>423</v>
      </c>
      <c r="D46" s="583">
        <v>202</v>
      </c>
      <c r="E46" s="583">
        <v>102</v>
      </c>
      <c r="F46" s="581"/>
      <c r="G46" s="162"/>
      <c r="H46" s="162"/>
      <c r="I46" s="162"/>
      <c r="J46" s="162"/>
      <c r="K46" s="162"/>
      <c r="L46" s="162"/>
      <c r="M46" s="162"/>
      <c r="N46" s="162"/>
      <c r="O46" s="162"/>
      <c r="P46" s="162"/>
      <c r="Q46" s="162"/>
      <c r="R46" s="162"/>
    </row>
    <row r="47" spans="2:18" ht="30" customHeight="1">
      <c r="B47" s="175"/>
      <c r="C47" s="177" t="s">
        <v>424</v>
      </c>
      <c r="D47" s="583" t="s">
        <v>1036</v>
      </c>
      <c r="E47" s="583" t="s">
        <v>1037</v>
      </c>
      <c r="F47" s="581"/>
      <c r="G47" s="162"/>
      <c r="H47" s="162"/>
      <c r="I47" s="162"/>
      <c r="J47" s="162"/>
      <c r="K47" s="162"/>
      <c r="L47" s="162"/>
      <c r="M47" s="162"/>
      <c r="N47" s="162"/>
      <c r="O47" s="162"/>
      <c r="P47" s="162"/>
      <c r="Q47" s="162"/>
      <c r="R47" s="162"/>
    </row>
    <row r="48" spans="2:18" ht="15" customHeight="1">
      <c r="B48" s="175"/>
      <c r="C48" s="177" t="s">
        <v>425</v>
      </c>
      <c r="D48" s="583" t="s">
        <v>1038</v>
      </c>
      <c r="E48" s="583" t="s">
        <v>1039</v>
      </c>
      <c r="F48" s="581"/>
      <c r="G48" s="162"/>
      <c r="H48" s="162"/>
      <c r="I48" s="162"/>
      <c r="J48" s="162"/>
      <c r="K48" s="162"/>
      <c r="L48" s="162"/>
      <c r="M48" s="162"/>
      <c r="N48" s="162"/>
      <c r="O48" s="162"/>
      <c r="P48" s="162"/>
      <c r="Q48" s="162"/>
      <c r="R48" s="162"/>
    </row>
    <row r="49" spans="2:18" ht="3" customHeight="1">
      <c r="B49" s="175"/>
      <c r="C49" s="178"/>
      <c r="D49" s="582"/>
      <c r="E49" s="582"/>
      <c r="F49" s="179"/>
      <c r="G49" s="179"/>
      <c r="H49" s="179"/>
      <c r="I49" s="179"/>
      <c r="J49" s="179"/>
      <c r="K49" s="179"/>
      <c r="L49" s="179"/>
      <c r="M49" s="179"/>
      <c r="N49" s="179"/>
      <c r="O49" s="179"/>
      <c r="P49" s="179"/>
      <c r="Q49" s="179"/>
      <c r="R49" s="179"/>
    </row>
    <row r="50" spans="2:18" ht="30" customHeight="1">
      <c r="B50" s="175"/>
      <c r="C50" s="176" t="s">
        <v>426</v>
      </c>
      <c r="D50" s="510">
        <v>235</v>
      </c>
      <c r="E50" s="510">
        <v>91</v>
      </c>
      <c r="F50" s="162"/>
      <c r="G50" s="162"/>
      <c r="H50" s="162"/>
      <c r="I50" s="162"/>
      <c r="J50" s="162"/>
      <c r="K50" s="162"/>
      <c r="L50" s="162"/>
      <c r="M50" s="162"/>
      <c r="N50" s="162"/>
      <c r="O50" s="162"/>
      <c r="P50" s="162"/>
      <c r="Q50" s="162"/>
      <c r="R50" s="162"/>
    </row>
    <row r="51" spans="2:18" ht="30" customHeight="1">
      <c r="B51" s="175"/>
      <c r="C51" s="177" t="s">
        <v>424</v>
      </c>
      <c r="D51" s="510"/>
      <c r="E51" s="510"/>
      <c r="F51" s="162"/>
      <c r="G51" s="162"/>
      <c r="H51" s="162"/>
      <c r="I51" s="162"/>
      <c r="J51" s="162"/>
      <c r="K51" s="162"/>
      <c r="L51" s="162"/>
      <c r="M51" s="162"/>
      <c r="N51" s="162"/>
      <c r="O51" s="162"/>
      <c r="P51" s="162"/>
      <c r="Q51" s="162"/>
      <c r="R51" s="162"/>
    </row>
    <row r="52" spans="2:18" ht="15" customHeight="1">
      <c r="B52" s="175"/>
      <c r="C52" s="177" t="s">
        <v>425</v>
      </c>
      <c r="D52" s="510"/>
      <c r="E52" s="510"/>
      <c r="F52" s="162"/>
      <c r="G52" s="162"/>
      <c r="H52" s="162"/>
      <c r="I52" s="162"/>
      <c r="J52" s="162"/>
      <c r="K52" s="162"/>
      <c r="L52" s="162"/>
      <c r="M52" s="162"/>
      <c r="N52" s="162"/>
      <c r="O52" s="162"/>
      <c r="P52" s="162"/>
      <c r="Q52" s="162"/>
      <c r="R52" s="162"/>
    </row>
    <row r="53" spans="2:18" ht="6" customHeight="1">
      <c r="B53" s="175"/>
      <c r="C53" s="180"/>
      <c r="D53" s="160"/>
      <c r="E53" s="160"/>
      <c r="F53" s="179"/>
      <c r="G53" s="179"/>
      <c r="H53" s="179"/>
      <c r="I53" s="179"/>
      <c r="J53" s="179"/>
      <c r="K53" s="179"/>
      <c r="L53" s="179"/>
      <c r="M53" s="179"/>
      <c r="N53" s="179"/>
      <c r="O53" s="179"/>
      <c r="P53" s="179"/>
      <c r="Q53" s="179"/>
      <c r="R53" s="179"/>
    </row>
    <row r="54" spans="2:18" ht="33" customHeight="1">
      <c r="B54" s="175"/>
      <c r="C54" s="76" t="s">
        <v>427</v>
      </c>
      <c r="D54" s="510" t="s">
        <v>414</v>
      </c>
      <c r="E54" s="510" t="s">
        <v>1040</v>
      </c>
      <c r="F54" s="162"/>
      <c r="G54" s="162"/>
      <c r="H54" s="162"/>
      <c r="I54" s="162"/>
      <c r="J54" s="162"/>
      <c r="K54" s="162"/>
      <c r="L54" s="162"/>
      <c r="M54" s="162"/>
      <c r="N54" s="162"/>
      <c r="O54" s="162"/>
      <c r="P54" s="162"/>
      <c r="Q54" s="162"/>
      <c r="R54" s="162"/>
    </row>
    <row r="55" spans="2:18" ht="30" customHeight="1">
      <c r="B55" s="175"/>
      <c r="C55" s="176" t="s">
        <v>428</v>
      </c>
      <c r="D55" s="510"/>
      <c r="E55" s="510"/>
      <c r="F55" s="162"/>
      <c r="G55" s="162"/>
      <c r="H55" s="162"/>
      <c r="I55" s="162"/>
      <c r="J55" s="162"/>
      <c r="K55" s="162"/>
      <c r="L55" s="162"/>
      <c r="M55" s="162"/>
      <c r="N55" s="162"/>
      <c r="O55" s="162"/>
      <c r="P55" s="162"/>
      <c r="Q55" s="162"/>
      <c r="R55" s="162"/>
    </row>
    <row r="56" spans="2:18" ht="30" customHeight="1">
      <c r="B56" s="175"/>
      <c r="C56" s="176" t="s">
        <v>429</v>
      </c>
      <c r="D56" s="510"/>
      <c r="E56" s="510"/>
      <c r="F56" s="162"/>
      <c r="G56" s="162"/>
      <c r="H56" s="162"/>
      <c r="I56" s="162"/>
      <c r="J56" s="162"/>
      <c r="K56" s="162"/>
      <c r="L56" s="162"/>
      <c r="M56" s="162"/>
      <c r="N56" s="162"/>
      <c r="O56" s="162"/>
      <c r="P56" s="162"/>
      <c r="Q56" s="162"/>
      <c r="R56" s="162"/>
    </row>
    <row r="57" spans="2:18" ht="56">
      <c r="C57" s="181" t="s">
        <v>430</v>
      </c>
      <c r="D57" s="580"/>
      <c r="E57" s="580"/>
      <c r="F57" s="153"/>
      <c r="G57" s="153"/>
      <c r="H57" s="153"/>
      <c r="I57" s="153"/>
      <c r="J57" s="153"/>
      <c r="K57" s="153"/>
      <c r="L57" s="153"/>
      <c r="M57" s="153"/>
      <c r="N57" s="153"/>
      <c r="O57" s="153"/>
      <c r="P57" s="153"/>
      <c r="Q57" s="153"/>
      <c r="R57" s="153"/>
    </row>
    <row r="58" spans="2:18" ht="56">
      <c r="C58" s="181" t="s">
        <v>431</v>
      </c>
      <c r="D58" s="580"/>
      <c r="E58" s="580"/>
      <c r="F58" s="153"/>
      <c r="G58" s="153"/>
      <c r="H58" s="153"/>
      <c r="I58" s="153"/>
      <c r="J58" s="153"/>
      <c r="K58" s="153"/>
      <c r="L58" s="153"/>
      <c r="M58" s="153"/>
      <c r="N58" s="153"/>
      <c r="O58" s="153"/>
      <c r="P58" s="153"/>
      <c r="Q58" s="153"/>
      <c r="R58" s="153"/>
    </row>
    <row r="59" spans="2:18">
      <c r="C59" s="182"/>
    </row>
    <row r="60" spans="2:18" ht="15">
      <c r="D60" s="139" t="s">
        <v>432</v>
      </c>
    </row>
    <row r="61" spans="2:18">
      <c r="D61" s="183" t="s">
        <v>433</v>
      </c>
    </row>
    <row r="62" spans="2:18">
      <c r="D62" s="184" t="s">
        <v>434</v>
      </c>
    </row>
    <row r="63" spans="2:18">
      <c r="D63" s="184" t="s">
        <v>435</v>
      </c>
    </row>
    <row r="64" spans="2:18">
      <c r="D64" s="184" t="s">
        <v>436</v>
      </c>
    </row>
    <row r="65" spans="4:4">
      <c r="D65" s="184" t="s">
        <v>437</v>
      </c>
    </row>
    <row r="66" spans="4:4">
      <c r="D66" s="184" t="s">
        <v>438</v>
      </c>
    </row>
    <row r="68" spans="4:4" ht="15">
      <c r="D68" s="185" t="s">
        <v>439</v>
      </c>
    </row>
  </sheetData>
  <mergeCells count="2">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99"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26 C28:C30 C32">
    <cfRule type="expression" dxfId="98" priority="1">
      <formula>#REF!="Owned"</formula>
    </cfRule>
  </conditionalFormatting>
  <dataValidations count="1">
    <dataValidation type="list" allowBlank="1" showInputMessage="1" showErrorMessage="1" sqref="E6" xr:uid="{0D567734-1747-4F88-84C5-DC271F650A6E}">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54345-0ABB-4952-99FB-51A635C1EFA2}">
  <sheetPr codeName="Feuil50">
    <tabColor rgb="FF00B050"/>
    <pageSetUpPr fitToPage="1"/>
  </sheetPr>
  <dimension ref="A1:R69"/>
  <sheetViews>
    <sheetView topLeftCell="A48" zoomScale="70" zoomScaleNormal="70" workbookViewId="0">
      <selection activeCell="G25" sqref="G25"/>
    </sheetView>
  </sheetViews>
  <sheetFormatPr baseColWidth="10" defaultColWidth="9.1640625" defaultRowHeight="13"/>
  <cols>
    <col min="1" max="1" width="19.5" style="1" customWidth="1"/>
    <col min="2" max="2" width="24.1640625" style="1" customWidth="1"/>
    <col min="3" max="3" width="23.1640625" style="1" customWidth="1"/>
    <col min="4" max="18" width="22.83203125" style="1" customWidth="1"/>
    <col min="19" max="16384" width="9.1640625" style="1"/>
  </cols>
  <sheetData>
    <row r="1" spans="2:18" ht="7.5" customHeight="1"/>
    <row r="2" spans="2:18">
      <c r="C2" s="504" t="s">
        <v>323</v>
      </c>
      <c r="D2" s="502">
        <v>45988</v>
      </c>
      <c r="E2" s="80"/>
      <c r="F2" s="3"/>
      <c r="G2" s="3"/>
      <c r="H2" s="3"/>
      <c r="I2" s="4"/>
    </row>
    <row r="4" spans="2:18">
      <c r="C4" s="81" t="s">
        <v>324</v>
      </c>
      <c r="D4" s="82" t="s">
        <v>104</v>
      </c>
      <c r="E4" s="82" t="s">
        <v>104</v>
      </c>
      <c r="F4" s="82" t="s">
        <v>104</v>
      </c>
      <c r="G4" s="82" t="s">
        <v>104</v>
      </c>
      <c r="H4" s="83"/>
      <c r="I4" s="5"/>
    </row>
    <row r="5" spans="2:18" ht="15.75" customHeight="1">
      <c r="C5" s="2"/>
    </row>
    <row r="6" spans="2:18" ht="26.25" customHeight="1">
      <c r="B6" s="1" t="s">
        <v>326</v>
      </c>
      <c r="C6" s="589" t="s">
        <v>327</v>
      </c>
      <c r="D6" s="591"/>
      <c r="E6" s="490" t="s">
        <v>414</v>
      </c>
      <c r="F6" s="491"/>
      <c r="G6" s="101"/>
      <c r="H6" s="101"/>
    </row>
    <row r="7" spans="2:18" ht="26.25" customHeight="1">
      <c r="B7" s="1" t="s">
        <v>326</v>
      </c>
      <c r="C7" s="589" t="s">
        <v>329</v>
      </c>
      <c r="D7" s="591"/>
      <c r="E7" s="490">
        <v>4</v>
      </c>
      <c r="F7" s="491"/>
      <c r="G7" s="101"/>
      <c r="H7" s="101"/>
    </row>
    <row r="8" spans="2:18" ht="15.5" customHeight="1"/>
    <row r="9" spans="2:18">
      <c r="C9" s="69" t="s">
        <v>441</v>
      </c>
      <c r="D9" s="71"/>
      <c r="E9" s="71"/>
      <c r="F9" s="71"/>
      <c r="G9" s="71"/>
      <c r="H9" s="71"/>
      <c r="I9" s="71"/>
      <c r="J9" s="71"/>
      <c r="K9" s="71"/>
      <c r="L9" s="71"/>
      <c r="M9" s="71"/>
      <c r="N9" s="71"/>
      <c r="O9" s="71"/>
      <c r="P9" s="71"/>
      <c r="Q9" s="71"/>
      <c r="R9" s="71"/>
    </row>
    <row r="10" spans="2:18" ht="30" customHeight="1">
      <c r="C10" s="70" t="s">
        <v>331</v>
      </c>
      <c r="D10" s="84" t="s">
        <v>1041</v>
      </c>
      <c r="E10" s="84" t="s">
        <v>1042</v>
      </c>
      <c r="F10" s="84" t="s">
        <v>1043</v>
      </c>
      <c r="G10" s="84" t="s">
        <v>1044</v>
      </c>
      <c r="H10" s="84" t="s">
        <v>336</v>
      </c>
      <c r="I10" s="84" t="s">
        <v>337</v>
      </c>
      <c r="J10" s="84" t="s">
        <v>338</v>
      </c>
      <c r="K10" s="84" t="s">
        <v>339</v>
      </c>
      <c r="L10" s="84" t="s">
        <v>340</v>
      </c>
      <c r="M10" s="84" t="s">
        <v>341</v>
      </c>
      <c r="N10" s="84" t="s">
        <v>342</v>
      </c>
      <c r="O10" s="84" t="s">
        <v>343</v>
      </c>
      <c r="P10" s="84" t="s">
        <v>344</v>
      </c>
      <c r="Q10" s="84" t="s">
        <v>345</v>
      </c>
      <c r="R10" s="84" t="s">
        <v>346</v>
      </c>
    </row>
    <row r="11" spans="2:18" ht="15" customHeight="1">
      <c r="C11" s="104" t="s">
        <v>299</v>
      </c>
      <c r="D11" s="131" t="s">
        <v>1045</v>
      </c>
      <c r="E11" s="131" t="s">
        <v>1045</v>
      </c>
      <c r="F11" s="131" t="s">
        <v>1045</v>
      </c>
      <c r="G11" s="131" t="s">
        <v>1045</v>
      </c>
      <c r="H11" s="131"/>
      <c r="I11" s="131"/>
      <c r="J11" s="489"/>
      <c r="K11" s="489"/>
      <c r="L11" s="489"/>
      <c r="M11" s="489"/>
      <c r="N11" s="489"/>
      <c r="O11" s="489"/>
      <c r="P11" s="489"/>
      <c r="Q11" s="489"/>
      <c r="R11" s="489"/>
    </row>
    <row r="12" spans="2:18" ht="15" customHeight="1">
      <c r="C12" s="68"/>
      <c r="D12" s="471"/>
      <c r="E12" s="329"/>
      <c r="F12" s="329"/>
      <c r="G12" s="329"/>
      <c r="H12" s="329"/>
      <c r="I12" s="329"/>
      <c r="J12" s="472"/>
      <c r="K12" s="472"/>
      <c r="L12" s="472"/>
      <c r="M12" s="472"/>
      <c r="N12" s="472"/>
      <c r="O12" s="472"/>
      <c r="P12" s="472"/>
      <c r="Q12" s="472"/>
      <c r="R12" s="472"/>
    </row>
    <row r="13" spans="2:18" ht="30" customHeight="1">
      <c r="B13" s="7" t="s">
        <v>348</v>
      </c>
      <c r="C13" s="8" t="s">
        <v>349</v>
      </c>
      <c r="D13" s="86" t="s">
        <v>749</v>
      </c>
      <c r="E13" s="86" t="s">
        <v>749</v>
      </c>
      <c r="F13" s="85" t="s">
        <v>753</v>
      </c>
      <c r="G13" s="85" t="s">
        <v>753</v>
      </c>
      <c r="H13" s="85"/>
      <c r="I13" s="85"/>
      <c r="J13" s="85"/>
      <c r="K13" s="85"/>
      <c r="L13" s="85"/>
      <c r="M13" s="85"/>
      <c r="N13" s="85"/>
      <c r="O13" s="85"/>
      <c r="P13" s="85"/>
      <c r="Q13" s="85"/>
      <c r="R13" s="85"/>
    </row>
    <row r="14" spans="2:18" ht="77.25" customHeight="1">
      <c r="B14" s="7" t="s">
        <v>352</v>
      </c>
      <c r="C14" s="8" t="s">
        <v>297</v>
      </c>
      <c r="D14" s="86" t="s">
        <v>105</v>
      </c>
      <c r="E14" s="86" t="s">
        <v>105</v>
      </c>
      <c r="F14" s="85" t="s">
        <v>105</v>
      </c>
      <c r="G14" s="85" t="s">
        <v>105</v>
      </c>
      <c r="H14" s="85"/>
      <c r="I14" s="85"/>
      <c r="J14" s="85"/>
      <c r="K14" s="85"/>
      <c r="L14" s="85"/>
      <c r="M14" s="85"/>
      <c r="N14" s="85"/>
      <c r="O14" s="85"/>
      <c r="P14" s="85"/>
      <c r="Q14" s="85"/>
      <c r="R14" s="85"/>
    </row>
    <row r="15" spans="2:18" ht="30" customHeight="1">
      <c r="B15" s="7" t="s">
        <v>353</v>
      </c>
      <c r="C15" s="8" t="s">
        <v>354</v>
      </c>
      <c r="D15" s="86" t="s">
        <v>106</v>
      </c>
      <c r="E15" s="86" t="s">
        <v>106</v>
      </c>
      <c r="F15" s="85" t="s">
        <v>106</v>
      </c>
      <c r="G15" s="85" t="s">
        <v>106</v>
      </c>
      <c r="H15" s="85"/>
      <c r="I15" s="85"/>
      <c r="J15" s="85"/>
      <c r="K15" s="85"/>
      <c r="L15" s="85"/>
      <c r="M15" s="85"/>
      <c r="N15" s="85"/>
      <c r="O15" s="85"/>
      <c r="P15" s="85"/>
      <c r="Q15" s="85"/>
      <c r="R15" s="85"/>
    </row>
    <row r="16" spans="2:18" ht="15" customHeight="1">
      <c r="B16" s="7" t="s">
        <v>355</v>
      </c>
      <c r="C16" s="8" t="s">
        <v>356</v>
      </c>
      <c r="D16" s="86">
        <v>97438</v>
      </c>
      <c r="E16" s="86">
        <v>97438</v>
      </c>
      <c r="F16" s="85">
        <v>97438</v>
      </c>
      <c r="G16" s="85">
        <v>97438</v>
      </c>
      <c r="H16" s="85"/>
      <c r="I16" s="85"/>
      <c r="J16" s="85"/>
      <c r="K16" s="85"/>
      <c r="L16" s="85"/>
      <c r="M16" s="85"/>
      <c r="N16" s="85"/>
      <c r="O16" s="85"/>
      <c r="P16" s="85"/>
      <c r="Q16" s="85"/>
      <c r="R16" s="85"/>
    </row>
    <row r="17" spans="1:18" ht="15" customHeight="1">
      <c r="B17" s="7" t="s">
        <v>357</v>
      </c>
      <c r="C17" s="8" t="s">
        <v>294</v>
      </c>
      <c r="D17" s="85" t="s">
        <v>29</v>
      </c>
      <c r="E17" s="85" t="s">
        <v>29</v>
      </c>
      <c r="F17" s="85" t="s">
        <v>29</v>
      </c>
      <c r="G17" s="85" t="s">
        <v>29</v>
      </c>
      <c r="H17" s="85"/>
      <c r="I17" s="85"/>
      <c r="J17" s="85"/>
      <c r="K17" s="85"/>
      <c r="L17" s="85"/>
      <c r="M17" s="85"/>
      <c r="N17" s="85"/>
      <c r="O17" s="85"/>
      <c r="P17" s="85"/>
      <c r="Q17" s="85"/>
      <c r="R17" s="85"/>
    </row>
    <row r="18" spans="1:18" ht="15" customHeight="1">
      <c r="B18" s="9" t="s">
        <v>358</v>
      </c>
      <c r="C18" s="10" t="s">
        <v>359</v>
      </c>
      <c r="D18" s="86" t="s">
        <v>360</v>
      </c>
      <c r="E18" s="86" t="s">
        <v>360</v>
      </c>
      <c r="F18" s="85" t="s">
        <v>360</v>
      </c>
      <c r="G18" s="85" t="s">
        <v>360</v>
      </c>
      <c r="H18" s="85"/>
      <c r="I18" s="85"/>
      <c r="J18" s="85"/>
      <c r="K18" s="85"/>
      <c r="L18" s="85"/>
      <c r="M18" s="85"/>
      <c r="N18" s="85"/>
      <c r="O18" s="85"/>
      <c r="P18" s="85"/>
      <c r="Q18" s="85"/>
      <c r="R18" s="85"/>
    </row>
    <row r="19" spans="1:18" ht="45.75" customHeight="1">
      <c r="B19" s="9" t="s">
        <v>361</v>
      </c>
      <c r="C19" s="10" t="s">
        <v>362</v>
      </c>
      <c r="D19" s="86" t="s">
        <v>328</v>
      </c>
      <c r="E19" s="86" t="s">
        <v>328</v>
      </c>
      <c r="F19" s="85" t="s">
        <v>328</v>
      </c>
      <c r="G19" s="85" t="s">
        <v>328</v>
      </c>
      <c r="H19" s="85"/>
      <c r="I19" s="85"/>
      <c r="J19" s="85"/>
      <c r="K19" s="85"/>
      <c r="L19" s="85"/>
      <c r="M19" s="85"/>
      <c r="N19" s="85"/>
      <c r="O19" s="85"/>
      <c r="P19" s="85"/>
      <c r="Q19" s="85"/>
      <c r="R19" s="85"/>
    </row>
    <row r="20" spans="1:18" ht="45" customHeight="1">
      <c r="B20" s="9" t="s">
        <v>363</v>
      </c>
      <c r="C20" s="10" t="s">
        <v>364</v>
      </c>
      <c r="D20" s="86" t="s">
        <v>1046</v>
      </c>
      <c r="E20" s="86" t="s">
        <v>1046</v>
      </c>
      <c r="F20" s="85" t="s">
        <v>1046</v>
      </c>
      <c r="G20" s="85" t="s">
        <v>1046</v>
      </c>
      <c r="H20" s="85"/>
      <c r="I20" s="85"/>
      <c r="J20" s="85"/>
      <c r="K20" s="85"/>
      <c r="L20" s="85"/>
      <c r="M20" s="85"/>
      <c r="N20" s="85"/>
      <c r="O20" s="85"/>
      <c r="P20" s="85"/>
      <c r="Q20" s="85"/>
      <c r="R20" s="85"/>
    </row>
    <row r="21" spans="1:18" ht="30" customHeight="1">
      <c r="B21" s="11" t="s">
        <v>365</v>
      </c>
      <c r="C21" s="12" t="s">
        <v>366</v>
      </c>
      <c r="D21" s="86" t="s">
        <v>1047</v>
      </c>
      <c r="E21" s="86" t="s">
        <v>1047</v>
      </c>
      <c r="F21" s="85" t="s">
        <v>1047</v>
      </c>
      <c r="G21" s="85" t="s">
        <v>1047</v>
      </c>
      <c r="H21" s="85"/>
      <c r="I21" s="85"/>
      <c r="J21" s="85"/>
      <c r="K21" s="85"/>
      <c r="L21" s="85"/>
      <c r="M21" s="85"/>
      <c r="N21" s="85"/>
      <c r="O21" s="85"/>
      <c r="P21" s="85"/>
      <c r="Q21" s="85"/>
      <c r="R21" s="85"/>
    </row>
    <row r="22" spans="1:18" ht="30" customHeight="1">
      <c r="B22" s="11" t="s">
        <v>369</v>
      </c>
      <c r="C22" s="12" t="s">
        <v>370</v>
      </c>
      <c r="D22" s="86" t="s">
        <v>1046</v>
      </c>
      <c r="E22" s="86" t="s">
        <v>1046</v>
      </c>
      <c r="F22" s="85" t="s">
        <v>1046</v>
      </c>
      <c r="G22" s="85" t="s">
        <v>1046</v>
      </c>
      <c r="H22" s="85"/>
      <c r="I22" s="85"/>
      <c r="J22" s="85"/>
      <c r="K22" s="85"/>
      <c r="L22" s="85"/>
      <c r="M22" s="85"/>
      <c r="N22" s="85"/>
      <c r="O22" s="85"/>
      <c r="P22" s="85"/>
      <c r="Q22" s="85"/>
      <c r="R22" s="85"/>
    </row>
    <row r="23" spans="1:18" ht="30" customHeight="1">
      <c r="B23" s="13"/>
      <c r="C23" s="87" t="s">
        <v>374</v>
      </c>
      <c r="D23" s="85" t="s">
        <v>374</v>
      </c>
      <c r="E23" s="85" t="s">
        <v>374</v>
      </c>
      <c r="F23" s="85" t="s">
        <v>374</v>
      </c>
      <c r="G23" s="85" t="s">
        <v>374</v>
      </c>
      <c r="H23" s="85"/>
      <c r="I23" s="85"/>
      <c r="J23" s="85"/>
      <c r="K23" s="85"/>
      <c r="L23" s="85"/>
      <c r="M23" s="85"/>
      <c r="N23" s="85"/>
      <c r="O23" s="85"/>
      <c r="P23" s="85"/>
      <c r="Q23" s="85"/>
      <c r="R23" s="85"/>
    </row>
    <row r="24" spans="1:18" ht="45" customHeight="1">
      <c r="B24" s="13" t="s">
        <v>375</v>
      </c>
      <c r="C24" s="14" t="s">
        <v>376</v>
      </c>
      <c r="D24" s="88">
        <v>1100</v>
      </c>
      <c r="E24" s="88">
        <v>326</v>
      </c>
      <c r="F24" s="88">
        <v>550</v>
      </c>
      <c r="G24" s="88">
        <v>213</v>
      </c>
      <c r="H24" s="88"/>
      <c r="I24" s="88"/>
      <c r="J24" s="88"/>
      <c r="K24" s="88"/>
      <c r="L24" s="88"/>
      <c r="M24" s="88"/>
      <c r="N24" s="88"/>
      <c r="O24" s="88"/>
      <c r="P24" s="88"/>
      <c r="Q24" s="88"/>
      <c r="R24" s="88"/>
    </row>
    <row r="25" spans="1:18" ht="45" customHeight="1">
      <c r="A25"/>
      <c r="B25" s="481" t="s">
        <v>377</v>
      </c>
      <c r="C25" s="16" t="s">
        <v>378</v>
      </c>
      <c r="D25" s="119"/>
      <c r="E25" s="119"/>
      <c r="F25" s="85"/>
      <c r="G25" s="85"/>
      <c r="H25" s="85"/>
      <c r="I25" s="85"/>
      <c r="J25" s="85"/>
      <c r="K25" s="85"/>
      <c r="L25" s="85"/>
      <c r="M25" s="85"/>
      <c r="N25" s="85"/>
      <c r="O25" s="85"/>
      <c r="P25" s="85"/>
      <c r="Q25" s="85"/>
      <c r="R25" s="85"/>
    </row>
    <row r="26" spans="1:18" ht="45" customHeight="1">
      <c r="A26"/>
      <c r="B26" s="481" t="s">
        <v>380</v>
      </c>
      <c r="C26" s="16" t="s">
        <v>381</v>
      </c>
      <c r="D26" s="89" t="s">
        <v>449</v>
      </c>
      <c r="E26" s="89" t="s">
        <v>449</v>
      </c>
      <c r="F26" s="88" t="s">
        <v>449</v>
      </c>
      <c r="G26" s="88" t="s">
        <v>449</v>
      </c>
      <c r="H26" s="85"/>
      <c r="I26" s="85"/>
      <c r="J26" s="85"/>
      <c r="K26" s="85"/>
      <c r="L26" s="85"/>
      <c r="M26" s="85"/>
      <c r="N26" s="85"/>
      <c r="O26" s="85"/>
      <c r="P26" s="85"/>
      <c r="Q26" s="85"/>
      <c r="R26" s="85"/>
    </row>
    <row r="27" spans="1:18" ht="45" customHeight="1">
      <c r="A27"/>
      <c r="B27" s="481"/>
      <c r="C27" s="16"/>
      <c r="D27" s="89"/>
      <c r="E27" s="89"/>
      <c r="F27" s="88"/>
      <c r="G27" s="85"/>
      <c r="H27" s="85"/>
      <c r="I27" s="85"/>
      <c r="J27" s="85"/>
      <c r="K27" s="85"/>
      <c r="L27" s="85"/>
      <c r="M27" s="85"/>
      <c r="N27" s="85"/>
      <c r="O27" s="85"/>
      <c r="P27" s="85"/>
      <c r="Q27" s="85"/>
      <c r="R27" s="85"/>
    </row>
    <row r="28" spans="1:18" ht="45" customHeight="1">
      <c r="A28"/>
      <c r="B28" s="481" t="s">
        <v>384</v>
      </c>
      <c r="C28" s="16" t="s">
        <v>450</v>
      </c>
      <c r="D28" s="325">
        <v>11.47</v>
      </c>
      <c r="E28" s="325">
        <v>12.83</v>
      </c>
      <c r="F28" s="88">
        <v>12.42</v>
      </c>
      <c r="G28" s="85">
        <v>15.14</v>
      </c>
      <c r="H28" s="85"/>
      <c r="I28" s="85"/>
      <c r="J28" s="85"/>
      <c r="K28" s="85"/>
      <c r="L28" s="85"/>
      <c r="M28" s="85"/>
      <c r="N28" s="85"/>
      <c r="O28" s="85"/>
      <c r="P28" s="85"/>
      <c r="Q28" s="85"/>
      <c r="R28" s="85"/>
    </row>
    <row r="29" spans="1:18" ht="45" customHeight="1">
      <c r="A29"/>
      <c r="B29" s="481" t="s">
        <v>387</v>
      </c>
      <c r="C29" s="16" t="s">
        <v>388</v>
      </c>
      <c r="D29" s="121">
        <v>3.5000000000000003E-2</v>
      </c>
      <c r="E29" s="121">
        <v>3.5000000000000003E-2</v>
      </c>
      <c r="F29" s="374">
        <v>3.5000000000000003E-2</v>
      </c>
      <c r="G29" s="374">
        <v>3.5000000000000003E-2</v>
      </c>
      <c r="H29" s="85"/>
      <c r="I29" s="85"/>
      <c r="J29" s="85"/>
      <c r="K29" s="85"/>
      <c r="L29" s="85"/>
      <c r="M29" s="85"/>
      <c r="N29" s="85"/>
      <c r="O29" s="85"/>
      <c r="P29" s="85"/>
      <c r="Q29" s="85"/>
      <c r="R29" s="85"/>
    </row>
    <row r="30" spans="1:18" ht="60" customHeight="1">
      <c r="A30"/>
      <c r="B30" s="482" t="s">
        <v>390</v>
      </c>
      <c r="C30" s="17" t="s">
        <v>453</v>
      </c>
      <c r="D30" s="594" t="s">
        <v>1048</v>
      </c>
      <c r="E30" s="595"/>
      <c r="F30" s="595"/>
      <c r="G30" s="596"/>
      <c r="H30" s="85"/>
      <c r="I30" s="85"/>
      <c r="J30" s="85"/>
      <c r="K30" s="85"/>
      <c r="L30" s="85"/>
      <c r="M30" s="85"/>
      <c r="N30" s="85"/>
      <c r="O30" s="85"/>
      <c r="P30" s="85"/>
      <c r="Q30" s="85"/>
      <c r="R30" s="85"/>
    </row>
    <row r="31" spans="1:18" ht="60" customHeight="1">
      <c r="A31"/>
      <c r="B31" s="482"/>
      <c r="C31" s="17"/>
      <c r="D31" s="85"/>
      <c r="E31" s="85"/>
      <c r="F31" s="85"/>
      <c r="G31" s="85"/>
      <c r="H31" s="85"/>
      <c r="I31" s="85"/>
      <c r="J31" s="85"/>
      <c r="K31" s="85"/>
      <c r="L31" s="85"/>
      <c r="M31" s="85"/>
      <c r="N31" s="85"/>
      <c r="O31" s="85"/>
      <c r="P31" s="85"/>
      <c r="Q31" s="85"/>
      <c r="R31" s="85"/>
    </row>
    <row r="32" spans="1:18" ht="60" customHeight="1">
      <c r="A32"/>
      <c r="B32" s="482" t="s">
        <v>394</v>
      </c>
      <c r="C32" s="17" t="s">
        <v>395</v>
      </c>
      <c r="D32" s="85" t="s">
        <v>410</v>
      </c>
      <c r="E32" s="85" t="s">
        <v>410</v>
      </c>
      <c r="F32" s="85" t="s">
        <v>410</v>
      </c>
      <c r="G32" s="85" t="s">
        <v>410</v>
      </c>
      <c r="H32" s="85"/>
      <c r="I32" s="85"/>
      <c r="J32" s="85"/>
      <c r="K32" s="85"/>
      <c r="L32" s="85"/>
      <c r="M32" s="85"/>
      <c r="N32" s="85"/>
      <c r="O32" s="85"/>
      <c r="P32" s="85"/>
      <c r="Q32" s="85"/>
      <c r="R32" s="85"/>
    </row>
    <row r="33" spans="1:18" ht="30" customHeight="1">
      <c r="A33"/>
      <c r="B33" s="483" t="s">
        <v>397</v>
      </c>
      <c r="C33" s="19" t="s">
        <v>313</v>
      </c>
      <c r="D33" s="91">
        <v>42736</v>
      </c>
      <c r="E33" s="91">
        <v>41944</v>
      </c>
      <c r="F33" s="91">
        <v>44986</v>
      </c>
      <c r="G33" s="91">
        <v>45387</v>
      </c>
      <c r="H33" s="91"/>
      <c r="I33" s="91"/>
      <c r="J33" s="85"/>
      <c r="K33" s="85"/>
      <c r="L33" s="85"/>
      <c r="M33" s="85"/>
      <c r="N33" s="85"/>
      <c r="O33" s="85"/>
      <c r="P33" s="85"/>
      <c r="Q33" s="85"/>
      <c r="R33" s="85"/>
    </row>
    <row r="34" spans="1:18" ht="30" customHeight="1">
      <c r="A34"/>
      <c r="B34" s="484" t="s">
        <v>398</v>
      </c>
      <c r="C34" s="19" t="s">
        <v>315</v>
      </c>
      <c r="D34" s="91">
        <v>46022</v>
      </c>
      <c r="E34" s="91">
        <v>48518</v>
      </c>
      <c r="F34" s="91">
        <v>46081</v>
      </c>
      <c r="G34" s="91">
        <v>48673</v>
      </c>
      <c r="H34" s="91"/>
      <c r="I34" s="91"/>
      <c r="J34" s="85"/>
      <c r="K34" s="85"/>
      <c r="L34" s="85"/>
      <c r="M34" s="85"/>
      <c r="N34" s="85"/>
      <c r="O34" s="85"/>
      <c r="P34" s="85"/>
      <c r="Q34" s="85"/>
      <c r="R34" s="85"/>
    </row>
    <row r="35" spans="1:18" ht="30" customHeight="1">
      <c r="A35"/>
      <c r="B35" s="484" t="s">
        <v>399</v>
      </c>
      <c r="C35" s="19" t="s">
        <v>400</v>
      </c>
      <c r="D35" s="91">
        <v>45838</v>
      </c>
      <c r="E35" s="91">
        <v>48365</v>
      </c>
      <c r="F35" s="91">
        <v>48457</v>
      </c>
      <c r="G35" s="91">
        <v>48856</v>
      </c>
      <c r="H35" s="85"/>
      <c r="I35" s="85"/>
      <c r="J35" s="85"/>
      <c r="K35" s="85"/>
      <c r="L35" s="85"/>
      <c r="M35" s="85"/>
      <c r="N35" s="85"/>
      <c r="O35" s="85"/>
      <c r="P35" s="85"/>
      <c r="Q35" s="85"/>
      <c r="R35" s="85"/>
    </row>
    <row r="36" spans="1:18" ht="30" customHeight="1">
      <c r="A36"/>
      <c r="B36" s="484" t="s">
        <v>402</v>
      </c>
      <c r="C36" s="21" t="s">
        <v>403</v>
      </c>
      <c r="D36" s="92" t="s">
        <v>414</v>
      </c>
      <c r="E36" s="92" t="s">
        <v>414</v>
      </c>
      <c r="F36" s="93" t="s">
        <v>414</v>
      </c>
      <c r="G36" s="93" t="s">
        <v>414</v>
      </c>
      <c r="H36" s="93"/>
      <c r="I36" s="93"/>
      <c r="J36" s="85"/>
      <c r="K36" s="85"/>
      <c r="L36" s="85"/>
      <c r="M36" s="85"/>
      <c r="N36" s="85"/>
      <c r="O36" s="85"/>
      <c r="P36" s="85"/>
      <c r="Q36" s="85"/>
      <c r="R36" s="85"/>
    </row>
    <row r="37" spans="1:18" ht="45" customHeight="1">
      <c r="A37"/>
      <c r="B37" s="484" t="s">
        <v>404</v>
      </c>
      <c r="C37" s="21" t="s">
        <v>405</v>
      </c>
      <c r="D37" s="92" t="s">
        <v>1049</v>
      </c>
      <c r="E37" s="92" t="s">
        <v>1049</v>
      </c>
      <c r="F37" s="93" t="s">
        <v>1049</v>
      </c>
      <c r="G37" s="93" t="s">
        <v>1049</v>
      </c>
      <c r="H37" s="93"/>
      <c r="I37" s="93"/>
      <c r="J37" s="85"/>
      <c r="K37" s="85"/>
      <c r="L37" s="85"/>
      <c r="M37" s="85"/>
      <c r="N37" s="85"/>
      <c r="O37" s="85"/>
      <c r="P37" s="85"/>
      <c r="Q37" s="85"/>
      <c r="R37" s="85"/>
    </row>
    <row r="38" spans="1:18" ht="30" customHeight="1">
      <c r="A38"/>
      <c r="B38" s="484" t="s">
        <v>406</v>
      </c>
      <c r="C38" s="21" t="s">
        <v>407</v>
      </c>
      <c r="D38" s="92" t="s">
        <v>414</v>
      </c>
      <c r="E38" s="92" t="s">
        <v>414</v>
      </c>
      <c r="F38" s="93" t="s">
        <v>414</v>
      </c>
      <c r="G38" s="93" t="s">
        <v>414</v>
      </c>
      <c r="H38" s="93"/>
      <c r="I38" s="93"/>
      <c r="J38" s="85"/>
      <c r="K38" s="85"/>
      <c r="L38" s="85"/>
      <c r="M38" s="85"/>
      <c r="N38" s="85"/>
      <c r="O38" s="85"/>
      <c r="P38" s="85"/>
      <c r="Q38" s="85"/>
      <c r="R38" s="85"/>
    </row>
    <row r="39" spans="1:18" ht="30" customHeight="1">
      <c r="A39"/>
      <c r="B39" s="484" t="s">
        <v>408</v>
      </c>
      <c r="C39" s="21" t="s">
        <v>409</v>
      </c>
      <c r="D39" s="136">
        <v>6</v>
      </c>
      <c r="E39" s="136">
        <v>6</v>
      </c>
      <c r="F39" s="95">
        <v>6</v>
      </c>
      <c r="G39" s="95">
        <v>6</v>
      </c>
      <c r="H39" s="93"/>
      <c r="I39" s="93"/>
      <c r="J39" s="85"/>
      <c r="K39" s="85"/>
      <c r="L39" s="85"/>
      <c r="M39" s="85"/>
      <c r="N39" s="85"/>
      <c r="O39" s="85"/>
      <c r="P39" s="85"/>
      <c r="Q39" s="85"/>
      <c r="R39" s="85"/>
    </row>
    <row r="40" spans="1:18" ht="45" customHeight="1">
      <c r="A40"/>
      <c r="B40" s="484" t="s">
        <v>411</v>
      </c>
      <c r="C40" s="21" t="s">
        <v>314</v>
      </c>
      <c r="D40" s="92">
        <v>47118</v>
      </c>
      <c r="E40" s="93">
        <v>48518</v>
      </c>
      <c r="F40" s="93">
        <v>48273</v>
      </c>
      <c r="G40" s="93">
        <v>48673</v>
      </c>
      <c r="H40" s="93"/>
      <c r="I40" s="93"/>
      <c r="J40" s="85"/>
      <c r="K40" s="85"/>
      <c r="L40" s="85"/>
      <c r="M40" s="85"/>
      <c r="N40" s="85"/>
      <c r="O40" s="85"/>
      <c r="P40" s="85"/>
      <c r="Q40" s="85"/>
      <c r="R40" s="85"/>
    </row>
    <row r="41" spans="1:18" ht="60" customHeight="1">
      <c r="A41"/>
      <c r="B41" s="485" t="s">
        <v>412</v>
      </c>
      <c r="C41" s="23" t="s">
        <v>413</v>
      </c>
      <c r="D41" s="92" t="s">
        <v>328</v>
      </c>
      <c r="E41" s="92" t="s">
        <v>328</v>
      </c>
      <c r="F41" s="92" t="s">
        <v>328</v>
      </c>
      <c r="G41" s="92" t="s">
        <v>328</v>
      </c>
      <c r="H41" s="93"/>
      <c r="I41" s="92"/>
      <c r="J41" s="92"/>
      <c r="K41" s="92"/>
      <c r="L41" s="92"/>
      <c r="M41" s="92"/>
      <c r="N41" s="92"/>
      <c r="O41" s="92"/>
      <c r="P41" s="92"/>
      <c r="Q41" s="92"/>
      <c r="R41" s="92"/>
    </row>
    <row r="42" spans="1:18" ht="75" customHeight="1">
      <c r="A42"/>
      <c r="B42" s="486" t="s">
        <v>457</v>
      </c>
      <c r="C42" s="23" t="s">
        <v>458</v>
      </c>
      <c r="D42" s="95" t="s">
        <v>328</v>
      </c>
      <c r="E42" s="95" t="s">
        <v>328</v>
      </c>
      <c r="F42" s="95" t="s">
        <v>328</v>
      </c>
      <c r="G42" s="95" t="s">
        <v>328</v>
      </c>
      <c r="H42" s="95"/>
      <c r="I42" s="95"/>
      <c r="J42" s="95"/>
      <c r="K42" s="95"/>
      <c r="L42" s="95"/>
      <c r="M42" s="95"/>
      <c r="N42" s="95"/>
      <c r="O42" s="95"/>
      <c r="P42" s="95"/>
      <c r="Q42" s="95"/>
      <c r="R42" s="95"/>
    </row>
    <row r="43" spans="1:18" ht="60" customHeight="1">
      <c r="A43"/>
      <c r="B43" s="487" t="s">
        <v>418</v>
      </c>
      <c r="C43" s="26" t="s">
        <v>419</v>
      </c>
      <c r="D43" s="85" t="s">
        <v>328</v>
      </c>
      <c r="E43" s="85" t="s">
        <v>328</v>
      </c>
      <c r="F43" s="85" t="s">
        <v>328</v>
      </c>
      <c r="G43" s="85" t="s">
        <v>328</v>
      </c>
      <c r="H43" s="85"/>
      <c r="I43" s="85"/>
      <c r="J43" s="85"/>
      <c r="K43" s="85"/>
      <c r="L43" s="85"/>
      <c r="M43" s="85"/>
      <c r="N43" s="85"/>
      <c r="O43" s="85"/>
      <c r="P43" s="85"/>
      <c r="Q43" s="85"/>
      <c r="R43" s="85"/>
    </row>
    <row r="44" spans="1:18" ht="75" customHeight="1">
      <c r="A44"/>
      <c r="B44" s="487" t="s">
        <v>420</v>
      </c>
      <c r="C44" s="26" t="s">
        <v>421</v>
      </c>
      <c r="D44" s="85" t="s">
        <v>328</v>
      </c>
      <c r="E44" s="85" t="s">
        <v>328</v>
      </c>
      <c r="F44" s="85" t="s">
        <v>328</v>
      </c>
      <c r="G44" s="85" t="s">
        <v>328</v>
      </c>
      <c r="H44" s="85"/>
      <c r="I44" s="85"/>
      <c r="J44" s="85"/>
      <c r="K44" s="85"/>
      <c r="L44" s="85"/>
      <c r="M44" s="85"/>
      <c r="N44" s="85"/>
      <c r="O44" s="85"/>
      <c r="P44" s="85"/>
      <c r="Q44" s="85"/>
      <c r="R44" s="85"/>
    </row>
    <row r="45" spans="1:18">
      <c r="A45"/>
      <c r="B45" s="27"/>
      <c r="C45" s="27"/>
      <c r="D45" s="27"/>
      <c r="E45" s="27"/>
      <c r="F45" s="27"/>
      <c r="G45" s="27"/>
      <c r="H45" s="27"/>
      <c r="I45" s="27"/>
      <c r="J45" s="27"/>
      <c r="K45" s="27"/>
      <c r="L45" s="27"/>
      <c r="M45" s="27"/>
      <c r="N45" s="27"/>
      <c r="O45" s="27"/>
      <c r="P45" s="27"/>
      <c r="Q45" s="27"/>
      <c r="R45" s="27"/>
    </row>
    <row r="46" spans="1:18" ht="45" customHeight="1">
      <c r="A46"/>
      <c r="B46" s="27"/>
      <c r="C46" s="28" t="s">
        <v>484</v>
      </c>
      <c r="D46" s="365">
        <v>286</v>
      </c>
      <c r="E46" s="477">
        <v>85</v>
      </c>
      <c r="F46" s="85">
        <v>59</v>
      </c>
      <c r="G46" s="85">
        <v>42</v>
      </c>
      <c r="H46" s="85"/>
      <c r="I46" s="85"/>
      <c r="J46" s="85"/>
      <c r="K46" s="85"/>
      <c r="L46" s="85"/>
      <c r="M46" s="85"/>
      <c r="N46" s="85"/>
      <c r="O46" s="85"/>
      <c r="P46" s="85"/>
      <c r="Q46" s="85"/>
      <c r="R46" s="85"/>
    </row>
    <row r="47" spans="1:18" ht="42" customHeight="1">
      <c r="A47"/>
      <c r="B47" s="27"/>
      <c r="C47" s="29" t="s">
        <v>485</v>
      </c>
      <c r="D47" s="594">
        <v>38</v>
      </c>
      <c r="E47" s="596"/>
      <c r="F47" s="85">
        <v>0</v>
      </c>
      <c r="G47" s="85">
        <v>0</v>
      </c>
      <c r="H47" s="85"/>
      <c r="I47" s="85"/>
      <c r="J47" s="85"/>
      <c r="K47" s="85"/>
      <c r="L47" s="85"/>
      <c r="M47" s="85"/>
      <c r="N47" s="85"/>
      <c r="O47" s="85"/>
      <c r="P47" s="85"/>
      <c r="Q47" s="85"/>
      <c r="R47" s="85"/>
    </row>
    <row r="48" spans="1:18" ht="43" customHeight="1">
      <c r="A48"/>
      <c r="B48" s="27"/>
      <c r="C48" s="29" t="s">
        <v>486</v>
      </c>
      <c r="D48" s="478">
        <v>333</v>
      </c>
      <c r="E48" s="478"/>
      <c r="F48" s="85">
        <v>59</v>
      </c>
      <c r="G48" s="85">
        <v>42</v>
      </c>
      <c r="H48" s="85"/>
      <c r="I48" s="85"/>
      <c r="J48" s="85"/>
      <c r="K48" s="85"/>
      <c r="L48" s="85"/>
      <c r="M48" s="85"/>
      <c r="N48" s="85"/>
      <c r="O48" s="85"/>
      <c r="P48" s="85"/>
      <c r="Q48" s="85"/>
      <c r="R48" s="85"/>
    </row>
    <row r="49" spans="1:18" ht="9.5" customHeight="1">
      <c r="A49"/>
      <c r="B49" s="27"/>
      <c r="C49" s="30"/>
      <c r="D49" s="96"/>
      <c r="E49" s="96"/>
      <c r="F49" s="96"/>
      <c r="G49" s="96"/>
      <c r="H49" s="96"/>
      <c r="I49" s="96"/>
      <c r="J49" s="96"/>
      <c r="K49" s="96"/>
      <c r="L49" s="96"/>
      <c r="M49" s="96"/>
      <c r="N49" s="96"/>
      <c r="O49" s="96"/>
      <c r="P49" s="96"/>
      <c r="Q49" s="96"/>
      <c r="R49" s="96"/>
    </row>
    <row r="50" spans="1:18" ht="30" customHeight="1">
      <c r="A50"/>
      <c r="B50" s="27"/>
      <c r="C50" s="28" t="s">
        <v>426</v>
      </c>
      <c r="D50" s="85">
        <v>292</v>
      </c>
      <c r="E50" s="85">
        <v>89</v>
      </c>
      <c r="F50" s="85">
        <v>59</v>
      </c>
      <c r="G50" s="85">
        <v>42</v>
      </c>
      <c r="H50" s="85"/>
      <c r="I50" s="85"/>
      <c r="J50" s="85"/>
      <c r="K50" s="85"/>
      <c r="L50" s="85"/>
      <c r="M50" s="85"/>
      <c r="N50" s="85"/>
      <c r="O50" s="85"/>
      <c r="P50" s="85"/>
      <c r="Q50" s="85"/>
      <c r="R50" s="85"/>
    </row>
    <row r="51" spans="1:18" ht="45" customHeight="1">
      <c r="A51"/>
      <c r="B51" s="27"/>
      <c r="C51" s="29" t="s">
        <v>487</v>
      </c>
      <c r="D51" s="85">
        <v>80</v>
      </c>
      <c r="E51" s="85">
        <v>31</v>
      </c>
      <c r="F51" s="85">
        <v>0</v>
      </c>
      <c r="G51" s="85">
        <v>0</v>
      </c>
      <c r="H51" s="85"/>
      <c r="I51" s="85"/>
      <c r="J51" s="85"/>
      <c r="K51" s="85"/>
      <c r="L51" s="85"/>
      <c r="M51" s="85"/>
      <c r="N51" s="85"/>
      <c r="O51" s="85"/>
      <c r="P51" s="85"/>
      <c r="Q51" s="85"/>
      <c r="R51" s="85"/>
    </row>
    <row r="52" spans="1:18" ht="40" customHeight="1">
      <c r="A52"/>
      <c r="B52" s="27"/>
      <c r="C52" s="29" t="s">
        <v>488</v>
      </c>
      <c r="D52" s="85">
        <v>212</v>
      </c>
      <c r="E52" s="85">
        <v>58</v>
      </c>
      <c r="F52" s="85">
        <v>59</v>
      </c>
      <c r="G52" s="85">
        <v>42</v>
      </c>
      <c r="H52" s="85"/>
      <c r="I52" s="85"/>
      <c r="J52" s="85"/>
      <c r="K52" s="85"/>
      <c r="L52" s="85"/>
      <c r="M52" s="85"/>
      <c r="N52" s="85"/>
      <c r="O52" s="85"/>
      <c r="P52" s="85"/>
      <c r="Q52" s="85"/>
      <c r="R52" s="85"/>
    </row>
    <row r="53" spans="1:18" ht="3" customHeight="1">
      <c r="A53"/>
      <c r="B53" s="27"/>
      <c r="C53" s="31"/>
      <c r="D53" s="96"/>
      <c r="E53" s="96"/>
      <c r="F53" s="96"/>
      <c r="G53" s="96"/>
      <c r="H53" s="96"/>
      <c r="I53" s="96"/>
      <c r="J53" s="96"/>
      <c r="K53" s="96"/>
      <c r="L53" s="96"/>
      <c r="M53" s="96"/>
      <c r="N53" s="96"/>
      <c r="O53" s="96"/>
      <c r="P53" s="96"/>
      <c r="Q53" s="96"/>
      <c r="R53" s="96"/>
    </row>
    <row r="54" spans="1:18" ht="30" customHeight="1">
      <c r="A54"/>
      <c r="B54" s="27"/>
      <c r="C54" s="28" t="s">
        <v>427</v>
      </c>
      <c r="D54" s="85" t="s">
        <v>414</v>
      </c>
      <c r="E54" s="85" t="s">
        <v>328</v>
      </c>
      <c r="F54" s="85" t="s">
        <v>328</v>
      </c>
      <c r="G54" s="85" t="s">
        <v>328</v>
      </c>
      <c r="H54" s="85"/>
      <c r="I54" s="85"/>
      <c r="J54" s="85"/>
      <c r="K54" s="85"/>
      <c r="L54" s="85"/>
      <c r="M54" s="85"/>
      <c r="N54" s="85"/>
      <c r="O54" s="85"/>
      <c r="P54" s="85"/>
      <c r="Q54" s="85"/>
      <c r="R54" s="85"/>
    </row>
    <row r="55" spans="1:18" ht="30" customHeight="1">
      <c r="A55"/>
      <c r="B55" s="27"/>
      <c r="C55" s="28" t="s">
        <v>489</v>
      </c>
      <c r="D55" s="85"/>
      <c r="E55" s="85"/>
      <c r="F55" s="85"/>
      <c r="G55" s="85"/>
      <c r="H55" s="85"/>
      <c r="I55" s="85"/>
      <c r="J55" s="85"/>
      <c r="K55" s="85"/>
      <c r="L55" s="85"/>
      <c r="M55" s="85"/>
      <c r="N55" s="85"/>
      <c r="O55" s="85"/>
      <c r="P55" s="85"/>
      <c r="Q55" s="85"/>
      <c r="R55" s="85"/>
    </row>
    <row r="56" spans="1:18" ht="30" customHeight="1">
      <c r="A56"/>
      <c r="B56" s="27"/>
      <c r="C56" s="28" t="s">
        <v>490</v>
      </c>
      <c r="D56" s="85"/>
      <c r="E56" s="85"/>
      <c r="F56" s="85"/>
      <c r="G56" s="85"/>
      <c r="H56" s="85"/>
      <c r="I56" s="85"/>
      <c r="J56" s="85"/>
      <c r="K56" s="85"/>
      <c r="L56" s="85"/>
      <c r="M56" s="85"/>
      <c r="N56" s="85"/>
      <c r="O56" s="85"/>
      <c r="P56" s="85"/>
      <c r="Q56" s="85"/>
      <c r="R56" s="85"/>
    </row>
    <row r="57" spans="1:18" ht="50.5" customHeight="1">
      <c r="A57"/>
      <c r="B57" s="27"/>
      <c r="C57" s="28" t="s">
        <v>430</v>
      </c>
      <c r="D57" s="85">
        <v>3</v>
      </c>
      <c r="E57" s="85">
        <v>3</v>
      </c>
      <c r="F57" s="85">
        <v>3</v>
      </c>
      <c r="G57" s="85">
        <v>3</v>
      </c>
      <c r="H57" s="85"/>
      <c r="I57" s="85"/>
      <c r="J57" s="85"/>
      <c r="K57" s="85"/>
      <c r="L57" s="85"/>
      <c r="M57" s="85"/>
      <c r="N57" s="85"/>
      <c r="O57" s="85"/>
      <c r="P57" s="85"/>
      <c r="Q57" s="85"/>
      <c r="R57" s="85"/>
    </row>
    <row r="58" spans="1:18" ht="63" customHeight="1">
      <c r="A58"/>
      <c r="B58" s="27"/>
      <c r="C58" s="28" t="s">
        <v>431</v>
      </c>
      <c r="D58" s="85">
        <v>3</v>
      </c>
      <c r="E58" s="85">
        <v>3</v>
      </c>
      <c r="F58" s="85">
        <v>3</v>
      </c>
      <c r="G58" s="85">
        <v>3</v>
      </c>
      <c r="H58" s="85"/>
      <c r="I58" s="85"/>
      <c r="J58" s="85"/>
      <c r="K58" s="85"/>
      <c r="L58" s="85"/>
      <c r="M58" s="85"/>
      <c r="N58" s="85"/>
      <c r="O58" s="85"/>
      <c r="P58" s="85"/>
      <c r="Q58" s="85"/>
      <c r="R58" s="85"/>
    </row>
    <row r="59" spans="1:18">
      <c r="A59"/>
    </row>
    <row r="60" spans="1:18">
      <c r="A60"/>
    </row>
    <row r="61" spans="1:18" ht="15">
      <c r="A61"/>
      <c r="D61" s="1" t="s">
        <v>432</v>
      </c>
    </row>
    <row r="62" spans="1:18">
      <c r="A62"/>
      <c r="D62" s="97" t="s">
        <v>433</v>
      </c>
    </row>
    <row r="63" spans="1:18">
      <c r="D63" s="98" t="s">
        <v>434</v>
      </c>
    </row>
    <row r="64" spans="1:18">
      <c r="D64" s="98" t="s">
        <v>435</v>
      </c>
    </row>
    <row r="65" spans="4:4">
      <c r="D65" s="98" t="s">
        <v>436</v>
      </c>
    </row>
    <row r="66" spans="4:4">
      <c r="D66" s="98" t="s">
        <v>437</v>
      </c>
    </row>
    <row r="67" spans="4:4">
      <c r="D67" s="98" t="s">
        <v>438</v>
      </c>
    </row>
    <row r="69" spans="4:4" ht="15">
      <c r="D69" s="99" t="s">
        <v>439</v>
      </c>
    </row>
  </sheetData>
  <mergeCells count="4">
    <mergeCell ref="C6:D6"/>
    <mergeCell ref="C7:D7"/>
    <mergeCell ref="D30:G30"/>
    <mergeCell ref="D47:E47"/>
  </mergeCells>
  <conditionalFormatting sqref="B13:B17">
    <cfRule type="colorScale" priority="7">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97" priority="3">
      <formula>#REF!="Owned"</formula>
    </cfRule>
  </conditionalFormatting>
  <conditionalFormatting sqref="B26:B29">
    <cfRule type="colorScale" priority="9">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C25:C32">
    <cfRule type="expression" dxfId="96" priority="1">
      <formula>#REF!="Owned"</formula>
    </cfRule>
  </conditionalFormatting>
  <dataValidations count="1">
    <dataValidation type="list" allowBlank="1" showInputMessage="1" showErrorMessage="1" sqref="E6" xr:uid="{29623709-36A9-4665-A70E-4574554932D1}">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BBF2-EA47-486D-843D-3E6EF022AEA8}">
  <sheetPr codeName="Feuil24">
    <tabColor rgb="FF00B050"/>
  </sheetPr>
  <dimension ref="B2:M58"/>
  <sheetViews>
    <sheetView topLeftCell="A47" zoomScale="70" zoomScaleNormal="70" workbookViewId="0">
      <selection activeCell="F32" sqref="F32"/>
    </sheetView>
  </sheetViews>
  <sheetFormatPr baseColWidth="10" defaultColWidth="11.5" defaultRowHeight="13"/>
  <cols>
    <col min="3" max="13" width="22.83203125" customWidth="1"/>
  </cols>
  <sheetData>
    <row r="2" spans="2:13">
      <c r="C2" s="504" t="s">
        <v>323</v>
      </c>
      <c r="D2" s="502">
        <v>46049</v>
      </c>
      <c r="E2" s="1"/>
      <c r="F2" s="3"/>
      <c r="G2" s="3"/>
      <c r="H2" s="3"/>
      <c r="I2" s="4"/>
      <c r="J2" s="1"/>
      <c r="K2" s="1"/>
      <c r="L2" s="1"/>
      <c r="M2" s="1"/>
    </row>
    <row r="3" spans="2:13">
      <c r="C3" s="1"/>
      <c r="D3" s="1"/>
      <c r="E3" s="1"/>
      <c r="F3" s="1"/>
      <c r="G3" s="1"/>
      <c r="H3" s="1"/>
      <c r="I3" s="1"/>
      <c r="J3" s="1"/>
      <c r="K3" s="1"/>
      <c r="L3" s="1"/>
      <c r="M3" s="1"/>
    </row>
    <row r="4" spans="2:13">
      <c r="C4" s="33" t="s">
        <v>324</v>
      </c>
      <c r="D4" s="415" t="s">
        <v>256</v>
      </c>
      <c r="E4" s="258" t="s">
        <v>256</v>
      </c>
      <c r="F4" s="258" t="s">
        <v>256</v>
      </c>
      <c r="G4" s="258" t="s">
        <v>256</v>
      </c>
      <c r="I4" s="5"/>
      <c r="J4" s="1"/>
      <c r="K4" s="1"/>
      <c r="L4" s="1"/>
      <c r="M4" s="1"/>
    </row>
    <row r="5" spans="2:13">
      <c r="C5" s="35"/>
      <c r="D5" s="36"/>
      <c r="E5" s="1"/>
      <c r="F5" s="1"/>
      <c r="G5" s="1"/>
      <c r="H5" s="1"/>
      <c r="I5" s="1"/>
      <c r="J5" s="1"/>
      <c r="K5" s="1"/>
      <c r="L5" s="1"/>
      <c r="M5" s="1"/>
    </row>
    <row r="6" spans="2:13">
      <c r="C6" s="589" t="s">
        <v>327</v>
      </c>
      <c r="D6" s="591"/>
      <c r="E6" s="6" t="s">
        <v>414</v>
      </c>
      <c r="F6" s="124"/>
      <c r="G6" s="124"/>
      <c r="H6" s="124"/>
      <c r="J6" s="1"/>
      <c r="K6" s="1"/>
      <c r="L6" s="1"/>
      <c r="M6" s="1"/>
    </row>
    <row r="7" spans="2:13">
      <c r="C7" s="589" t="s">
        <v>329</v>
      </c>
      <c r="D7" s="591"/>
      <c r="E7" s="6">
        <v>23</v>
      </c>
      <c r="F7" s="124"/>
      <c r="G7" s="124"/>
      <c r="H7" s="124"/>
      <c r="J7" s="1"/>
      <c r="K7" s="1"/>
      <c r="L7" s="1"/>
      <c r="M7" s="1"/>
    </row>
    <row r="8" spans="2:13">
      <c r="C8" s="68"/>
      <c r="D8" s="68"/>
      <c r="E8" s="68"/>
      <c r="F8" s="68"/>
      <c r="G8" s="68"/>
      <c r="H8" s="68"/>
      <c r="I8" s="42"/>
      <c r="J8" s="1"/>
      <c r="K8" s="1"/>
      <c r="L8" s="1"/>
      <c r="M8" s="1"/>
    </row>
    <row r="9" spans="2:13">
      <c r="C9" s="69" t="s">
        <v>441</v>
      </c>
      <c r="D9" s="74" t="s">
        <v>1050</v>
      </c>
      <c r="E9" s="74" t="s">
        <v>1050</v>
      </c>
      <c r="F9" s="74" t="s">
        <v>1050</v>
      </c>
      <c r="G9" s="74" t="s">
        <v>1050</v>
      </c>
      <c r="H9" s="67"/>
      <c r="I9" s="67"/>
      <c r="J9" s="67"/>
      <c r="K9" s="67"/>
      <c r="L9" s="67"/>
      <c r="M9" s="67"/>
    </row>
    <row r="10" spans="2:13" ht="28">
      <c r="C10" s="70" t="s">
        <v>331</v>
      </c>
      <c r="D10" s="417" t="s">
        <v>1051</v>
      </c>
      <c r="E10" s="417" t="s">
        <v>1052</v>
      </c>
      <c r="F10" s="417" t="s">
        <v>1053</v>
      </c>
      <c r="G10" s="417" t="s">
        <v>1054</v>
      </c>
      <c r="H10" s="84" t="s">
        <v>465</v>
      </c>
      <c r="I10" s="84" t="s">
        <v>466</v>
      </c>
      <c r="J10" s="84" t="s">
        <v>467</v>
      </c>
      <c r="K10" s="84" t="s">
        <v>468</v>
      </c>
      <c r="L10" s="84" t="s">
        <v>469</v>
      </c>
      <c r="M10" s="84" t="s">
        <v>470</v>
      </c>
    </row>
    <row r="11" spans="2:13" ht="14">
      <c r="C11" s="104" t="s">
        <v>299</v>
      </c>
      <c r="D11" s="417" t="s">
        <v>1055</v>
      </c>
      <c r="E11" s="417" t="s">
        <v>1056</v>
      </c>
      <c r="F11" s="417" t="s">
        <v>1055</v>
      </c>
      <c r="G11" s="417" t="s">
        <v>1055</v>
      </c>
      <c r="H11" s="84"/>
      <c r="I11" s="84"/>
      <c r="J11" s="84"/>
      <c r="K11" s="84"/>
      <c r="L11" s="84"/>
      <c r="M11" s="84"/>
    </row>
    <row r="12" spans="2:13" ht="14">
      <c r="C12" s="32"/>
      <c r="D12" s="418"/>
      <c r="E12" s="418"/>
      <c r="F12" s="418"/>
      <c r="G12" s="538" t="s">
        <v>1057</v>
      </c>
      <c r="H12" s="45"/>
      <c r="I12" s="46"/>
      <c r="J12" s="44"/>
      <c r="K12" s="47"/>
      <c r="L12" s="48"/>
      <c r="M12" s="44"/>
    </row>
    <row r="13" spans="2:13" ht="48">
      <c r="B13" s="7" t="s">
        <v>348</v>
      </c>
      <c r="C13" s="398" t="s">
        <v>349</v>
      </c>
      <c r="D13" s="417" t="s">
        <v>1058</v>
      </c>
      <c r="E13" s="417" t="s">
        <v>1059</v>
      </c>
      <c r="F13" s="422" t="s">
        <v>1060</v>
      </c>
      <c r="G13" s="422" t="s">
        <v>1060</v>
      </c>
      <c r="H13" s="71"/>
      <c r="I13" s="71"/>
      <c r="J13" s="71"/>
      <c r="K13" s="71"/>
      <c r="L13" s="71"/>
      <c r="M13" s="71"/>
    </row>
    <row r="14" spans="2:13" ht="58.5" customHeight="1">
      <c r="B14" s="7" t="s">
        <v>352</v>
      </c>
      <c r="C14" s="398" t="s">
        <v>297</v>
      </c>
      <c r="D14" s="417" t="s">
        <v>273</v>
      </c>
      <c r="E14" s="417" t="s">
        <v>271</v>
      </c>
      <c r="F14" s="422" t="s">
        <v>273</v>
      </c>
      <c r="G14" s="422" t="s">
        <v>273</v>
      </c>
      <c r="H14" s="71"/>
      <c r="I14" s="71"/>
      <c r="J14" s="71"/>
      <c r="K14" s="71"/>
      <c r="L14" s="71"/>
      <c r="M14" s="71"/>
    </row>
    <row r="15" spans="2:13" ht="36">
      <c r="B15" s="7" t="s">
        <v>353</v>
      </c>
      <c r="C15" s="398" t="s">
        <v>354</v>
      </c>
      <c r="D15" s="417" t="s">
        <v>272</v>
      </c>
      <c r="E15" s="417" t="s">
        <v>272</v>
      </c>
      <c r="F15" s="422" t="s">
        <v>272</v>
      </c>
      <c r="G15" s="422" t="s">
        <v>272</v>
      </c>
      <c r="H15" s="71"/>
      <c r="I15" s="71"/>
      <c r="J15" s="71"/>
      <c r="K15" s="71"/>
      <c r="L15" s="71"/>
      <c r="M15" s="71"/>
    </row>
    <row r="16" spans="2:13" ht="24">
      <c r="B16" s="7" t="s">
        <v>355</v>
      </c>
      <c r="C16" s="398" t="s">
        <v>356</v>
      </c>
      <c r="D16" s="417" t="s">
        <v>636</v>
      </c>
      <c r="E16" s="417" t="s">
        <v>636</v>
      </c>
      <c r="F16" s="422" t="s">
        <v>636</v>
      </c>
      <c r="G16" s="422" t="s">
        <v>636</v>
      </c>
      <c r="H16" s="71"/>
      <c r="I16" s="71"/>
      <c r="J16" s="71"/>
      <c r="K16" s="71"/>
      <c r="L16" s="71"/>
      <c r="M16" s="71"/>
    </row>
    <row r="17" spans="2:13" ht="24">
      <c r="B17" s="7" t="s">
        <v>357</v>
      </c>
      <c r="C17" s="398" t="s">
        <v>294</v>
      </c>
      <c r="D17" s="417" t="s">
        <v>270</v>
      </c>
      <c r="E17" s="417" t="s">
        <v>270</v>
      </c>
      <c r="F17" s="422" t="s">
        <v>270</v>
      </c>
      <c r="G17" s="422" t="s">
        <v>270</v>
      </c>
      <c r="H17" s="71"/>
      <c r="I17" s="71"/>
      <c r="J17" s="71"/>
      <c r="K17" s="71"/>
      <c r="L17" s="71"/>
      <c r="M17" s="71"/>
    </row>
    <row r="18" spans="2:13" ht="14">
      <c r="B18" s="9" t="s">
        <v>358</v>
      </c>
      <c r="C18" s="399" t="s">
        <v>359</v>
      </c>
      <c r="D18" s="422" t="s">
        <v>360</v>
      </c>
      <c r="E18" s="422" t="s">
        <v>360</v>
      </c>
      <c r="F18" s="422" t="s">
        <v>360</v>
      </c>
      <c r="G18" s="422" t="s">
        <v>360</v>
      </c>
      <c r="H18" s="71"/>
      <c r="I18" s="71"/>
      <c r="J18" s="71"/>
      <c r="K18" s="71"/>
      <c r="L18" s="71"/>
      <c r="M18" s="71"/>
    </row>
    <row r="19" spans="2:13" ht="36">
      <c r="B19" s="9" t="s">
        <v>361</v>
      </c>
      <c r="C19" s="399" t="s">
        <v>362</v>
      </c>
      <c r="D19" s="417" t="s">
        <v>328</v>
      </c>
      <c r="E19" s="417" t="s">
        <v>328</v>
      </c>
      <c r="F19" s="422" t="s">
        <v>328</v>
      </c>
      <c r="G19" s="422" t="s">
        <v>328</v>
      </c>
      <c r="H19" s="71"/>
      <c r="I19" s="71"/>
      <c r="J19" s="71"/>
      <c r="K19" s="71"/>
      <c r="L19" s="71"/>
      <c r="M19" s="71"/>
    </row>
    <row r="20" spans="2:13" ht="72">
      <c r="B20" s="9" t="s">
        <v>363</v>
      </c>
      <c r="C20" s="399" t="s">
        <v>364</v>
      </c>
      <c r="D20" s="417" t="s">
        <v>328</v>
      </c>
      <c r="E20" s="417" t="s">
        <v>328</v>
      </c>
      <c r="F20" s="422" t="s">
        <v>328</v>
      </c>
      <c r="G20" s="422" t="s">
        <v>328</v>
      </c>
      <c r="H20" s="71"/>
      <c r="I20" s="71"/>
      <c r="J20" s="71"/>
      <c r="K20" s="71"/>
      <c r="L20" s="71"/>
      <c r="M20" s="71"/>
    </row>
    <row r="21" spans="2:13" ht="36">
      <c r="B21" s="11" t="s">
        <v>365</v>
      </c>
      <c r="C21" s="400" t="s">
        <v>366</v>
      </c>
      <c r="D21" s="417" t="s">
        <v>1061</v>
      </c>
      <c r="E21" s="417" t="s">
        <v>256</v>
      </c>
      <c r="F21" s="422" t="s">
        <v>256</v>
      </c>
      <c r="G21" s="422" t="s">
        <v>256</v>
      </c>
      <c r="H21" s="71"/>
      <c r="I21" s="71"/>
      <c r="J21" s="71"/>
      <c r="K21" s="71"/>
      <c r="L21" s="71"/>
      <c r="M21" s="71"/>
    </row>
    <row r="22" spans="2:13" ht="36">
      <c r="B22" s="11" t="s">
        <v>369</v>
      </c>
      <c r="C22" s="400" t="s">
        <v>370</v>
      </c>
      <c r="D22" s="417" t="s">
        <v>1062</v>
      </c>
      <c r="E22" s="417" t="s">
        <v>1063</v>
      </c>
      <c r="F22" s="422" t="s">
        <v>1064</v>
      </c>
      <c r="G22" s="422" t="s">
        <v>1065</v>
      </c>
      <c r="H22" s="71"/>
      <c r="I22" s="71"/>
      <c r="J22" s="71"/>
      <c r="K22" s="71"/>
      <c r="L22" s="71"/>
      <c r="M22" s="71"/>
    </row>
    <row r="23" spans="2:13" ht="14">
      <c r="B23" s="13" t="s">
        <v>477</v>
      </c>
      <c r="C23" s="401" t="s">
        <v>374</v>
      </c>
      <c r="D23" s="417" t="s">
        <v>374</v>
      </c>
      <c r="E23" s="417" t="s">
        <v>374</v>
      </c>
      <c r="F23" s="422" t="s">
        <v>374</v>
      </c>
      <c r="G23" s="422" t="s">
        <v>374</v>
      </c>
      <c r="H23" s="71"/>
      <c r="I23" s="71"/>
      <c r="J23" s="71"/>
      <c r="K23" s="71"/>
      <c r="L23" s="71"/>
      <c r="M23" s="71"/>
    </row>
    <row r="24" spans="2:13" ht="60">
      <c r="B24" s="13" t="s">
        <v>375</v>
      </c>
      <c r="C24" s="401" t="s">
        <v>376</v>
      </c>
      <c r="D24" s="424">
        <v>1750</v>
      </c>
      <c r="E24" s="424">
        <v>500</v>
      </c>
      <c r="F24" s="423">
        <v>960</v>
      </c>
      <c r="G24" s="423">
        <v>1000</v>
      </c>
      <c r="H24" s="71"/>
      <c r="I24" s="71"/>
      <c r="J24" s="71"/>
      <c r="K24" s="71"/>
      <c r="L24" s="71"/>
      <c r="M24" s="71"/>
    </row>
    <row r="25" spans="2:13" ht="60">
      <c r="B25" s="15" t="s">
        <v>377</v>
      </c>
      <c r="C25" s="402" t="s">
        <v>378</v>
      </c>
      <c r="D25" s="417">
        <v>10</v>
      </c>
      <c r="E25" s="417">
        <v>14</v>
      </c>
      <c r="F25" s="422">
        <v>30</v>
      </c>
      <c r="G25" s="422">
        <v>30</v>
      </c>
      <c r="H25" s="71"/>
      <c r="I25" s="71"/>
      <c r="J25" s="71"/>
      <c r="K25" s="71"/>
      <c r="L25" s="71"/>
      <c r="M25" s="71"/>
    </row>
    <row r="26" spans="2:13" ht="60">
      <c r="B26" s="15" t="s">
        <v>380</v>
      </c>
      <c r="C26" s="402" t="s">
        <v>381</v>
      </c>
      <c r="D26" s="417" t="s">
        <v>1066</v>
      </c>
      <c r="E26" s="417" t="s">
        <v>1066</v>
      </c>
      <c r="F26" s="422" t="s">
        <v>1066</v>
      </c>
      <c r="G26" s="422" t="s">
        <v>1066</v>
      </c>
      <c r="H26" s="71"/>
      <c r="I26" s="71"/>
      <c r="J26" s="71"/>
      <c r="K26" s="71"/>
      <c r="L26" s="71"/>
      <c r="M26" s="71"/>
    </row>
    <row r="27" spans="2:13" ht="39" customHeight="1">
      <c r="B27" s="40" t="s">
        <v>383</v>
      </c>
      <c r="C27" s="403" t="s">
        <v>383</v>
      </c>
      <c r="D27" s="429">
        <v>135000</v>
      </c>
      <c r="E27" s="429">
        <v>37400</v>
      </c>
      <c r="F27" s="429">
        <v>33000</v>
      </c>
      <c r="G27" s="429"/>
      <c r="H27" s="71"/>
      <c r="I27" s="71"/>
      <c r="J27" s="71"/>
      <c r="K27" s="71"/>
      <c r="L27" s="71"/>
      <c r="M27" s="71"/>
    </row>
    <row r="28" spans="2:13" ht="60">
      <c r="B28" s="15" t="s">
        <v>384</v>
      </c>
      <c r="C28" s="402" t="s">
        <v>450</v>
      </c>
      <c r="D28" s="433">
        <f>D27/D24</f>
        <v>77.142857142857139</v>
      </c>
      <c r="E28" s="433">
        <f>E27/E24</f>
        <v>74.8</v>
      </c>
      <c r="F28" s="431">
        <f>F27/F24</f>
        <v>34.375</v>
      </c>
      <c r="G28" s="431">
        <f>G27/G24</f>
        <v>0</v>
      </c>
      <c r="H28" s="71"/>
      <c r="I28" s="71"/>
      <c r="J28" s="71"/>
      <c r="K28" s="71"/>
      <c r="L28" s="71"/>
      <c r="M28" s="71"/>
    </row>
    <row r="29" spans="2:13" ht="72">
      <c r="B29" s="15" t="s">
        <v>387</v>
      </c>
      <c r="C29" s="402" t="s">
        <v>388</v>
      </c>
      <c r="D29" s="435" t="s">
        <v>1067</v>
      </c>
      <c r="E29" s="435" t="s">
        <v>1068</v>
      </c>
      <c r="F29" s="434" t="s">
        <v>1068</v>
      </c>
      <c r="G29" s="434"/>
      <c r="H29" s="71"/>
      <c r="I29" s="71"/>
      <c r="J29" s="71"/>
      <c r="K29" s="71"/>
      <c r="L29" s="71"/>
      <c r="M29" s="71"/>
    </row>
    <row r="30" spans="2:13" ht="58">
      <c r="B30" s="13" t="s">
        <v>390</v>
      </c>
      <c r="C30" s="404" t="s">
        <v>453</v>
      </c>
      <c r="D30" s="433">
        <f>D31/D24</f>
        <v>88.571428571428569</v>
      </c>
      <c r="E30" s="433">
        <f>E31/E24</f>
        <v>180</v>
      </c>
      <c r="F30" s="433" t="s">
        <v>636</v>
      </c>
      <c r="G30" s="433">
        <f>G31/G24</f>
        <v>0</v>
      </c>
      <c r="H30" s="71"/>
      <c r="I30" s="71"/>
      <c r="J30" s="71"/>
      <c r="K30" s="71"/>
      <c r="L30" s="71"/>
      <c r="M30" s="71"/>
    </row>
    <row r="31" spans="2:13" ht="28">
      <c r="B31" s="13"/>
      <c r="C31" s="405" t="s">
        <v>393</v>
      </c>
      <c r="D31" s="433">
        <v>155000</v>
      </c>
      <c r="E31" s="433">
        <v>90000</v>
      </c>
      <c r="F31" s="433">
        <v>2500</v>
      </c>
      <c r="G31" s="433">
        <v>0</v>
      </c>
      <c r="H31" s="71"/>
      <c r="I31" s="71"/>
      <c r="J31" s="71"/>
      <c r="K31" s="71"/>
      <c r="L31" s="71"/>
      <c r="M31" s="71"/>
    </row>
    <row r="32" spans="2:13" ht="72">
      <c r="B32" s="13" t="s">
        <v>394</v>
      </c>
      <c r="C32" s="404" t="s">
        <v>395</v>
      </c>
      <c r="D32" s="422" t="s">
        <v>636</v>
      </c>
      <c r="E32" s="422" t="s">
        <v>636</v>
      </c>
      <c r="F32" s="422" t="s">
        <v>636</v>
      </c>
      <c r="G32" s="422" t="s">
        <v>636</v>
      </c>
      <c r="H32" s="71"/>
      <c r="I32" s="71"/>
      <c r="J32" s="71"/>
      <c r="K32" s="71"/>
      <c r="L32" s="71"/>
      <c r="M32" s="71"/>
    </row>
    <row r="33" spans="2:13" ht="24">
      <c r="B33" s="18" t="s">
        <v>397</v>
      </c>
      <c r="C33" s="406" t="s">
        <v>313</v>
      </c>
      <c r="D33" s="437">
        <v>46037</v>
      </c>
      <c r="E33" s="437">
        <v>44927</v>
      </c>
      <c r="F33" s="436">
        <v>44448</v>
      </c>
      <c r="G33" s="537">
        <v>44345</v>
      </c>
      <c r="H33" s="71"/>
      <c r="I33" s="71"/>
      <c r="J33" s="71"/>
      <c r="K33" s="71"/>
      <c r="L33" s="71"/>
      <c r="M33" s="71"/>
    </row>
    <row r="34" spans="2:13" ht="36">
      <c r="B34" s="20" t="s">
        <v>398</v>
      </c>
      <c r="C34" s="406" t="s">
        <v>315</v>
      </c>
      <c r="D34" s="436">
        <v>47133</v>
      </c>
      <c r="E34" s="436" t="s">
        <v>636</v>
      </c>
      <c r="F34" s="436">
        <v>47119</v>
      </c>
      <c r="G34" s="537">
        <v>46022</v>
      </c>
      <c r="H34" s="71"/>
      <c r="I34" s="71"/>
      <c r="J34" s="71"/>
      <c r="K34" s="71"/>
      <c r="L34" s="71"/>
      <c r="M34" s="71"/>
    </row>
    <row r="35" spans="2:13" ht="36">
      <c r="B35" s="20" t="s">
        <v>399</v>
      </c>
      <c r="C35" s="406" t="s">
        <v>400</v>
      </c>
      <c r="D35" s="437" t="s">
        <v>682</v>
      </c>
      <c r="E35" s="417" t="s">
        <v>1069</v>
      </c>
      <c r="F35" s="422" t="s">
        <v>1070</v>
      </c>
      <c r="G35" s="422" t="s">
        <v>636</v>
      </c>
      <c r="H35" s="71"/>
      <c r="I35" s="71"/>
      <c r="J35" s="71"/>
      <c r="K35" s="71"/>
      <c r="L35" s="71"/>
      <c r="M35" s="71"/>
    </row>
    <row r="36" spans="2:13" ht="48">
      <c r="B36" s="20" t="s">
        <v>402</v>
      </c>
      <c r="C36" s="21" t="s">
        <v>403</v>
      </c>
      <c r="D36" s="417" t="s">
        <v>414</v>
      </c>
      <c r="E36" s="417" t="s">
        <v>414</v>
      </c>
      <c r="F36" s="422" t="s">
        <v>414</v>
      </c>
      <c r="G36" s="422" t="s">
        <v>414</v>
      </c>
      <c r="H36" s="71"/>
      <c r="I36" s="71"/>
      <c r="J36" s="71"/>
      <c r="K36" s="71"/>
      <c r="L36" s="71"/>
      <c r="M36" s="71"/>
    </row>
    <row r="37" spans="2:13" ht="196">
      <c r="B37" s="20" t="s">
        <v>404</v>
      </c>
      <c r="C37" s="21" t="s">
        <v>405</v>
      </c>
      <c r="D37" s="417" t="s">
        <v>1071</v>
      </c>
      <c r="E37" s="417" t="s">
        <v>1072</v>
      </c>
      <c r="F37" s="417" t="s">
        <v>1073</v>
      </c>
      <c r="G37" s="417" t="s">
        <v>1074</v>
      </c>
      <c r="H37" s="71"/>
      <c r="I37" s="71"/>
      <c r="J37" s="71"/>
      <c r="K37" s="71"/>
      <c r="L37" s="71"/>
      <c r="M37" s="71"/>
    </row>
    <row r="38" spans="2:13" ht="36">
      <c r="B38" s="20" t="s">
        <v>406</v>
      </c>
      <c r="C38" s="21" t="s">
        <v>407</v>
      </c>
      <c r="D38" s="417" t="s">
        <v>328</v>
      </c>
      <c r="E38" s="417" t="s">
        <v>328</v>
      </c>
      <c r="F38" s="422" t="s">
        <v>328</v>
      </c>
      <c r="G38" s="422" t="s">
        <v>328</v>
      </c>
      <c r="H38" s="71"/>
      <c r="I38" s="71"/>
      <c r="J38" s="71"/>
      <c r="K38" s="71"/>
      <c r="L38" s="71"/>
      <c r="M38" s="71"/>
    </row>
    <row r="39" spans="2:13" ht="36">
      <c r="B39" s="20" t="s">
        <v>408</v>
      </c>
      <c r="C39" s="21" t="s">
        <v>409</v>
      </c>
      <c r="D39" s="417" t="s">
        <v>682</v>
      </c>
      <c r="E39" s="417" t="s">
        <v>636</v>
      </c>
      <c r="F39" s="422" t="s">
        <v>636</v>
      </c>
      <c r="G39" s="422" t="s">
        <v>682</v>
      </c>
      <c r="H39" s="71"/>
      <c r="I39" s="71"/>
      <c r="J39" s="71"/>
      <c r="K39" s="71"/>
      <c r="L39" s="71"/>
      <c r="M39" s="71"/>
    </row>
    <row r="40" spans="2:13" ht="48">
      <c r="B40" s="20" t="s">
        <v>411</v>
      </c>
      <c r="C40" s="21" t="s">
        <v>314</v>
      </c>
      <c r="D40" s="436">
        <v>48228</v>
      </c>
      <c r="E40" s="436">
        <v>48213</v>
      </c>
      <c r="F40" s="436">
        <v>48213</v>
      </c>
      <c r="G40" s="436">
        <v>48579</v>
      </c>
      <c r="H40" s="71"/>
      <c r="I40" s="71"/>
      <c r="J40" s="71"/>
      <c r="K40" s="71"/>
      <c r="L40" s="71"/>
      <c r="M40" s="71"/>
    </row>
    <row r="41" spans="2:13" ht="60">
      <c r="B41" s="22" t="s">
        <v>412</v>
      </c>
      <c r="C41" s="23" t="s">
        <v>413</v>
      </c>
      <c r="D41" s="440" t="s">
        <v>328</v>
      </c>
      <c r="E41" s="440" t="s">
        <v>328</v>
      </c>
      <c r="F41" s="438" t="s">
        <v>328</v>
      </c>
      <c r="G41" s="438" t="s">
        <v>328</v>
      </c>
      <c r="H41" s="71"/>
      <c r="I41" s="71"/>
      <c r="J41" s="71"/>
      <c r="K41" s="71"/>
      <c r="L41" s="71"/>
      <c r="M41" s="71"/>
    </row>
    <row r="42" spans="2:13" ht="72">
      <c r="B42" s="24" t="s">
        <v>457</v>
      </c>
      <c r="C42" s="23" t="s">
        <v>483</v>
      </c>
      <c r="D42" s="417" t="s">
        <v>328</v>
      </c>
      <c r="E42" s="417" t="s">
        <v>328</v>
      </c>
      <c r="F42" s="422" t="s">
        <v>328</v>
      </c>
      <c r="G42" s="422" t="s">
        <v>328</v>
      </c>
      <c r="H42" s="71"/>
      <c r="I42" s="71"/>
      <c r="J42" s="71"/>
      <c r="K42" s="71"/>
      <c r="L42" s="71"/>
      <c r="M42" s="71"/>
    </row>
    <row r="43" spans="2:13" ht="84">
      <c r="B43" s="25" t="s">
        <v>418</v>
      </c>
      <c r="C43" s="407" t="s">
        <v>419</v>
      </c>
      <c r="D43" s="417" t="s">
        <v>328</v>
      </c>
      <c r="E43" s="417" t="s">
        <v>328</v>
      </c>
      <c r="F43" s="422" t="s">
        <v>636</v>
      </c>
      <c r="G43" s="422" t="s">
        <v>636</v>
      </c>
      <c r="H43" s="71"/>
      <c r="I43" s="71"/>
      <c r="J43" s="71"/>
      <c r="K43" s="71"/>
      <c r="L43" s="71"/>
      <c r="M43" s="71"/>
    </row>
    <row r="44" spans="2:13" ht="132">
      <c r="B44" s="25" t="s">
        <v>420</v>
      </c>
      <c r="C44" s="407" t="s">
        <v>421</v>
      </c>
      <c r="D44" s="417" t="s">
        <v>328</v>
      </c>
      <c r="E44" s="417" t="s">
        <v>328</v>
      </c>
      <c r="F44" s="422" t="s">
        <v>636</v>
      </c>
      <c r="G44" s="422" t="s">
        <v>636</v>
      </c>
      <c r="H44" s="71"/>
      <c r="I44" s="71"/>
      <c r="J44" s="71"/>
      <c r="K44" s="71"/>
      <c r="L44" s="71"/>
      <c r="M44" s="71"/>
    </row>
    <row r="45" spans="2:13" ht="14">
      <c r="B45" s="27"/>
      <c r="C45" s="27"/>
      <c r="D45" s="72"/>
      <c r="E45" s="72"/>
      <c r="F45" s="72"/>
      <c r="G45" s="72"/>
    </row>
    <row r="46" spans="2:13" ht="28">
      <c r="B46" s="27"/>
      <c r="C46" s="28" t="s">
        <v>484</v>
      </c>
      <c r="D46" s="422">
        <v>174</v>
      </c>
      <c r="E46" s="422">
        <v>59</v>
      </c>
      <c r="F46" s="417">
        <v>0</v>
      </c>
      <c r="G46" s="417">
        <v>0</v>
      </c>
      <c r="H46" s="71"/>
      <c r="I46" s="71"/>
      <c r="J46" s="71"/>
      <c r="K46" s="71"/>
      <c r="L46" s="71"/>
      <c r="M46" s="71"/>
    </row>
    <row r="47" spans="2:13" ht="42">
      <c r="B47" s="27"/>
      <c r="C47" s="29" t="s">
        <v>485</v>
      </c>
      <c r="D47" s="536">
        <v>47</v>
      </c>
      <c r="E47" s="422">
        <v>59</v>
      </c>
      <c r="F47" s="417">
        <v>0</v>
      </c>
      <c r="G47" s="417">
        <v>0</v>
      </c>
      <c r="H47" s="71"/>
      <c r="I47" s="71"/>
      <c r="J47" s="71"/>
      <c r="K47" s="71"/>
      <c r="L47" s="71"/>
      <c r="M47" s="71"/>
    </row>
    <row r="48" spans="2:13" ht="42">
      <c r="B48" s="27"/>
      <c r="C48" s="29" t="s">
        <v>486</v>
      </c>
      <c r="D48" s="536">
        <v>127</v>
      </c>
      <c r="E48" s="422">
        <v>0</v>
      </c>
      <c r="F48" s="417">
        <v>0</v>
      </c>
      <c r="G48" s="417">
        <v>0</v>
      </c>
      <c r="H48" s="71"/>
      <c r="I48" s="71"/>
      <c r="J48" s="71"/>
      <c r="K48" s="71"/>
      <c r="L48" s="71"/>
      <c r="M48" s="71"/>
    </row>
    <row r="49" spans="2:13">
      <c r="B49" s="27"/>
      <c r="C49" s="30"/>
      <c r="D49" s="442"/>
      <c r="E49" s="442"/>
      <c r="F49" s="442"/>
      <c r="G49" s="442"/>
    </row>
    <row r="50" spans="2:13" ht="30">
      <c r="B50" s="27"/>
      <c r="C50" s="28" t="s">
        <v>426</v>
      </c>
      <c r="D50" s="417">
        <v>163</v>
      </c>
      <c r="E50" s="417">
        <v>119</v>
      </c>
      <c r="F50" s="417">
        <v>0</v>
      </c>
      <c r="G50" s="417">
        <v>0</v>
      </c>
      <c r="H50" s="71"/>
      <c r="I50" s="71"/>
      <c r="J50" s="71"/>
      <c r="K50" s="71"/>
      <c r="L50" s="71"/>
      <c r="M50" s="71"/>
    </row>
    <row r="51" spans="2:13" ht="28">
      <c r="B51" s="27"/>
      <c r="C51" s="29" t="s">
        <v>487</v>
      </c>
      <c r="D51" s="422">
        <v>35</v>
      </c>
      <c r="E51" s="417">
        <v>119</v>
      </c>
      <c r="F51" s="417">
        <v>0</v>
      </c>
      <c r="G51" s="417">
        <v>0</v>
      </c>
      <c r="H51" s="71"/>
      <c r="I51" s="71"/>
      <c r="J51" s="71"/>
      <c r="K51" s="71"/>
      <c r="L51" s="71"/>
      <c r="M51" s="71"/>
    </row>
    <row r="52" spans="2:13" ht="28">
      <c r="B52" s="27"/>
      <c r="C52" s="29" t="s">
        <v>488</v>
      </c>
      <c r="D52" s="422">
        <v>128</v>
      </c>
      <c r="E52" s="417">
        <v>0</v>
      </c>
      <c r="F52" s="417">
        <v>0</v>
      </c>
      <c r="G52" s="417">
        <v>0</v>
      </c>
      <c r="H52" s="71"/>
      <c r="I52" s="71"/>
      <c r="J52" s="71"/>
      <c r="K52" s="71"/>
      <c r="L52" s="71"/>
      <c r="M52" s="71"/>
    </row>
    <row r="53" spans="2:13">
      <c r="B53" s="27"/>
      <c r="C53" s="31"/>
      <c r="D53" s="442"/>
      <c r="E53" s="442"/>
      <c r="F53" s="442"/>
      <c r="G53" s="442"/>
    </row>
    <row r="54" spans="2:13" ht="28">
      <c r="B54" s="27"/>
      <c r="C54" s="28" t="s">
        <v>427</v>
      </c>
      <c r="D54" s="422" t="s">
        <v>414</v>
      </c>
      <c r="E54" s="422" t="s">
        <v>414</v>
      </c>
      <c r="F54" s="417">
        <v>0</v>
      </c>
      <c r="G54" s="417">
        <v>0</v>
      </c>
      <c r="H54" s="71"/>
      <c r="I54" s="71"/>
      <c r="J54" s="71"/>
      <c r="K54" s="71"/>
      <c r="L54" s="71"/>
      <c r="M54" s="71"/>
    </row>
    <row r="55" spans="2:13" ht="28">
      <c r="B55" s="27"/>
      <c r="C55" s="28" t="s">
        <v>489</v>
      </c>
      <c r="D55" s="422">
        <v>3</v>
      </c>
      <c r="E55" s="422">
        <v>0</v>
      </c>
      <c r="F55" s="417">
        <v>0</v>
      </c>
      <c r="G55" s="417">
        <v>0</v>
      </c>
      <c r="H55" s="71"/>
      <c r="I55" s="71"/>
      <c r="J55" s="71"/>
      <c r="K55" s="71"/>
      <c r="L55" s="71"/>
      <c r="M55" s="71"/>
    </row>
    <row r="56" spans="2:13" ht="28">
      <c r="B56" s="27"/>
      <c r="C56" s="28" t="s">
        <v>490</v>
      </c>
      <c r="D56" s="422">
        <v>5</v>
      </c>
      <c r="E56" s="422">
        <v>0</v>
      </c>
      <c r="F56" s="417">
        <v>0</v>
      </c>
      <c r="G56" s="417">
        <v>0</v>
      </c>
      <c r="H56" s="71"/>
      <c r="I56" s="71"/>
      <c r="J56" s="71"/>
      <c r="K56" s="71"/>
      <c r="L56" s="71"/>
      <c r="M56" s="71"/>
    </row>
    <row r="57" spans="2:13" ht="56">
      <c r="B57" s="27"/>
      <c r="C57" s="28" t="s">
        <v>430</v>
      </c>
      <c r="D57" s="422">
        <v>3</v>
      </c>
      <c r="E57" s="422">
        <v>3</v>
      </c>
      <c r="F57" s="417">
        <v>0</v>
      </c>
      <c r="G57" s="417">
        <v>0</v>
      </c>
      <c r="H57" s="71"/>
      <c r="I57" s="71"/>
      <c r="J57" s="71"/>
      <c r="K57" s="71"/>
      <c r="L57" s="71"/>
      <c r="M57" s="71"/>
    </row>
    <row r="58" spans="2:13" ht="56">
      <c r="B58" s="27"/>
      <c r="C58" s="28" t="s">
        <v>431</v>
      </c>
      <c r="D58" s="422">
        <v>3</v>
      </c>
      <c r="E58" s="422">
        <v>3</v>
      </c>
      <c r="F58" s="417">
        <v>0</v>
      </c>
      <c r="G58" s="417">
        <v>0</v>
      </c>
      <c r="H58" s="71"/>
      <c r="I58" s="71"/>
      <c r="J58" s="71"/>
      <c r="K58" s="71"/>
      <c r="L58" s="71"/>
      <c r="M58" s="71"/>
    </row>
  </sheetData>
  <mergeCells count="2">
    <mergeCell ref="C6:D6"/>
    <mergeCell ref="C7:D7"/>
  </mergeCells>
  <conditionalFormatting sqref="B13:B17">
    <cfRule type="colorScale" priority="12">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95" priority="2">
      <formula>#REF!="Owned"</formula>
    </cfRule>
  </conditionalFormatting>
  <conditionalFormatting sqref="B28:B29 B26">
    <cfRule type="colorScale" priority="9">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B25:C26">
    <cfRule type="expression" dxfId="94" priority="4">
      <formula>#REF!="Owned"</formula>
    </cfRule>
  </conditionalFormatting>
  <conditionalFormatting sqref="C27:C32">
    <cfRule type="expression" dxfId="93" priority="1">
      <formula>#REF!="Owned"</formula>
    </cfRule>
  </conditionalFormatting>
  <dataValidations count="1">
    <dataValidation type="list" allowBlank="1" showInputMessage="1" showErrorMessage="1" sqref="E6" xr:uid="{D53E7EE1-A249-4E29-A772-CFF900EF69EB}">
      <formula1>"Yes, No"</formula1>
    </dataValidation>
  </dataValidation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4349F-2C71-4D13-B3D1-45C11E5299C0}">
  <sheetPr codeName="Feuil25">
    <tabColor rgb="FF00B050"/>
  </sheetPr>
  <dimension ref="B2:R58"/>
  <sheetViews>
    <sheetView topLeftCell="A51" zoomScale="85" zoomScaleNormal="85" workbookViewId="0">
      <selection activeCell="G25" sqref="G25"/>
    </sheetView>
  </sheetViews>
  <sheetFormatPr baseColWidth="10" defaultColWidth="11.5" defaultRowHeight="13"/>
  <cols>
    <col min="3" max="3" width="21.5" customWidth="1"/>
    <col min="4" max="4" width="18.5" customWidth="1"/>
    <col min="13" max="13" width="14.6640625" customWidth="1"/>
  </cols>
  <sheetData>
    <row r="2" spans="2:18">
      <c r="C2" s="504" t="s">
        <v>323</v>
      </c>
      <c r="D2" s="397">
        <v>45980</v>
      </c>
      <c r="E2" s="1"/>
      <c r="F2" s="3"/>
      <c r="G2" s="3"/>
      <c r="H2" s="3"/>
      <c r="I2" s="4"/>
      <c r="J2" s="1"/>
      <c r="K2" s="1"/>
      <c r="L2" s="1"/>
      <c r="M2" s="1"/>
      <c r="N2" s="1"/>
      <c r="O2" s="1"/>
      <c r="P2" s="1"/>
      <c r="Q2" s="1"/>
      <c r="R2" s="1"/>
    </row>
    <row r="3" spans="2:18">
      <c r="C3" s="1"/>
      <c r="D3" s="1"/>
      <c r="E3" s="1"/>
      <c r="F3" s="1"/>
      <c r="G3" s="1"/>
      <c r="H3" s="1"/>
      <c r="I3" s="1"/>
      <c r="J3" s="1"/>
      <c r="K3" s="1"/>
      <c r="L3" s="1"/>
      <c r="M3" s="1"/>
      <c r="N3" s="1"/>
      <c r="O3" s="1"/>
      <c r="P3" s="1"/>
      <c r="Q3" s="1"/>
      <c r="R3" s="1"/>
    </row>
    <row r="4" spans="2:18">
      <c r="C4" s="33" t="s">
        <v>324</v>
      </c>
      <c r="D4" s="34" t="s">
        <v>252</v>
      </c>
      <c r="E4" s="1"/>
      <c r="I4" s="5"/>
      <c r="J4" s="1"/>
      <c r="K4" s="1"/>
      <c r="L4" s="1"/>
      <c r="M4" s="1"/>
      <c r="N4" s="1"/>
      <c r="O4" s="1"/>
      <c r="P4" s="1"/>
      <c r="Q4" s="1"/>
      <c r="R4" s="1"/>
    </row>
    <row r="5" spans="2:18">
      <c r="C5" s="35"/>
      <c r="D5" s="36"/>
      <c r="E5" s="1"/>
      <c r="F5" s="1"/>
      <c r="G5" s="1"/>
      <c r="H5" s="1"/>
      <c r="I5" s="1"/>
      <c r="J5" s="1"/>
      <c r="K5" s="1"/>
      <c r="L5" s="1"/>
      <c r="M5" s="1"/>
      <c r="N5" s="1"/>
      <c r="O5" s="1"/>
      <c r="P5" s="1"/>
      <c r="Q5" s="1"/>
      <c r="R5" s="1"/>
    </row>
    <row r="6" spans="2:18" ht="27" customHeight="1">
      <c r="C6" s="589" t="s">
        <v>327</v>
      </c>
      <c r="D6" s="591"/>
      <c r="E6" s="6" t="s">
        <v>328</v>
      </c>
      <c r="F6" s="124"/>
      <c r="G6" s="124"/>
      <c r="H6" s="124"/>
      <c r="J6" s="1"/>
      <c r="K6" s="1"/>
      <c r="L6" s="1"/>
      <c r="M6" s="1"/>
      <c r="N6" s="1"/>
      <c r="O6" s="1"/>
      <c r="P6" s="1"/>
      <c r="Q6" s="1"/>
      <c r="R6" s="1"/>
    </row>
    <row r="7" spans="2:18" ht="27" customHeight="1">
      <c r="C7" s="589" t="s">
        <v>329</v>
      </c>
      <c r="D7" s="591"/>
      <c r="E7" s="6">
        <v>1</v>
      </c>
      <c r="F7" s="124"/>
      <c r="G7" s="124"/>
      <c r="H7" s="124"/>
      <c r="J7" s="1"/>
      <c r="K7" s="1"/>
      <c r="L7" s="1"/>
      <c r="M7" s="1"/>
      <c r="N7" s="1"/>
      <c r="O7" s="1"/>
      <c r="P7" s="1"/>
      <c r="Q7" s="1"/>
      <c r="R7" s="1"/>
    </row>
    <row r="8" spans="2:18">
      <c r="C8" s="68"/>
      <c r="D8" s="68"/>
      <c r="E8" s="68"/>
      <c r="F8" s="68"/>
      <c r="G8" s="68"/>
      <c r="H8" s="68"/>
      <c r="I8" s="42"/>
      <c r="J8" s="1"/>
      <c r="K8" s="1"/>
      <c r="L8" s="1"/>
      <c r="M8" s="1"/>
      <c r="N8" s="1"/>
      <c r="O8" s="1"/>
      <c r="P8" s="1"/>
      <c r="Q8" s="1"/>
      <c r="R8" s="1"/>
    </row>
    <row r="9" spans="2:18">
      <c r="C9" s="69" t="s">
        <v>441</v>
      </c>
      <c r="D9" s="67"/>
      <c r="E9" s="67"/>
      <c r="F9" s="67"/>
      <c r="G9" s="67"/>
      <c r="H9" s="67"/>
      <c r="I9" s="67"/>
      <c r="J9" s="67"/>
      <c r="K9" s="67"/>
      <c r="L9" s="67"/>
      <c r="M9" s="67"/>
      <c r="N9" s="42"/>
      <c r="P9" s="42"/>
      <c r="Q9" s="42"/>
      <c r="R9" s="42"/>
    </row>
    <row r="10" spans="2:18" ht="14">
      <c r="C10" s="70" t="s">
        <v>331</v>
      </c>
      <c r="D10" s="84" t="s">
        <v>1075</v>
      </c>
      <c r="E10" s="84" t="s">
        <v>492</v>
      </c>
      <c r="F10" s="84" t="s">
        <v>463</v>
      </c>
      <c r="G10" s="84" t="s">
        <v>464</v>
      </c>
      <c r="H10" s="84" t="s">
        <v>465</v>
      </c>
      <c r="I10" s="84" t="s">
        <v>466</v>
      </c>
      <c r="J10" s="84" t="s">
        <v>467</v>
      </c>
      <c r="K10" s="84" t="s">
        <v>468</v>
      </c>
      <c r="L10" s="84" t="s">
        <v>469</v>
      </c>
      <c r="M10" s="84" t="s">
        <v>470</v>
      </c>
      <c r="N10" s="43"/>
      <c r="P10" s="43"/>
      <c r="Q10" s="43"/>
      <c r="R10" s="43"/>
    </row>
    <row r="11" spans="2:18" ht="14">
      <c r="C11" s="104" t="s">
        <v>299</v>
      </c>
      <c r="D11" s="84" t="s">
        <v>1076</v>
      </c>
      <c r="E11" s="84"/>
      <c r="F11" s="84"/>
      <c r="G11" s="84"/>
      <c r="H11" s="84"/>
      <c r="I11" s="84"/>
      <c r="J11" s="84"/>
      <c r="K11" s="84"/>
      <c r="L11" s="84"/>
      <c r="M11" s="84"/>
      <c r="N11" s="43"/>
      <c r="P11" s="43"/>
      <c r="Q11" s="43"/>
      <c r="R11" s="43"/>
    </row>
    <row r="12" spans="2:18">
      <c r="C12" s="32"/>
      <c r="D12" s="105"/>
      <c r="E12" s="44"/>
      <c r="F12" s="44"/>
      <c r="G12" s="44"/>
      <c r="H12" s="45"/>
      <c r="I12" s="46"/>
      <c r="J12" s="44"/>
      <c r="K12" s="47"/>
      <c r="L12" s="48"/>
      <c r="M12" s="44"/>
      <c r="N12" s="37"/>
      <c r="P12" s="41"/>
      <c r="Q12" s="41"/>
      <c r="R12" s="37"/>
    </row>
    <row r="13" spans="2:18" ht="48">
      <c r="B13" s="7" t="s">
        <v>348</v>
      </c>
      <c r="C13" s="8" t="s">
        <v>349</v>
      </c>
      <c r="D13" s="493" t="s">
        <v>1077</v>
      </c>
      <c r="E13" s="71"/>
      <c r="F13" s="71"/>
      <c r="G13" s="71"/>
      <c r="H13" s="71"/>
      <c r="I13" s="71"/>
      <c r="J13" s="71"/>
      <c r="K13" s="71"/>
      <c r="L13" s="71"/>
      <c r="M13" s="71"/>
    </row>
    <row r="14" spans="2:18" ht="42">
      <c r="B14" s="7" t="s">
        <v>352</v>
      </c>
      <c r="C14" s="8" t="s">
        <v>297</v>
      </c>
      <c r="D14" s="494" t="s">
        <v>254</v>
      </c>
      <c r="E14" s="71"/>
      <c r="F14" s="71"/>
      <c r="G14" s="71"/>
      <c r="H14" s="71"/>
      <c r="I14" s="71"/>
      <c r="J14" s="71"/>
      <c r="K14" s="71"/>
      <c r="L14" s="71"/>
      <c r="M14" s="71"/>
    </row>
    <row r="15" spans="2:18" ht="36">
      <c r="B15" s="7" t="s">
        <v>353</v>
      </c>
      <c r="C15" s="8" t="s">
        <v>354</v>
      </c>
      <c r="D15" s="493" t="s">
        <v>255</v>
      </c>
      <c r="E15" s="71"/>
      <c r="F15" s="71"/>
      <c r="G15" s="71"/>
      <c r="H15" s="71"/>
      <c r="I15" s="71"/>
      <c r="J15" s="71"/>
      <c r="K15" s="71"/>
      <c r="L15" s="71"/>
      <c r="M15" s="71"/>
    </row>
    <row r="16" spans="2:18" ht="24">
      <c r="B16" s="7" t="s">
        <v>355</v>
      </c>
      <c r="C16" s="8" t="s">
        <v>356</v>
      </c>
      <c r="D16" s="493">
        <v>3722</v>
      </c>
      <c r="E16" s="71"/>
      <c r="F16" s="71"/>
      <c r="G16" s="71"/>
      <c r="H16" s="71"/>
      <c r="I16" s="71"/>
      <c r="J16" s="71"/>
      <c r="K16" s="71"/>
      <c r="L16" s="71"/>
      <c r="M16" s="71"/>
    </row>
    <row r="17" spans="2:13" ht="24">
      <c r="B17" s="7" t="s">
        <v>357</v>
      </c>
      <c r="C17" s="8" t="s">
        <v>294</v>
      </c>
      <c r="D17" s="493" t="s">
        <v>253</v>
      </c>
      <c r="E17" s="71"/>
      <c r="F17" s="71"/>
      <c r="G17" s="71"/>
      <c r="H17" s="71"/>
      <c r="I17" s="71"/>
      <c r="J17" s="71"/>
      <c r="K17" s="71"/>
      <c r="L17" s="71"/>
      <c r="M17" s="71"/>
    </row>
    <row r="18" spans="2:13" ht="28">
      <c r="B18" s="9" t="s">
        <v>358</v>
      </c>
      <c r="C18" s="10" t="s">
        <v>1078</v>
      </c>
      <c r="D18" s="493" t="s">
        <v>527</v>
      </c>
      <c r="E18" s="71"/>
      <c r="F18" s="71"/>
      <c r="G18" s="71"/>
      <c r="H18" s="71"/>
      <c r="I18" s="71"/>
      <c r="J18" s="71"/>
      <c r="K18" s="71"/>
      <c r="L18" s="71"/>
      <c r="M18" s="71"/>
    </row>
    <row r="19" spans="2:13" ht="42">
      <c r="B19" s="9" t="s">
        <v>361</v>
      </c>
      <c r="C19" s="10" t="s">
        <v>362</v>
      </c>
      <c r="D19" s="493" t="s">
        <v>680</v>
      </c>
      <c r="E19" s="71"/>
      <c r="F19" s="71"/>
      <c r="G19" s="71"/>
      <c r="H19" s="71"/>
      <c r="I19" s="71"/>
      <c r="J19" s="71"/>
      <c r="K19" s="71"/>
      <c r="L19" s="71"/>
      <c r="M19" s="71"/>
    </row>
    <row r="20" spans="2:13" ht="72">
      <c r="B20" s="9" t="s">
        <v>363</v>
      </c>
      <c r="C20" s="10" t="s">
        <v>364</v>
      </c>
      <c r="D20" s="493" t="s">
        <v>680</v>
      </c>
      <c r="E20" s="71"/>
      <c r="F20" s="71"/>
      <c r="G20" s="71"/>
      <c r="H20" s="71"/>
      <c r="I20" s="71"/>
      <c r="J20" s="71"/>
      <c r="K20" s="71"/>
      <c r="L20" s="71"/>
      <c r="M20" s="71"/>
    </row>
    <row r="21" spans="2:13" ht="36">
      <c r="B21" s="11" t="s">
        <v>365</v>
      </c>
      <c r="C21" s="12" t="s">
        <v>366</v>
      </c>
      <c r="D21" s="493" t="s">
        <v>951</v>
      </c>
      <c r="E21" s="71"/>
      <c r="F21" s="71"/>
      <c r="G21" s="71"/>
      <c r="H21" s="71"/>
      <c r="I21" s="71"/>
      <c r="J21" s="71"/>
      <c r="K21" s="71"/>
      <c r="L21" s="71"/>
      <c r="M21" s="71"/>
    </row>
    <row r="22" spans="2:13" ht="36">
      <c r="B22" s="11" t="s">
        <v>369</v>
      </c>
      <c r="C22" s="12" t="s">
        <v>370</v>
      </c>
      <c r="D22" s="494" t="s">
        <v>1079</v>
      </c>
      <c r="E22" s="71"/>
      <c r="F22" s="71"/>
      <c r="G22" s="71"/>
      <c r="H22" s="71"/>
      <c r="I22" s="71"/>
      <c r="J22" s="71"/>
      <c r="K22" s="71"/>
      <c r="L22" s="71"/>
      <c r="M22" s="71"/>
    </row>
    <row r="23" spans="2:13" ht="20" customHeight="1">
      <c r="B23" s="13"/>
      <c r="C23" s="14" t="s">
        <v>374</v>
      </c>
      <c r="D23" s="493" t="s">
        <v>374</v>
      </c>
      <c r="E23" s="71"/>
      <c r="F23" s="71"/>
      <c r="G23" s="71"/>
      <c r="H23" s="71"/>
      <c r="I23" s="71"/>
      <c r="J23" s="71"/>
      <c r="K23" s="71"/>
      <c r="L23" s="71"/>
      <c r="M23" s="71"/>
    </row>
    <row r="24" spans="2:13" ht="60">
      <c r="B24" s="13" t="s">
        <v>375</v>
      </c>
      <c r="C24" s="14" t="s">
        <v>376</v>
      </c>
      <c r="D24" s="493">
        <v>380</v>
      </c>
      <c r="E24" s="71"/>
      <c r="F24" s="71"/>
      <c r="G24" s="71"/>
      <c r="H24" s="71"/>
      <c r="I24" s="71"/>
      <c r="J24" s="71"/>
      <c r="K24" s="71"/>
      <c r="L24" s="71"/>
      <c r="M24" s="71"/>
    </row>
    <row r="25" spans="2:13" ht="60">
      <c r="B25" s="15" t="s">
        <v>377</v>
      </c>
      <c r="C25" s="16" t="s">
        <v>378</v>
      </c>
      <c r="D25" s="493"/>
      <c r="E25" s="71"/>
      <c r="F25" s="71"/>
      <c r="G25" s="71"/>
      <c r="H25" s="71"/>
      <c r="I25" s="71"/>
      <c r="J25" s="71"/>
      <c r="K25" s="71"/>
      <c r="L25" s="71"/>
      <c r="M25" s="71"/>
    </row>
    <row r="26" spans="2:13" ht="60">
      <c r="B26" s="15" t="s">
        <v>380</v>
      </c>
      <c r="C26" s="16" t="s">
        <v>381</v>
      </c>
      <c r="D26" s="493" t="s">
        <v>449</v>
      </c>
      <c r="E26" s="71"/>
      <c r="F26" s="71"/>
      <c r="G26" s="71"/>
      <c r="H26" s="71"/>
      <c r="I26" s="71"/>
      <c r="J26" s="71"/>
      <c r="K26" s="71"/>
      <c r="L26" s="71"/>
      <c r="M26" s="71"/>
    </row>
    <row r="27" spans="2:13" ht="14">
      <c r="B27" s="40" t="s">
        <v>383</v>
      </c>
      <c r="C27" s="39" t="s">
        <v>383</v>
      </c>
      <c r="D27" s="493">
        <v>72000</v>
      </c>
      <c r="E27" s="71"/>
      <c r="F27" s="71"/>
      <c r="G27" s="71"/>
      <c r="H27" s="71"/>
      <c r="I27" s="71"/>
      <c r="J27" s="71"/>
      <c r="K27" s="71"/>
      <c r="L27" s="71"/>
      <c r="M27" s="71"/>
    </row>
    <row r="28" spans="2:13" ht="60">
      <c r="B28" s="15" t="s">
        <v>384</v>
      </c>
      <c r="C28" s="16" t="s">
        <v>450</v>
      </c>
      <c r="D28" s="495">
        <v>1196.9000000000001</v>
      </c>
      <c r="E28" s="71"/>
      <c r="F28" s="71"/>
      <c r="G28" s="71"/>
      <c r="H28" s="71"/>
      <c r="I28" s="71"/>
      <c r="J28" s="71"/>
      <c r="K28" s="71"/>
      <c r="L28" s="71"/>
      <c r="M28" s="71"/>
    </row>
    <row r="29" spans="2:13" ht="72">
      <c r="B29" s="15" t="s">
        <v>387</v>
      </c>
      <c r="C29" s="16" t="s">
        <v>388</v>
      </c>
      <c r="D29" s="493"/>
      <c r="E29" s="71"/>
      <c r="F29" s="71"/>
      <c r="G29" s="71"/>
      <c r="H29" s="71"/>
      <c r="I29" s="71"/>
      <c r="J29" s="71"/>
      <c r="K29" s="71"/>
      <c r="L29" s="71"/>
      <c r="M29" s="71"/>
    </row>
    <row r="30" spans="2:13" ht="58">
      <c r="B30" s="13" t="s">
        <v>390</v>
      </c>
      <c r="C30" s="17" t="s">
        <v>453</v>
      </c>
      <c r="D30" s="493" t="s">
        <v>1080</v>
      </c>
      <c r="E30" s="71"/>
      <c r="F30" s="71"/>
      <c r="G30" s="71"/>
      <c r="H30" s="71"/>
      <c r="I30" s="71"/>
      <c r="J30" s="71"/>
      <c r="K30" s="71"/>
      <c r="L30" s="71"/>
      <c r="M30" s="71"/>
    </row>
    <row r="31" spans="2:13" ht="28">
      <c r="B31" s="13"/>
      <c r="C31" s="38" t="s">
        <v>393</v>
      </c>
      <c r="D31" s="493"/>
      <c r="E31" s="71"/>
      <c r="F31" s="71"/>
      <c r="G31" s="71"/>
      <c r="H31" s="71"/>
      <c r="I31" s="71"/>
      <c r="J31" s="71"/>
      <c r="K31" s="71"/>
      <c r="L31" s="71"/>
      <c r="M31" s="71"/>
    </row>
    <row r="32" spans="2:13" ht="72">
      <c r="B32" s="13" t="s">
        <v>394</v>
      </c>
      <c r="C32" s="17" t="s">
        <v>395</v>
      </c>
      <c r="D32" s="493"/>
      <c r="E32" s="71"/>
      <c r="F32" s="71"/>
      <c r="G32" s="71"/>
      <c r="H32" s="71"/>
      <c r="I32" s="71"/>
      <c r="J32" s="71"/>
      <c r="K32" s="71"/>
      <c r="L32" s="71"/>
      <c r="M32" s="71"/>
    </row>
    <row r="33" spans="2:13" ht="24">
      <c r="B33" s="18" t="s">
        <v>397</v>
      </c>
      <c r="C33" s="19" t="s">
        <v>313</v>
      </c>
      <c r="D33" s="496">
        <v>44894</v>
      </c>
      <c r="E33" s="71"/>
      <c r="F33" s="71"/>
      <c r="G33" s="71"/>
      <c r="H33" s="71"/>
      <c r="I33" s="71"/>
      <c r="J33" s="71"/>
      <c r="K33" s="71"/>
      <c r="L33" s="71"/>
      <c r="M33" s="71"/>
    </row>
    <row r="34" spans="2:13" ht="36">
      <c r="B34" s="20" t="s">
        <v>398</v>
      </c>
      <c r="C34" s="19" t="s">
        <v>315</v>
      </c>
      <c r="D34" s="493"/>
      <c r="E34" s="71"/>
      <c r="F34" s="71"/>
      <c r="G34" s="71"/>
      <c r="H34" s="71"/>
      <c r="I34" s="71"/>
      <c r="J34" s="71"/>
      <c r="K34" s="71"/>
      <c r="L34" s="71"/>
      <c r="M34" s="71"/>
    </row>
    <row r="35" spans="2:13" ht="36">
      <c r="B35" s="20" t="s">
        <v>399</v>
      </c>
      <c r="C35" s="19" t="s">
        <v>400</v>
      </c>
      <c r="D35" s="493"/>
      <c r="E35" s="71"/>
      <c r="F35" s="71"/>
      <c r="G35" s="71"/>
      <c r="H35" s="71"/>
      <c r="I35" s="71"/>
      <c r="J35" s="71"/>
      <c r="K35" s="71"/>
      <c r="L35" s="71"/>
      <c r="M35" s="71"/>
    </row>
    <row r="36" spans="2:13" ht="48">
      <c r="B36" s="20" t="s">
        <v>402</v>
      </c>
      <c r="C36" s="21" t="s">
        <v>403</v>
      </c>
      <c r="D36" s="493" t="s">
        <v>414</v>
      </c>
      <c r="E36" s="71"/>
      <c r="F36" s="71"/>
      <c r="G36" s="71"/>
      <c r="H36" s="71"/>
      <c r="I36" s="71"/>
      <c r="J36" s="71"/>
      <c r="K36" s="71"/>
      <c r="L36" s="71"/>
      <c r="M36" s="71"/>
    </row>
    <row r="37" spans="2:13" ht="72">
      <c r="B37" s="20" t="s">
        <v>404</v>
      </c>
      <c r="C37" s="21" t="s">
        <v>405</v>
      </c>
      <c r="D37" s="493" t="s">
        <v>1081</v>
      </c>
      <c r="E37" s="71"/>
      <c r="F37" s="71"/>
      <c r="G37" s="71"/>
      <c r="H37" s="71"/>
      <c r="I37" s="71"/>
      <c r="J37" s="71"/>
      <c r="K37" s="71"/>
      <c r="L37" s="71"/>
      <c r="M37" s="71"/>
    </row>
    <row r="38" spans="2:13" ht="36">
      <c r="B38" s="20" t="s">
        <v>406</v>
      </c>
      <c r="C38" s="21" t="s">
        <v>407</v>
      </c>
      <c r="D38" s="493" t="s">
        <v>414</v>
      </c>
      <c r="E38" s="71"/>
      <c r="F38" s="71"/>
      <c r="G38" s="71"/>
      <c r="H38" s="71"/>
      <c r="I38" s="71"/>
      <c r="J38" s="71"/>
      <c r="K38" s="71"/>
      <c r="L38" s="71"/>
      <c r="M38" s="71"/>
    </row>
    <row r="39" spans="2:13" ht="36">
      <c r="B39" s="20" t="s">
        <v>408</v>
      </c>
      <c r="C39" s="21" t="s">
        <v>409</v>
      </c>
      <c r="D39" s="493">
        <v>1</v>
      </c>
      <c r="E39" s="71"/>
      <c r="F39" s="71"/>
      <c r="G39" s="71"/>
      <c r="H39" s="71"/>
      <c r="I39" s="71"/>
      <c r="J39" s="71"/>
      <c r="K39" s="71"/>
      <c r="L39" s="71"/>
      <c r="M39" s="71"/>
    </row>
    <row r="40" spans="2:13" ht="48">
      <c r="B40" s="20" t="s">
        <v>411</v>
      </c>
      <c r="C40" s="21" t="s">
        <v>314</v>
      </c>
      <c r="D40" s="496">
        <v>47768</v>
      </c>
      <c r="E40" s="71"/>
      <c r="F40" s="71"/>
      <c r="G40" s="71"/>
      <c r="H40" s="71"/>
      <c r="I40" s="71"/>
      <c r="J40" s="71"/>
      <c r="K40" s="71"/>
      <c r="L40" s="71"/>
      <c r="M40" s="71"/>
    </row>
    <row r="41" spans="2:13" ht="60">
      <c r="B41" s="22" t="s">
        <v>412</v>
      </c>
      <c r="C41" s="23" t="s">
        <v>413</v>
      </c>
      <c r="D41" s="92" t="s">
        <v>328</v>
      </c>
      <c r="E41" s="71"/>
      <c r="F41" s="71"/>
      <c r="G41" s="71"/>
      <c r="H41" s="71"/>
      <c r="I41" s="71"/>
      <c r="J41" s="71"/>
      <c r="K41" s="71"/>
      <c r="L41" s="71"/>
      <c r="M41" s="71"/>
    </row>
    <row r="42" spans="2:13" ht="84">
      <c r="B42" s="24" t="s">
        <v>457</v>
      </c>
      <c r="C42" s="23" t="s">
        <v>483</v>
      </c>
      <c r="D42" s="95" t="s">
        <v>410</v>
      </c>
      <c r="E42" s="71"/>
      <c r="F42" s="71"/>
      <c r="G42" s="71"/>
      <c r="H42" s="71"/>
      <c r="I42" s="71"/>
      <c r="J42" s="71"/>
      <c r="K42" s="71"/>
      <c r="L42" s="71"/>
      <c r="M42" s="71"/>
    </row>
    <row r="43" spans="2:13" ht="84">
      <c r="B43" s="25" t="s">
        <v>418</v>
      </c>
      <c r="C43" s="26" t="s">
        <v>419</v>
      </c>
      <c r="D43" s="85" t="s">
        <v>328</v>
      </c>
      <c r="E43" s="71"/>
      <c r="F43" s="71"/>
      <c r="G43" s="71"/>
      <c r="H43" s="71"/>
      <c r="I43" s="71"/>
      <c r="J43" s="71"/>
      <c r="K43" s="71"/>
      <c r="L43" s="71"/>
      <c r="M43" s="71"/>
    </row>
    <row r="44" spans="2:13" ht="132">
      <c r="B44" s="25" t="s">
        <v>420</v>
      </c>
      <c r="C44" s="26" t="s">
        <v>421</v>
      </c>
      <c r="D44" s="85" t="s">
        <v>498</v>
      </c>
      <c r="E44" s="71"/>
      <c r="F44" s="71"/>
      <c r="G44" s="71"/>
      <c r="H44" s="71"/>
      <c r="I44" s="71"/>
      <c r="J44" s="71"/>
      <c r="K44" s="71"/>
      <c r="L44" s="71"/>
      <c r="M44" s="71"/>
    </row>
    <row r="45" spans="2:13">
      <c r="B45" s="27"/>
      <c r="C45" s="27"/>
      <c r="D45" s="27"/>
    </row>
    <row r="46" spans="2:13" ht="28">
      <c r="B46" s="27"/>
      <c r="C46" s="28" t="s">
        <v>484</v>
      </c>
      <c r="D46" s="85">
        <v>7</v>
      </c>
      <c r="E46" s="71"/>
      <c r="F46" s="71"/>
      <c r="G46" s="71"/>
      <c r="H46" s="71"/>
      <c r="I46" s="71"/>
      <c r="J46" s="71"/>
      <c r="K46" s="71"/>
      <c r="L46" s="71"/>
      <c r="M46" s="71"/>
    </row>
    <row r="47" spans="2:13" ht="42">
      <c r="B47" s="27"/>
      <c r="C47" s="29" t="s">
        <v>485</v>
      </c>
      <c r="D47" s="85">
        <v>2</v>
      </c>
      <c r="E47" s="71"/>
      <c r="F47" s="71"/>
      <c r="G47" s="71"/>
      <c r="H47" s="71"/>
      <c r="I47" s="71"/>
      <c r="J47" s="71"/>
      <c r="K47" s="71"/>
      <c r="L47" s="71"/>
      <c r="M47" s="71"/>
    </row>
    <row r="48" spans="2:13" ht="42">
      <c r="B48" s="27"/>
      <c r="C48" s="29" t="s">
        <v>486</v>
      </c>
      <c r="D48" s="85">
        <v>5</v>
      </c>
      <c r="E48" s="71"/>
      <c r="F48" s="71"/>
      <c r="G48" s="71"/>
      <c r="H48" s="71"/>
      <c r="I48" s="71"/>
      <c r="J48" s="71"/>
      <c r="K48" s="71"/>
      <c r="L48" s="71"/>
      <c r="M48" s="71"/>
    </row>
    <row r="49" spans="2:13">
      <c r="B49" s="27"/>
      <c r="C49" s="30"/>
      <c r="D49" s="96"/>
    </row>
    <row r="50" spans="2:13" ht="30">
      <c r="B50" s="27"/>
      <c r="C50" s="28" t="s">
        <v>426</v>
      </c>
      <c r="D50" s="85">
        <v>9</v>
      </c>
      <c r="E50" s="71"/>
      <c r="F50" s="71"/>
      <c r="G50" s="71"/>
      <c r="H50" s="71"/>
      <c r="I50" s="71"/>
      <c r="J50" s="71"/>
      <c r="K50" s="71"/>
      <c r="L50" s="71"/>
      <c r="M50" s="71"/>
    </row>
    <row r="51" spans="2:13" ht="28">
      <c r="B51" s="27"/>
      <c r="C51" s="29" t="s">
        <v>487</v>
      </c>
      <c r="D51" s="85">
        <v>2</v>
      </c>
      <c r="E51" s="71"/>
      <c r="F51" s="71"/>
      <c r="G51" s="71"/>
      <c r="H51" s="71"/>
      <c r="I51" s="71"/>
      <c r="J51" s="71"/>
      <c r="K51" s="71"/>
      <c r="L51" s="71"/>
      <c r="M51" s="71"/>
    </row>
    <row r="52" spans="2:13" ht="28">
      <c r="B52" s="27"/>
      <c r="C52" s="29" t="s">
        <v>488</v>
      </c>
      <c r="D52" s="85"/>
      <c r="E52" s="71"/>
      <c r="F52" s="71"/>
      <c r="G52" s="71"/>
      <c r="H52" s="71"/>
      <c r="I52" s="71"/>
      <c r="J52" s="71"/>
      <c r="K52" s="71"/>
      <c r="L52" s="71"/>
      <c r="M52" s="71"/>
    </row>
    <row r="53" spans="2:13">
      <c r="B53" s="27"/>
      <c r="C53" s="31"/>
      <c r="D53" s="96"/>
    </row>
    <row r="54" spans="2:13" ht="28">
      <c r="B54" s="27"/>
      <c r="C54" s="28" t="s">
        <v>427</v>
      </c>
      <c r="D54" s="85" t="s">
        <v>328</v>
      </c>
      <c r="E54" s="71"/>
      <c r="F54" s="71"/>
      <c r="G54" s="71"/>
      <c r="H54" s="71"/>
      <c r="I54" s="71"/>
      <c r="J54" s="71"/>
      <c r="K54" s="71"/>
      <c r="L54" s="71"/>
      <c r="M54" s="71"/>
    </row>
    <row r="55" spans="2:13" ht="42">
      <c r="B55" s="27"/>
      <c r="C55" s="28" t="s">
        <v>489</v>
      </c>
      <c r="D55" s="85">
        <v>1</v>
      </c>
      <c r="E55" s="71"/>
      <c r="F55" s="71"/>
      <c r="G55" s="71"/>
      <c r="H55" s="71"/>
      <c r="I55" s="71"/>
      <c r="J55" s="71"/>
      <c r="K55" s="71"/>
      <c r="L55" s="71"/>
      <c r="M55" s="71"/>
    </row>
    <row r="56" spans="2:13" ht="42">
      <c r="B56" s="27"/>
      <c r="C56" s="28" t="s">
        <v>490</v>
      </c>
      <c r="D56" s="85">
        <v>5</v>
      </c>
      <c r="E56" s="71"/>
      <c r="F56" s="71"/>
      <c r="G56" s="71"/>
      <c r="H56" s="71"/>
      <c r="I56" s="71"/>
      <c r="J56" s="71"/>
      <c r="K56" s="71"/>
      <c r="L56" s="71"/>
      <c r="M56" s="71"/>
    </row>
    <row r="57" spans="2:13" ht="56">
      <c r="B57" s="27"/>
      <c r="C57" s="28" t="s">
        <v>430</v>
      </c>
      <c r="D57" s="85">
        <v>5</v>
      </c>
      <c r="E57" s="71"/>
      <c r="F57" s="71"/>
      <c r="G57" s="71"/>
      <c r="H57" s="71"/>
      <c r="I57" s="71"/>
      <c r="J57" s="71"/>
      <c r="K57" s="71"/>
      <c r="L57" s="71"/>
      <c r="M57" s="71"/>
    </row>
    <row r="58" spans="2:13" ht="56">
      <c r="B58" s="27"/>
      <c r="C58" s="28" t="s">
        <v>431</v>
      </c>
      <c r="D58" s="85">
        <v>2</v>
      </c>
      <c r="E58" s="71"/>
      <c r="F58" s="71"/>
      <c r="G58" s="71"/>
      <c r="H58" s="71"/>
      <c r="I58" s="71"/>
      <c r="J58" s="71"/>
      <c r="K58" s="71"/>
      <c r="L58" s="71"/>
      <c r="M58" s="71"/>
    </row>
  </sheetData>
  <mergeCells count="2">
    <mergeCell ref="C6:D6"/>
    <mergeCell ref="C7:D7"/>
  </mergeCells>
  <conditionalFormatting sqref="B13:B17">
    <cfRule type="colorScale" priority="12">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92" priority="2">
      <formula>#REF!="Owned"</formula>
    </cfRule>
  </conditionalFormatting>
  <conditionalFormatting sqref="B28:B29 B26">
    <cfRule type="colorScale" priority="9">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B25:C26">
    <cfRule type="expression" dxfId="91" priority="4">
      <formula>#REF!="Owned"</formula>
    </cfRule>
  </conditionalFormatting>
  <conditionalFormatting sqref="C27:C32">
    <cfRule type="expression" dxfId="90" priority="1">
      <formula>#REF!="Owned"</formula>
    </cfRule>
  </conditionalFormatting>
  <dataValidations count="1">
    <dataValidation type="list" allowBlank="1" showInputMessage="1" showErrorMessage="1" sqref="E6" xr:uid="{7749465B-F911-4E32-8D0A-666F119EBC4C}">
      <formula1>"Yes, No"</formula1>
    </dataValidation>
  </dataValidation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339B-4C96-478B-B2ED-ADF7DCE978F6}">
  <sheetPr codeName="Feuil26">
    <tabColor rgb="FF00B050"/>
    <pageSetUpPr fitToPage="1"/>
  </sheetPr>
  <dimension ref="B1:R73"/>
  <sheetViews>
    <sheetView topLeftCell="A44" zoomScale="85" zoomScaleNormal="85" workbookViewId="0">
      <selection activeCell="A30" sqref="A30"/>
    </sheetView>
  </sheetViews>
  <sheetFormatPr baseColWidth="10" defaultColWidth="9.1640625" defaultRowHeight="13"/>
  <cols>
    <col min="1" max="1" width="19.5" style="139" customWidth="1"/>
    <col min="2" max="2" width="24.1640625" style="139" customWidth="1"/>
    <col min="3" max="3" width="23.1640625" style="139" customWidth="1"/>
    <col min="4" max="4" width="28.83203125" style="139" customWidth="1"/>
    <col min="5" max="18" width="22.83203125" style="139" customWidth="1"/>
    <col min="19" max="16384" width="9.1640625" style="139"/>
  </cols>
  <sheetData>
    <row r="1" spans="2:18" ht="7.5" customHeight="1"/>
    <row r="2" spans="2:18">
      <c r="C2" s="508" t="s">
        <v>323</v>
      </c>
      <c r="D2" s="501"/>
      <c r="E2" s="141"/>
      <c r="F2" s="142"/>
      <c r="G2" s="142"/>
      <c r="H2" s="142"/>
      <c r="I2" s="143"/>
    </row>
    <row r="4" spans="2:18">
      <c r="C4" s="140" t="s">
        <v>324</v>
      </c>
      <c r="D4" s="144" t="s">
        <v>184</v>
      </c>
      <c r="E4" s="144" t="s">
        <v>184</v>
      </c>
      <c r="G4" s="145"/>
      <c r="H4" s="145"/>
      <c r="I4" s="146"/>
    </row>
    <row r="5" spans="2:18" ht="15.75" customHeight="1">
      <c r="C5" s="187"/>
    </row>
    <row r="6" spans="2:18" ht="26.25" customHeight="1">
      <c r="B6" s="139" t="s">
        <v>326</v>
      </c>
      <c r="C6" s="588" t="s">
        <v>327</v>
      </c>
      <c r="D6" s="588"/>
      <c r="E6" s="148" t="s">
        <v>328</v>
      </c>
      <c r="F6" s="149"/>
      <c r="G6" s="150"/>
      <c r="H6" s="150"/>
    </row>
    <row r="7" spans="2:18" ht="26.25" customHeight="1">
      <c r="B7" s="139" t="s">
        <v>326</v>
      </c>
      <c r="C7" s="588" t="s">
        <v>329</v>
      </c>
      <c r="D7" s="588"/>
      <c r="E7" s="148">
        <v>1</v>
      </c>
      <c r="F7" s="149"/>
      <c r="G7" s="150"/>
      <c r="H7" s="150"/>
    </row>
    <row r="8" spans="2:18" ht="24.5" customHeight="1"/>
    <row r="9" spans="2:18" ht="26" customHeight="1">
      <c r="C9" s="151" t="s">
        <v>330</v>
      </c>
      <c r="D9" s="152"/>
      <c r="E9" s="153"/>
      <c r="F9" s="153"/>
      <c r="G9" s="153"/>
      <c r="H9" s="153"/>
      <c r="I9" s="153"/>
      <c r="J9" s="153"/>
      <c r="K9" s="153"/>
      <c r="L9" s="153"/>
      <c r="M9" s="153"/>
      <c r="N9" s="153"/>
      <c r="O9" s="153"/>
      <c r="P9" s="153"/>
      <c r="Q9" s="153"/>
      <c r="R9" s="153"/>
    </row>
    <row r="10" spans="2:18" ht="30" customHeight="1">
      <c r="C10" s="154" t="s">
        <v>331</v>
      </c>
      <c r="D10" s="155" t="s">
        <v>1082</v>
      </c>
      <c r="E10" s="156" t="s">
        <v>1083</v>
      </c>
      <c r="F10" s="156" t="s">
        <v>334</v>
      </c>
      <c r="G10" s="156" t="s">
        <v>335</v>
      </c>
      <c r="H10" s="156" t="s">
        <v>336</v>
      </c>
      <c r="I10" s="156" t="s">
        <v>337</v>
      </c>
      <c r="J10" s="156" t="s">
        <v>338</v>
      </c>
      <c r="K10" s="156" t="s">
        <v>339</v>
      </c>
      <c r="L10" s="156" t="s">
        <v>340</v>
      </c>
      <c r="M10" s="156" t="s">
        <v>341</v>
      </c>
      <c r="N10" s="156" t="s">
        <v>342</v>
      </c>
      <c r="O10" s="156" t="s">
        <v>343</v>
      </c>
      <c r="P10" s="156" t="s">
        <v>344</v>
      </c>
      <c r="Q10" s="156" t="s">
        <v>345</v>
      </c>
      <c r="R10" s="156" t="s">
        <v>346</v>
      </c>
    </row>
    <row r="11" spans="2:18" ht="30" customHeight="1">
      <c r="C11" s="157" t="s">
        <v>299</v>
      </c>
      <c r="D11" s="158" t="s">
        <v>1084</v>
      </c>
      <c r="E11" s="158" t="s">
        <v>1084</v>
      </c>
      <c r="F11" s="156"/>
      <c r="G11" s="156"/>
      <c r="H11" s="156"/>
      <c r="I11" s="156"/>
      <c r="J11" s="156"/>
      <c r="K11" s="156"/>
      <c r="L11" s="156"/>
      <c r="M11" s="156"/>
      <c r="N11" s="156"/>
      <c r="O11" s="156"/>
      <c r="P11" s="156"/>
      <c r="Q11" s="156"/>
      <c r="R11" s="156"/>
    </row>
    <row r="12" spans="2:18" ht="15" customHeight="1">
      <c r="C12" s="159"/>
      <c r="D12" s="160"/>
      <c r="E12" s="160"/>
      <c r="F12" s="160"/>
      <c r="G12" s="160"/>
      <c r="H12" s="160"/>
      <c r="I12" s="160"/>
      <c r="J12" s="161"/>
      <c r="K12" s="161"/>
      <c r="L12" s="161"/>
      <c r="M12" s="161"/>
      <c r="N12" s="161"/>
      <c r="O12" s="161"/>
      <c r="P12" s="161"/>
      <c r="Q12" s="161"/>
      <c r="R12" s="161"/>
    </row>
    <row r="13" spans="2:18" ht="30" customHeight="1">
      <c r="B13" s="7" t="s">
        <v>348</v>
      </c>
      <c r="C13" s="8" t="s">
        <v>349</v>
      </c>
      <c r="D13" s="162" t="s">
        <v>1085</v>
      </c>
      <c r="E13" s="162" t="s">
        <v>1086</v>
      </c>
      <c r="F13" s="162"/>
      <c r="G13" s="162"/>
      <c r="H13" s="162"/>
      <c r="I13" s="162"/>
      <c r="J13" s="162"/>
      <c r="K13" s="162"/>
      <c r="L13" s="162"/>
      <c r="M13" s="162"/>
      <c r="N13" s="162"/>
      <c r="O13" s="162"/>
      <c r="P13" s="162"/>
      <c r="Q13" s="162"/>
      <c r="R13" s="162"/>
    </row>
    <row r="14" spans="2:18" ht="77.25" customHeight="1">
      <c r="B14" s="7" t="s">
        <v>352</v>
      </c>
      <c r="C14" s="8" t="s">
        <v>297</v>
      </c>
      <c r="D14" s="162" t="s">
        <v>186</v>
      </c>
      <c r="E14" s="162" t="s">
        <v>188</v>
      </c>
      <c r="F14" s="162"/>
      <c r="G14" s="162"/>
      <c r="H14" s="162"/>
      <c r="I14" s="162"/>
      <c r="J14" s="162"/>
      <c r="K14" s="162"/>
      <c r="L14" s="162"/>
      <c r="M14" s="162"/>
      <c r="N14" s="162"/>
      <c r="O14" s="162"/>
      <c r="P14" s="162"/>
      <c r="Q14" s="162"/>
      <c r="R14" s="162"/>
    </row>
    <row r="15" spans="2:18" ht="30" customHeight="1">
      <c r="B15" s="7" t="s">
        <v>353</v>
      </c>
      <c r="C15" s="8" t="s">
        <v>354</v>
      </c>
      <c r="D15" s="162" t="s">
        <v>187</v>
      </c>
      <c r="E15" s="162" t="s">
        <v>187</v>
      </c>
      <c r="F15" s="162"/>
      <c r="G15" s="162"/>
      <c r="H15" s="162"/>
      <c r="I15" s="162"/>
      <c r="J15" s="162"/>
      <c r="K15" s="162"/>
      <c r="L15" s="162"/>
      <c r="M15" s="162"/>
      <c r="N15" s="162"/>
      <c r="O15" s="162"/>
      <c r="P15" s="162"/>
      <c r="Q15" s="162"/>
      <c r="R15" s="162"/>
    </row>
    <row r="16" spans="2:18" ht="15" customHeight="1">
      <c r="B16" s="7" t="s">
        <v>355</v>
      </c>
      <c r="C16" s="8" t="s">
        <v>356</v>
      </c>
      <c r="D16" s="162">
        <v>50450</v>
      </c>
      <c r="E16" s="162">
        <v>50450</v>
      </c>
      <c r="F16" s="162"/>
      <c r="G16" s="162"/>
      <c r="H16" s="162"/>
      <c r="I16" s="162"/>
      <c r="J16" s="162"/>
      <c r="K16" s="162"/>
      <c r="L16" s="162"/>
      <c r="M16" s="162"/>
      <c r="N16" s="162"/>
      <c r="O16" s="162"/>
      <c r="P16" s="162"/>
      <c r="Q16" s="162"/>
      <c r="R16" s="162"/>
    </row>
    <row r="17" spans="2:18" ht="15" customHeight="1">
      <c r="B17" s="7" t="s">
        <v>357</v>
      </c>
      <c r="C17" s="8" t="s">
        <v>294</v>
      </c>
      <c r="D17" s="162" t="s">
        <v>185</v>
      </c>
      <c r="E17" s="162" t="s">
        <v>185</v>
      </c>
      <c r="F17" s="162"/>
      <c r="G17" s="162"/>
      <c r="H17" s="162"/>
      <c r="I17" s="162"/>
      <c r="J17" s="162"/>
      <c r="K17" s="162"/>
      <c r="L17" s="162"/>
      <c r="M17" s="162"/>
      <c r="N17" s="162"/>
      <c r="O17" s="162"/>
      <c r="P17" s="162"/>
      <c r="Q17" s="162"/>
      <c r="R17" s="162"/>
    </row>
    <row r="18" spans="2:18" ht="15" customHeight="1">
      <c r="B18" s="9" t="s">
        <v>358</v>
      </c>
      <c r="C18" s="10" t="s">
        <v>359</v>
      </c>
      <c r="D18" s="162" t="s">
        <v>360</v>
      </c>
      <c r="E18" s="162" t="s">
        <v>360</v>
      </c>
      <c r="F18" s="162"/>
      <c r="G18" s="162"/>
      <c r="H18" s="162"/>
      <c r="I18" s="162"/>
      <c r="J18" s="162"/>
      <c r="K18" s="162"/>
      <c r="L18" s="162"/>
      <c r="M18" s="162"/>
      <c r="N18" s="162"/>
      <c r="O18" s="162"/>
      <c r="P18" s="162"/>
      <c r="Q18" s="162"/>
      <c r="R18" s="162"/>
    </row>
    <row r="19" spans="2:18" ht="45.75" customHeight="1">
      <c r="B19" s="9" t="s">
        <v>361</v>
      </c>
      <c r="C19" s="10" t="s">
        <v>362</v>
      </c>
      <c r="D19" s="162" t="s">
        <v>328</v>
      </c>
      <c r="E19" s="162" t="s">
        <v>328</v>
      </c>
      <c r="F19" s="162"/>
      <c r="G19" s="162"/>
      <c r="H19" s="162"/>
      <c r="I19" s="162"/>
      <c r="J19" s="162"/>
      <c r="K19" s="162"/>
      <c r="L19" s="162"/>
      <c r="M19" s="162"/>
      <c r="N19" s="162"/>
      <c r="O19" s="162"/>
      <c r="P19" s="162"/>
      <c r="Q19" s="162"/>
      <c r="R19" s="162"/>
    </row>
    <row r="20" spans="2:18" ht="45" customHeight="1">
      <c r="B20" s="9" t="s">
        <v>363</v>
      </c>
      <c r="C20" s="10" t="s">
        <v>364</v>
      </c>
      <c r="D20" s="162" t="s">
        <v>414</v>
      </c>
      <c r="E20" s="162" t="s">
        <v>414</v>
      </c>
      <c r="F20" s="162"/>
      <c r="G20" s="162"/>
      <c r="H20" s="162"/>
      <c r="I20" s="162"/>
      <c r="J20" s="162"/>
      <c r="K20" s="162"/>
      <c r="L20" s="162"/>
      <c r="M20" s="162"/>
      <c r="N20" s="162"/>
      <c r="O20" s="162"/>
      <c r="P20" s="162"/>
      <c r="Q20" s="162"/>
      <c r="R20" s="162"/>
    </row>
    <row r="21" spans="2:18" ht="30" customHeight="1">
      <c r="B21" s="11" t="s">
        <v>365</v>
      </c>
      <c r="C21" s="12" t="s">
        <v>366</v>
      </c>
      <c r="D21" s="162" t="s">
        <v>1087</v>
      </c>
      <c r="E21" s="162" t="s">
        <v>1087</v>
      </c>
      <c r="F21" s="162"/>
      <c r="G21" s="162"/>
      <c r="H21" s="162"/>
      <c r="I21" s="162"/>
      <c r="J21" s="162"/>
      <c r="K21" s="162"/>
      <c r="L21" s="162"/>
      <c r="M21" s="162"/>
      <c r="N21" s="162"/>
      <c r="O21" s="162"/>
      <c r="P21" s="162"/>
      <c r="Q21" s="162"/>
      <c r="R21" s="162"/>
    </row>
    <row r="22" spans="2:18" ht="30" customHeight="1">
      <c r="B22" s="11" t="s">
        <v>369</v>
      </c>
      <c r="C22" s="12" t="s">
        <v>370</v>
      </c>
      <c r="D22" s="162" t="s">
        <v>1088</v>
      </c>
      <c r="E22" s="162" t="s">
        <v>1088</v>
      </c>
      <c r="F22" s="162"/>
      <c r="G22" s="162"/>
      <c r="H22" s="162"/>
      <c r="I22" s="162"/>
      <c r="J22" s="162"/>
      <c r="K22" s="162"/>
      <c r="L22" s="162"/>
      <c r="M22" s="162"/>
      <c r="N22" s="162"/>
      <c r="O22" s="162"/>
      <c r="P22" s="162"/>
      <c r="Q22" s="162"/>
      <c r="R22" s="162"/>
    </row>
    <row r="23" spans="2:18" ht="30" customHeight="1">
      <c r="B23" s="13" t="s">
        <v>372</v>
      </c>
      <c r="C23" s="14" t="s">
        <v>374</v>
      </c>
      <c r="D23" s="162" t="s">
        <v>374</v>
      </c>
      <c r="E23" s="162" t="s">
        <v>374</v>
      </c>
      <c r="F23" s="162"/>
      <c r="G23" s="162"/>
      <c r="H23" s="162"/>
      <c r="I23" s="162"/>
      <c r="J23" s="162"/>
      <c r="K23" s="162"/>
      <c r="L23" s="162"/>
      <c r="M23" s="162"/>
      <c r="N23" s="162"/>
      <c r="O23" s="162"/>
      <c r="P23" s="162"/>
      <c r="Q23" s="162"/>
      <c r="R23" s="162"/>
    </row>
    <row r="24" spans="2:18" ht="45" customHeight="1">
      <c r="B24" s="13" t="s">
        <v>375</v>
      </c>
      <c r="C24" s="14" t="s">
        <v>376</v>
      </c>
      <c r="D24" s="164">
        <f>3300*0.092903</f>
        <v>306.57990000000001</v>
      </c>
      <c r="E24" s="164">
        <f>6841*0.092903</f>
        <v>635.54942300000005</v>
      </c>
      <c r="F24" s="164"/>
      <c r="G24" s="164"/>
      <c r="H24" s="164"/>
      <c r="I24" s="164"/>
      <c r="J24" s="164"/>
      <c r="K24" s="164"/>
      <c r="L24" s="164"/>
      <c r="M24" s="164"/>
      <c r="N24" s="164"/>
      <c r="O24" s="164"/>
      <c r="P24" s="164"/>
      <c r="Q24" s="164"/>
      <c r="R24" s="164"/>
    </row>
    <row r="25" spans="2:18" ht="45" customHeight="1">
      <c r="B25" s="15" t="s">
        <v>377</v>
      </c>
      <c r="C25" s="16" t="s">
        <v>378</v>
      </c>
      <c r="D25" s="218">
        <v>36</v>
      </c>
      <c r="E25" s="162"/>
      <c r="F25" s="162"/>
      <c r="G25" s="162"/>
      <c r="H25" s="162"/>
      <c r="I25" s="162"/>
      <c r="J25" s="162"/>
      <c r="K25" s="162"/>
      <c r="L25" s="162"/>
      <c r="M25" s="162"/>
      <c r="N25" s="162"/>
      <c r="O25" s="162"/>
      <c r="P25" s="162"/>
      <c r="Q25" s="162"/>
      <c r="R25" s="162"/>
    </row>
    <row r="26" spans="2:18" ht="45" customHeight="1">
      <c r="B26" s="15" t="s">
        <v>380</v>
      </c>
      <c r="C26" s="16" t="s">
        <v>381</v>
      </c>
      <c r="D26" s="166" t="s">
        <v>1089</v>
      </c>
      <c r="E26" s="162" t="s">
        <v>1089</v>
      </c>
      <c r="F26" s="164"/>
      <c r="G26" s="162"/>
      <c r="H26" s="162"/>
      <c r="I26" s="162"/>
      <c r="J26" s="162"/>
      <c r="K26" s="162"/>
      <c r="L26" s="162"/>
      <c r="M26" s="162"/>
      <c r="N26" s="162"/>
      <c r="O26" s="162"/>
      <c r="P26" s="162"/>
      <c r="Q26" s="162"/>
      <c r="R26" s="162"/>
    </row>
    <row r="27" spans="2:18" ht="45" customHeight="1">
      <c r="B27" s="15"/>
      <c r="C27" s="167" t="s">
        <v>383</v>
      </c>
      <c r="D27" s="166"/>
      <c r="E27" s="162"/>
      <c r="F27" s="164"/>
      <c r="G27" s="162"/>
      <c r="H27" s="162"/>
      <c r="I27" s="162"/>
      <c r="J27" s="162"/>
      <c r="K27" s="162"/>
      <c r="L27" s="162"/>
      <c r="M27" s="162"/>
      <c r="N27" s="162"/>
      <c r="O27" s="162"/>
      <c r="P27" s="162"/>
      <c r="Q27" s="162"/>
      <c r="R27" s="162"/>
    </row>
    <row r="28" spans="2:18" ht="45" customHeight="1">
      <c r="B28" s="15" t="s">
        <v>384</v>
      </c>
      <c r="C28" s="16" t="s">
        <v>385</v>
      </c>
      <c r="D28" s="168">
        <f>(4.2/0.092903)*12</f>
        <v>542.50131857959377</v>
      </c>
      <c r="E28" s="241">
        <f>(4.2/0.092903)*12</f>
        <v>542.50131857959377</v>
      </c>
      <c r="F28" s="164"/>
      <c r="G28" s="162"/>
      <c r="H28" s="162"/>
      <c r="I28" s="162"/>
      <c r="J28" s="162"/>
      <c r="K28" s="162"/>
      <c r="L28" s="162"/>
      <c r="M28" s="162"/>
      <c r="N28" s="162"/>
      <c r="O28" s="162"/>
      <c r="P28" s="162"/>
      <c r="Q28" s="162"/>
      <c r="R28" s="162"/>
    </row>
    <row r="29" spans="2:18" ht="45" customHeight="1">
      <c r="B29" s="15" t="s">
        <v>387</v>
      </c>
      <c r="C29" s="16" t="s">
        <v>388</v>
      </c>
      <c r="D29" s="166" t="s">
        <v>1090</v>
      </c>
      <c r="E29" s="162" t="s">
        <v>1090</v>
      </c>
      <c r="F29" s="164"/>
      <c r="G29" s="162"/>
      <c r="H29" s="162"/>
      <c r="I29" s="162"/>
      <c r="J29" s="162"/>
      <c r="K29" s="162"/>
      <c r="L29" s="162"/>
      <c r="M29" s="162"/>
      <c r="N29" s="162"/>
      <c r="O29" s="162"/>
      <c r="P29" s="162"/>
      <c r="Q29" s="162"/>
      <c r="R29" s="162"/>
    </row>
    <row r="30" spans="2:18" ht="60" customHeight="1">
      <c r="B30" s="13" t="s">
        <v>390</v>
      </c>
      <c r="C30" s="17" t="s">
        <v>391</v>
      </c>
      <c r="D30" s="162">
        <v>78081.259999999995</v>
      </c>
      <c r="E30" s="162">
        <v>161348.85999999999</v>
      </c>
      <c r="F30" s="162"/>
      <c r="G30" s="162"/>
      <c r="H30" s="162"/>
      <c r="I30" s="162"/>
      <c r="J30" s="162"/>
      <c r="K30" s="162"/>
      <c r="L30" s="162"/>
      <c r="M30" s="162"/>
      <c r="N30" s="162"/>
      <c r="O30" s="162"/>
      <c r="P30" s="162"/>
      <c r="Q30" s="162"/>
      <c r="R30" s="162"/>
    </row>
    <row r="31" spans="2:18" ht="60" customHeight="1">
      <c r="B31" s="13"/>
      <c r="C31" s="167" t="s">
        <v>393</v>
      </c>
      <c r="D31" s="162"/>
      <c r="E31" s="162"/>
      <c r="F31" s="162"/>
      <c r="G31" s="162"/>
      <c r="H31" s="162"/>
      <c r="I31" s="162"/>
      <c r="J31" s="162"/>
      <c r="K31" s="162"/>
      <c r="L31" s="162"/>
      <c r="M31" s="162"/>
      <c r="N31" s="162"/>
      <c r="O31" s="162"/>
      <c r="P31" s="162"/>
      <c r="Q31" s="162"/>
      <c r="R31" s="162"/>
    </row>
    <row r="32" spans="2:18" ht="60" customHeight="1">
      <c r="B32" s="13" t="s">
        <v>394</v>
      </c>
      <c r="C32" s="17" t="s">
        <v>395</v>
      </c>
      <c r="D32" s="166" t="s">
        <v>1091</v>
      </c>
      <c r="E32" s="162" t="s">
        <v>1091</v>
      </c>
      <c r="F32" s="162"/>
      <c r="G32" s="162"/>
      <c r="H32" s="162"/>
      <c r="I32" s="162"/>
      <c r="J32" s="162"/>
      <c r="K32" s="162"/>
      <c r="L32" s="162"/>
      <c r="M32" s="162"/>
      <c r="N32" s="162"/>
      <c r="O32" s="162"/>
      <c r="P32" s="162"/>
      <c r="Q32" s="162"/>
      <c r="R32" s="162"/>
    </row>
    <row r="33" spans="2:18" ht="30" customHeight="1">
      <c r="B33" s="18" t="s">
        <v>397</v>
      </c>
      <c r="C33" s="19" t="s">
        <v>313</v>
      </c>
      <c r="D33" s="170">
        <v>44531</v>
      </c>
      <c r="E33" s="170">
        <v>44562</v>
      </c>
      <c r="F33" s="170"/>
      <c r="G33" s="170"/>
      <c r="H33" s="170"/>
      <c r="I33" s="170"/>
      <c r="J33" s="162"/>
      <c r="K33" s="162"/>
      <c r="L33" s="162"/>
      <c r="M33" s="162"/>
      <c r="N33" s="162"/>
      <c r="O33" s="162"/>
      <c r="P33" s="162"/>
      <c r="Q33" s="162"/>
      <c r="R33" s="162"/>
    </row>
    <row r="34" spans="2:18" ht="30" customHeight="1">
      <c r="B34" s="20" t="s">
        <v>398</v>
      </c>
      <c r="C34" s="19" t="s">
        <v>315</v>
      </c>
      <c r="D34" s="170">
        <v>46752</v>
      </c>
      <c r="E34" s="170">
        <v>46752</v>
      </c>
      <c r="F34" s="170"/>
      <c r="G34" s="170"/>
      <c r="H34" s="170"/>
      <c r="I34" s="170"/>
      <c r="J34" s="162"/>
      <c r="K34" s="162"/>
      <c r="L34" s="162"/>
      <c r="M34" s="162"/>
      <c r="N34" s="162"/>
      <c r="O34" s="162"/>
      <c r="P34" s="162"/>
      <c r="Q34" s="162"/>
      <c r="R34" s="162"/>
    </row>
    <row r="35" spans="2:18" ht="30" customHeight="1">
      <c r="B35" s="20" t="s">
        <v>399</v>
      </c>
      <c r="C35" s="19" t="s">
        <v>400</v>
      </c>
      <c r="D35" s="170" t="s">
        <v>410</v>
      </c>
      <c r="E35" s="162" t="s">
        <v>410</v>
      </c>
      <c r="F35" s="162"/>
      <c r="G35" s="162"/>
      <c r="H35" s="162"/>
      <c r="I35" s="162"/>
      <c r="J35" s="162"/>
      <c r="K35" s="162"/>
      <c r="L35" s="162"/>
      <c r="M35" s="162"/>
      <c r="N35" s="162"/>
      <c r="O35" s="162"/>
      <c r="P35" s="162"/>
      <c r="Q35" s="162"/>
      <c r="R35" s="162"/>
    </row>
    <row r="36" spans="2:18" ht="30" customHeight="1">
      <c r="B36" s="20" t="s">
        <v>402</v>
      </c>
      <c r="C36" s="21" t="s">
        <v>403</v>
      </c>
      <c r="D36" s="172" t="s">
        <v>498</v>
      </c>
      <c r="E36" s="174" t="s">
        <v>498</v>
      </c>
      <c r="F36" s="173"/>
      <c r="G36" s="173"/>
      <c r="H36" s="173"/>
      <c r="I36" s="173"/>
      <c r="J36" s="162"/>
      <c r="K36" s="162"/>
      <c r="L36" s="162"/>
      <c r="M36" s="162"/>
      <c r="N36" s="162"/>
      <c r="O36" s="162"/>
      <c r="P36" s="162"/>
      <c r="Q36" s="162"/>
      <c r="R36" s="162"/>
    </row>
    <row r="37" spans="2:18" ht="45" customHeight="1">
      <c r="B37" s="20" t="s">
        <v>404</v>
      </c>
      <c r="C37" s="21" t="s">
        <v>405</v>
      </c>
      <c r="D37" s="172" t="s">
        <v>410</v>
      </c>
      <c r="E37" s="174" t="s">
        <v>410</v>
      </c>
      <c r="F37" s="173"/>
      <c r="G37" s="173"/>
      <c r="H37" s="173"/>
      <c r="I37" s="173"/>
      <c r="J37" s="162"/>
      <c r="K37" s="162"/>
      <c r="L37" s="162"/>
      <c r="M37" s="162"/>
      <c r="N37" s="162"/>
      <c r="O37" s="162"/>
      <c r="P37" s="162"/>
      <c r="Q37" s="162"/>
      <c r="R37" s="162"/>
    </row>
    <row r="38" spans="2:18" ht="30" customHeight="1">
      <c r="B38" s="20" t="s">
        <v>406</v>
      </c>
      <c r="C38" s="21" t="s">
        <v>407</v>
      </c>
      <c r="D38" s="172" t="s">
        <v>498</v>
      </c>
      <c r="E38" s="174" t="s">
        <v>498</v>
      </c>
      <c r="F38" s="173"/>
      <c r="G38" s="173"/>
      <c r="H38" s="173"/>
      <c r="I38" s="173"/>
      <c r="J38" s="162"/>
      <c r="K38" s="162"/>
      <c r="L38" s="162"/>
      <c r="M38" s="162"/>
      <c r="N38" s="162"/>
      <c r="O38" s="162"/>
      <c r="P38" s="162"/>
      <c r="Q38" s="162"/>
      <c r="R38" s="162"/>
    </row>
    <row r="39" spans="2:18" ht="30" customHeight="1">
      <c r="B39" s="20" t="s">
        <v>408</v>
      </c>
      <c r="C39" s="21" t="s">
        <v>409</v>
      </c>
      <c r="D39" s="172" t="s">
        <v>410</v>
      </c>
      <c r="E39" s="174" t="s">
        <v>410</v>
      </c>
      <c r="F39" s="173"/>
      <c r="G39" s="173"/>
      <c r="H39" s="173"/>
      <c r="I39" s="173"/>
      <c r="J39" s="162"/>
      <c r="K39" s="162"/>
      <c r="L39" s="162"/>
      <c r="M39" s="162"/>
      <c r="N39" s="162"/>
      <c r="O39" s="162"/>
      <c r="P39" s="162"/>
      <c r="Q39" s="162"/>
      <c r="R39" s="162"/>
    </row>
    <row r="40" spans="2:18" ht="45" customHeight="1">
      <c r="B40" s="20" t="s">
        <v>411</v>
      </c>
      <c r="C40" s="21" t="s">
        <v>314</v>
      </c>
      <c r="D40" s="170">
        <v>46752</v>
      </c>
      <c r="E40" s="170">
        <v>46752</v>
      </c>
      <c r="F40" s="173"/>
      <c r="G40" s="173"/>
      <c r="H40" s="173"/>
      <c r="I40" s="173"/>
      <c r="J40" s="162"/>
      <c r="K40" s="162"/>
      <c r="L40" s="162"/>
      <c r="M40" s="162"/>
      <c r="N40" s="162"/>
      <c r="O40" s="162"/>
      <c r="P40" s="162"/>
      <c r="Q40" s="162"/>
      <c r="R40" s="162"/>
    </row>
    <row r="41" spans="2:18" ht="60" customHeight="1">
      <c r="B41" s="22" t="s">
        <v>412</v>
      </c>
      <c r="C41" s="23" t="s">
        <v>413</v>
      </c>
      <c r="D41" s="172" t="s">
        <v>328</v>
      </c>
      <c r="E41" s="174" t="s">
        <v>328</v>
      </c>
      <c r="F41" s="172"/>
      <c r="G41" s="172"/>
      <c r="H41" s="172"/>
      <c r="I41" s="172"/>
      <c r="J41" s="172"/>
      <c r="K41" s="172"/>
      <c r="L41" s="172"/>
      <c r="M41" s="172"/>
      <c r="N41" s="172"/>
      <c r="O41" s="172"/>
      <c r="P41" s="172"/>
      <c r="Q41" s="172"/>
      <c r="R41" s="172"/>
    </row>
    <row r="42" spans="2:18" ht="75" customHeight="1">
      <c r="B42" s="24" t="s">
        <v>457</v>
      </c>
      <c r="C42" s="23" t="s">
        <v>458</v>
      </c>
      <c r="D42" s="174" t="s">
        <v>328</v>
      </c>
      <c r="E42" s="174" t="s">
        <v>328</v>
      </c>
      <c r="F42" s="174"/>
      <c r="G42" s="174"/>
      <c r="H42" s="174"/>
      <c r="I42" s="174"/>
      <c r="J42" s="174"/>
      <c r="K42" s="174"/>
      <c r="L42" s="174"/>
      <c r="M42" s="174"/>
      <c r="N42" s="174"/>
      <c r="O42" s="174"/>
      <c r="P42" s="174"/>
      <c r="Q42" s="174"/>
      <c r="R42" s="174"/>
    </row>
    <row r="43" spans="2:18" ht="60" customHeight="1">
      <c r="B43" s="25" t="s">
        <v>418</v>
      </c>
      <c r="C43" s="26" t="s">
        <v>419</v>
      </c>
      <c r="D43" s="162" t="s">
        <v>328</v>
      </c>
      <c r="E43" s="162" t="s">
        <v>328</v>
      </c>
      <c r="F43" s="162"/>
      <c r="G43" s="162"/>
      <c r="H43" s="162"/>
      <c r="I43" s="162"/>
      <c r="J43" s="162"/>
      <c r="K43" s="162"/>
      <c r="L43" s="162"/>
      <c r="M43" s="162"/>
      <c r="N43" s="162"/>
      <c r="O43" s="162"/>
      <c r="P43" s="162"/>
      <c r="Q43" s="162"/>
      <c r="R43" s="162"/>
    </row>
    <row r="44" spans="2:18" ht="75" customHeight="1">
      <c r="B44" s="25" t="s">
        <v>420</v>
      </c>
      <c r="C44" s="26" t="s">
        <v>421</v>
      </c>
      <c r="D44" s="162" t="s">
        <v>328</v>
      </c>
      <c r="E44" s="162" t="s">
        <v>328</v>
      </c>
      <c r="F44" s="162"/>
      <c r="G44" s="162"/>
      <c r="H44" s="162"/>
      <c r="I44" s="162"/>
      <c r="J44" s="162"/>
      <c r="K44" s="162"/>
      <c r="L44" s="162"/>
      <c r="M44" s="162"/>
      <c r="N44" s="162"/>
      <c r="O44" s="162"/>
      <c r="P44" s="162"/>
      <c r="Q44" s="162"/>
      <c r="R44" s="162"/>
    </row>
    <row r="45" spans="2:18">
      <c r="B45" s="175"/>
      <c r="C45" s="175"/>
      <c r="D45" s="175"/>
      <c r="E45" s="175"/>
      <c r="F45" s="175"/>
      <c r="G45" s="175"/>
      <c r="H45" s="175"/>
      <c r="I45" s="175"/>
      <c r="J45" s="175"/>
      <c r="K45" s="175"/>
      <c r="L45" s="175"/>
      <c r="M45" s="175"/>
      <c r="N45" s="175"/>
      <c r="O45" s="175"/>
      <c r="P45" s="175"/>
      <c r="Q45" s="175"/>
      <c r="R45" s="175"/>
    </row>
    <row r="46" spans="2:18" ht="45" customHeight="1">
      <c r="B46" s="175"/>
      <c r="C46" s="242" t="s">
        <v>423</v>
      </c>
      <c r="D46" s="162">
        <v>43</v>
      </c>
      <c r="E46" s="162">
        <v>85</v>
      </c>
      <c r="F46" s="162"/>
      <c r="G46" s="162"/>
      <c r="H46" s="162"/>
      <c r="I46" s="162"/>
      <c r="J46" s="162"/>
      <c r="K46" s="162"/>
      <c r="L46" s="162"/>
      <c r="M46" s="162"/>
      <c r="N46" s="162"/>
      <c r="O46" s="162"/>
      <c r="P46" s="162"/>
      <c r="Q46" s="162"/>
      <c r="R46" s="162"/>
    </row>
    <row r="47" spans="2:18" ht="45" customHeight="1">
      <c r="B47" s="175"/>
      <c r="C47" s="242" t="s">
        <v>1092</v>
      </c>
      <c r="D47" s="162">
        <v>17</v>
      </c>
      <c r="E47" s="162">
        <v>1</v>
      </c>
      <c r="F47" s="162"/>
      <c r="G47" s="162"/>
      <c r="H47" s="162"/>
      <c r="I47" s="162"/>
      <c r="J47" s="162"/>
      <c r="K47" s="162"/>
      <c r="L47" s="162"/>
      <c r="M47" s="162"/>
      <c r="N47" s="162"/>
      <c r="O47" s="162"/>
      <c r="P47" s="162"/>
      <c r="Q47" s="162"/>
      <c r="R47" s="162"/>
    </row>
    <row r="48" spans="2:18" ht="30" customHeight="1">
      <c r="B48" s="175"/>
      <c r="C48" s="242" t="s">
        <v>1093</v>
      </c>
      <c r="D48" s="162">
        <v>0</v>
      </c>
      <c r="E48" s="162">
        <v>84</v>
      </c>
      <c r="F48" s="162"/>
      <c r="G48" s="162"/>
      <c r="H48" s="162"/>
      <c r="I48" s="162"/>
      <c r="J48" s="162"/>
      <c r="K48" s="162"/>
      <c r="L48" s="162"/>
      <c r="M48" s="162"/>
      <c r="N48" s="162"/>
      <c r="O48" s="162"/>
      <c r="P48" s="162"/>
      <c r="Q48" s="162"/>
      <c r="R48" s="162"/>
    </row>
    <row r="49" spans="2:18" ht="15" customHeight="1">
      <c r="B49" s="175"/>
      <c r="C49" s="242" t="s">
        <v>1094</v>
      </c>
      <c r="D49" s="162">
        <v>26</v>
      </c>
      <c r="E49" s="162">
        <v>0</v>
      </c>
      <c r="F49" s="162"/>
      <c r="G49" s="162"/>
      <c r="H49" s="162"/>
      <c r="I49" s="162"/>
      <c r="J49" s="162"/>
      <c r="K49" s="162"/>
      <c r="L49" s="162"/>
      <c r="M49" s="162"/>
      <c r="N49" s="162"/>
      <c r="O49" s="162"/>
      <c r="P49" s="162"/>
      <c r="Q49" s="162"/>
      <c r="R49" s="162"/>
    </row>
    <row r="50" spans="2:18" ht="13" customHeight="1">
      <c r="B50" s="175"/>
      <c r="C50" s="243"/>
      <c r="D50" s="179"/>
      <c r="E50" s="179"/>
      <c r="F50" s="179"/>
      <c r="G50" s="179"/>
      <c r="H50" s="179"/>
      <c r="I50" s="179"/>
      <c r="J50" s="179"/>
      <c r="K50" s="179"/>
      <c r="L50" s="179"/>
      <c r="M50" s="179"/>
      <c r="N50" s="179"/>
      <c r="O50" s="179"/>
      <c r="P50" s="179"/>
      <c r="Q50" s="179"/>
      <c r="R50" s="179"/>
    </row>
    <row r="51" spans="2:18" ht="30" customHeight="1">
      <c r="B51" s="175"/>
      <c r="C51" s="242" t="s">
        <v>426</v>
      </c>
      <c r="D51" s="162">
        <v>43</v>
      </c>
      <c r="E51" s="162">
        <v>114</v>
      </c>
      <c r="F51" s="162"/>
      <c r="G51" s="162"/>
      <c r="H51" s="162"/>
      <c r="I51" s="162"/>
      <c r="J51" s="162"/>
      <c r="K51" s="162"/>
      <c r="L51" s="162"/>
      <c r="M51" s="162"/>
      <c r="N51" s="162"/>
      <c r="O51" s="162"/>
      <c r="P51" s="162"/>
      <c r="Q51" s="162"/>
      <c r="R51" s="162"/>
    </row>
    <row r="52" spans="2:18" ht="30" customHeight="1">
      <c r="B52" s="175"/>
      <c r="C52" s="242" t="s">
        <v>1095</v>
      </c>
      <c r="D52" s="162">
        <v>17</v>
      </c>
      <c r="E52" s="162">
        <v>1</v>
      </c>
      <c r="F52" s="162"/>
      <c r="G52" s="162"/>
      <c r="H52" s="162"/>
      <c r="I52" s="162"/>
      <c r="J52" s="162"/>
      <c r="K52" s="162"/>
      <c r="L52" s="162"/>
      <c r="M52" s="162"/>
      <c r="N52" s="162"/>
      <c r="O52" s="162"/>
      <c r="P52" s="162"/>
      <c r="Q52" s="162"/>
      <c r="R52" s="162"/>
    </row>
    <row r="53" spans="2:18" ht="30" customHeight="1">
      <c r="B53" s="175"/>
      <c r="C53" s="242" t="s">
        <v>1096</v>
      </c>
      <c r="D53" s="162">
        <v>0</v>
      </c>
      <c r="E53" s="162">
        <v>84</v>
      </c>
      <c r="F53" s="162"/>
      <c r="G53" s="162"/>
      <c r="H53" s="162"/>
      <c r="I53" s="162"/>
      <c r="J53" s="162"/>
      <c r="K53" s="162"/>
      <c r="L53" s="162"/>
      <c r="M53" s="162"/>
      <c r="N53" s="162"/>
      <c r="O53" s="162"/>
      <c r="P53" s="162"/>
      <c r="Q53" s="162"/>
      <c r="R53" s="162"/>
    </row>
    <row r="54" spans="2:18" ht="30" customHeight="1">
      <c r="B54" s="175"/>
      <c r="C54" s="242" t="s">
        <v>1097</v>
      </c>
      <c r="D54" s="162">
        <v>26</v>
      </c>
      <c r="E54" s="162">
        <v>0</v>
      </c>
      <c r="F54" s="162"/>
      <c r="G54" s="162"/>
      <c r="H54" s="162"/>
      <c r="I54" s="162"/>
      <c r="J54" s="162"/>
      <c r="K54" s="162"/>
      <c r="L54" s="162"/>
      <c r="M54" s="162"/>
      <c r="N54" s="162"/>
      <c r="O54" s="162"/>
      <c r="P54" s="162"/>
      <c r="Q54" s="162"/>
      <c r="R54" s="162"/>
    </row>
    <row r="55" spans="2:18" ht="56">
      <c r="B55" s="175"/>
      <c r="C55" s="242" t="s">
        <v>1098</v>
      </c>
      <c r="D55" s="162">
        <v>0</v>
      </c>
      <c r="E55" s="162">
        <v>4</v>
      </c>
      <c r="F55" s="162"/>
      <c r="G55" s="162"/>
      <c r="H55" s="162"/>
      <c r="I55" s="162"/>
      <c r="J55" s="162"/>
      <c r="K55" s="162"/>
      <c r="L55" s="162"/>
      <c r="M55" s="162"/>
      <c r="N55" s="162"/>
      <c r="O55" s="162"/>
      <c r="P55" s="162"/>
      <c r="Q55" s="162"/>
      <c r="R55" s="162"/>
    </row>
    <row r="56" spans="2:18" ht="54" customHeight="1">
      <c r="B56" s="175"/>
      <c r="C56" s="244" t="s">
        <v>1099</v>
      </c>
      <c r="D56" s="162">
        <v>0</v>
      </c>
      <c r="E56" s="162">
        <f>E51-SUM(E52:E55)</f>
        <v>25</v>
      </c>
      <c r="F56" s="162"/>
      <c r="G56" s="162"/>
      <c r="H56" s="162"/>
      <c r="I56" s="162"/>
      <c r="J56" s="162"/>
      <c r="K56" s="162"/>
      <c r="L56" s="162"/>
      <c r="M56" s="162"/>
      <c r="N56" s="162"/>
      <c r="O56" s="162"/>
      <c r="P56" s="162"/>
      <c r="Q56" s="162"/>
      <c r="R56" s="162"/>
    </row>
    <row r="57" spans="2:18" s="223" customFormat="1" ht="13" customHeight="1">
      <c r="B57" s="245"/>
      <c r="C57" s="246"/>
      <c r="D57" s="247"/>
      <c r="E57" s="247"/>
      <c r="F57" s="247"/>
      <c r="G57" s="247"/>
      <c r="H57" s="247"/>
      <c r="I57" s="247"/>
      <c r="J57" s="247"/>
      <c r="K57" s="247"/>
      <c r="L57" s="247"/>
      <c r="M57" s="247"/>
      <c r="N57" s="247"/>
      <c r="O57" s="247"/>
      <c r="P57" s="247"/>
      <c r="Q57" s="247"/>
      <c r="R57" s="247"/>
    </row>
    <row r="58" spans="2:18" s="223" customFormat="1" ht="27.5" customHeight="1">
      <c r="B58" s="245"/>
      <c r="C58" s="76" t="s">
        <v>427</v>
      </c>
      <c r="D58" s="162" t="s">
        <v>414</v>
      </c>
      <c r="E58" s="162" t="s">
        <v>414</v>
      </c>
      <c r="F58" s="162"/>
      <c r="G58" s="162"/>
      <c r="H58" s="162"/>
      <c r="I58" s="162"/>
      <c r="J58" s="162"/>
      <c r="K58" s="162"/>
      <c r="L58" s="162"/>
      <c r="M58" s="162"/>
      <c r="N58" s="162"/>
      <c r="O58" s="162"/>
      <c r="P58" s="162"/>
      <c r="Q58" s="162"/>
      <c r="R58" s="162"/>
    </row>
    <row r="59" spans="2:18" ht="30" customHeight="1">
      <c r="B59" s="175"/>
      <c r="C59" s="176" t="s">
        <v>428</v>
      </c>
      <c r="D59" s="162">
        <v>3</v>
      </c>
      <c r="E59" s="162"/>
      <c r="F59" s="162"/>
      <c r="G59" s="162"/>
      <c r="H59" s="162"/>
      <c r="I59" s="162"/>
      <c r="J59" s="162"/>
      <c r="K59" s="162"/>
      <c r="L59" s="162"/>
      <c r="M59" s="162"/>
      <c r="N59" s="162"/>
      <c r="O59" s="162"/>
      <c r="P59" s="162"/>
      <c r="Q59" s="162"/>
      <c r="R59" s="162"/>
    </row>
    <row r="60" spans="2:18" ht="30" customHeight="1">
      <c r="B60" s="175"/>
      <c r="C60" s="176" t="s">
        <v>429</v>
      </c>
      <c r="D60" s="162">
        <v>3</v>
      </c>
      <c r="E60" s="162"/>
      <c r="F60" s="162"/>
      <c r="G60" s="162"/>
      <c r="H60" s="162"/>
      <c r="I60" s="162"/>
      <c r="J60" s="162"/>
      <c r="K60" s="162"/>
      <c r="L60" s="162"/>
      <c r="M60" s="162"/>
      <c r="N60" s="162"/>
      <c r="O60" s="162"/>
      <c r="P60" s="162"/>
      <c r="Q60" s="162"/>
      <c r="R60" s="162"/>
    </row>
    <row r="61" spans="2:18" ht="66" customHeight="1">
      <c r="B61" s="175"/>
      <c r="C61" s="248" t="s">
        <v>430</v>
      </c>
      <c r="D61" s="162"/>
      <c r="E61" s="162"/>
      <c r="F61" s="162"/>
      <c r="G61" s="162"/>
      <c r="H61" s="162"/>
      <c r="I61" s="162"/>
      <c r="J61" s="162"/>
      <c r="K61" s="162"/>
      <c r="L61" s="162"/>
      <c r="M61" s="162"/>
      <c r="N61" s="162"/>
      <c r="O61" s="162"/>
      <c r="P61" s="162"/>
      <c r="Q61" s="162"/>
      <c r="R61" s="162"/>
    </row>
    <row r="62" spans="2:18" ht="66" customHeight="1">
      <c r="B62" s="175"/>
      <c r="C62" s="248" t="s">
        <v>431</v>
      </c>
      <c r="D62" s="162"/>
      <c r="E62" s="162"/>
      <c r="F62" s="162"/>
      <c r="G62" s="162"/>
      <c r="H62" s="162"/>
      <c r="I62" s="162"/>
      <c r="J62" s="162"/>
      <c r="K62" s="162"/>
      <c r="L62" s="162"/>
      <c r="M62" s="162"/>
      <c r="N62" s="162"/>
      <c r="O62" s="162"/>
      <c r="P62" s="162"/>
      <c r="Q62" s="162"/>
      <c r="R62" s="162"/>
    </row>
    <row r="65" spans="4:4" ht="15">
      <c r="D65" s="139" t="s">
        <v>432</v>
      </c>
    </row>
    <row r="66" spans="4:4">
      <c r="D66" s="183" t="s">
        <v>433</v>
      </c>
    </row>
    <row r="67" spans="4:4">
      <c r="D67" s="184" t="s">
        <v>434</v>
      </c>
    </row>
    <row r="68" spans="4:4">
      <c r="D68" s="184" t="s">
        <v>435</v>
      </c>
    </row>
    <row r="69" spans="4:4">
      <c r="D69" s="184" t="s">
        <v>436</v>
      </c>
    </row>
    <row r="70" spans="4:4">
      <c r="D70" s="184" t="s">
        <v>437</v>
      </c>
    </row>
    <row r="71" spans="4:4">
      <c r="D71" s="184" t="s">
        <v>438</v>
      </c>
    </row>
    <row r="73" spans="4:4" ht="15">
      <c r="D73" s="185" t="s">
        <v>439</v>
      </c>
    </row>
  </sheetData>
  <mergeCells count="2">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89"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26 C28:C30 C32">
    <cfRule type="expression" dxfId="88" priority="1">
      <formula>#REF!="Owned"</formula>
    </cfRule>
  </conditionalFormatting>
  <dataValidations count="1">
    <dataValidation type="list" allowBlank="1" showInputMessage="1" showErrorMessage="1" sqref="E6" xr:uid="{153E5DE3-5B8A-4DC4-A0B8-57CB8820EF36}">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5F6D4-3295-4116-BD1F-A0B7BC5FCD94}">
  <sheetPr codeName="Feuil29">
    <tabColor theme="0"/>
    <pageSetUpPr fitToPage="1"/>
  </sheetPr>
  <dimension ref="B1:R68"/>
  <sheetViews>
    <sheetView zoomScale="70" zoomScaleNormal="70" workbookViewId="0">
      <selection activeCell="D32" sqref="D32"/>
    </sheetView>
  </sheetViews>
  <sheetFormatPr baseColWidth="10" defaultColWidth="9.1640625" defaultRowHeight="13"/>
  <cols>
    <col min="1" max="1" width="19.5" style="1" customWidth="1"/>
    <col min="2" max="2" width="24.1640625" style="1" customWidth="1"/>
    <col min="3" max="3" width="23.1640625" style="1" customWidth="1"/>
    <col min="4" max="4" width="25.83203125" style="1" customWidth="1"/>
    <col min="5" max="18" width="22.83203125" style="1" customWidth="1"/>
    <col min="19" max="16384" width="9.1640625" style="1"/>
  </cols>
  <sheetData>
    <row r="1" spans="2:18" ht="7.5" customHeight="1"/>
    <row r="2" spans="2:18">
      <c r="C2" s="505" t="s">
        <v>323</v>
      </c>
      <c r="D2" s="109" t="s">
        <v>1100</v>
      </c>
      <c r="F2" s="110"/>
      <c r="G2" s="110"/>
      <c r="H2" s="110"/>
      <c r="I2" s="4"/>
    </row>
    <row r="3" spans="2:18">
      <c r="F3"/>
      <c r="G3"/>
      <c r="H3"/>
    </row>
    <row r="4" spans="2:18">
      <c r="C4" s="81" t="s">
        <v>324</v>
      </c>
      <c r="D4" s="82" t="s">
        <v>220</v>
      </c>
      <c r="E4" s="82" t="s">
        <v>220</v>
      </c>
      <c r="F4" s="82" t="s">
        <v>220</v>
      </c>
      <c r="G4" s="497"/>
      <c r="H4" s="112"/>
      <c r="I4" s="5"/>
    </row>
    <row r="5" spans="2:18" ht="15.75" customHeight="1">
      <c r="C5" s="2"/>
    </row>
    <row r="6" spans="2:18" ht="26.25" customHeight="1">
      <c r="B6" s="1" t="s">
        <v>326</v>
      </c>
      <c r="C6" s="589" t="s">
        <v>327</v>
      </c>
      <c r="D6" s="591"/>
      <c r="E6" s="6" t="s">
        <v>414</v>
      </c>
      <c r="F6" s="101"/>
      <c r="G6" s="101"/>
      <c r="H6" s="101"/>
    </row>
    <row r="7" spans="2:18" ht="26.25" customHeight="1">
      <c r="B7" s="1" t="s">
        <v>326</v>
      </c>
      <c r="C7" s="589" t="s">
        <v>329</v>
      </c>
      <c r="D7" s="591"/>
      <c r="E7" s="6">
        <v>3</v>
      </c>
      <c r="F7" s="101"/>
      <c r="G7" s="101"/>
      <c r="H7" s="101"/>
    </row>
    <row r="8" spans="2:18" ht="26.25" customHeight="1">
      <c r="C8" s="113"/>
      <c r="D8" s="113"/>
      <c r="E8" s="42"/>
      <c r="F8" s="101"/>
      <c r="G8" s="101"/>
      <c r="H8" s="101"/>
    </row>
    <row r="9" spans="2:18">
      <c r="C9" s="69" t="s">
        <v>441</v>
      </c>
      <c r="D9" s="67"/>
      <c r="E9" s="67"/>
      <c r="F9" s="67"/>
      <c r="G9" s="67"/>
      <c r="H9" s="67"/>
      <c r="I9" s="67"/>
      <c r="J9" s="67"/>
      <c r="K9" s="67"/>
      <c r="L9" s="67"/>
      <c r="M9" s="67"/>
      <c r="N9" s="67"/>
      <c r="O9" s="67"/>
      <c r="P9" s="67"/>
      <c r="Q9" s="67"/>
    </row>
    <row r="10" spans="2:18" ht="30" customHeight="1">
      <c r="C10" s="104" t="s">
        <v>331</v>
      </c>
      <c r="D10" s="114" t="s">
        <v>1101</v>
      </c>
      <c r="E10" s="114" t="s">
        <v>1102</v>
      </c>
      <c r="F10" s="114" t="s">
        <v>1103</v>
      </c>
      <c r="G10" s="114" t="s">
        <v>335</v>
      </c>
      <c r="H10" s="114" t="s">
        <v>336</v>
      </c>
      <c r="I10" s="114" t="s">
        <v>337</v>
      </c>
      <c r="J10" s="114" t="s">
        <v>338</v>
      </c>
      <c r="K10" s="114" t="s">
        <v>339</v>
      </c>
      <c r="L10" s="114" t="s">
        <v>340</v>
      </c>
      <c r="M10" s="114" t="s">
        <v>341</v>
      </c>
      <c r="N10" s="114" t="s">
        <v>342</v>
      </c>
      <c r="O10" s="114" t="s">
        <v>343</v>
      </c>
      <c r="P10" s="114" t="s">
        <v>344</v>
      </c>
      <c r="Q10" s="114" t="s">
        <v>345</v>
      </c>
      <c r="R10" s="84" t="s">
        <v>346</v>
      </c>
    </row>
    <row r="11" spans="2:18" ht="30" customHeight="1">
      <c r="C11" s="104" t="s">
        <v>299</v>
      </c>
      <c r="D11" s="84" t="s">
        <v>1104</v>
      </c>
      <c r="E11" s="84" t="s">
        <v>1105</v>
      </c>
      <c r="F11" s="84" t="s">
        <v>1106</v>
      </c>
      <c r="G11" s="84"/>
      <c r="H11" s="84"/>
      <c r="I11" s="84"/>
      <c r="J11" s="84"/>
      <c r="K11" s="84"/>
      <c r="L11" s="84"/>
      <c r="M11" s="84"/>
      <c r="N11" s="84"/>
      <c r="O11" s="84"/>
      <c r="P11" s="84"/>
      <c r="Q11" s="84"/>
      <c r="R11" s="125"/>
    </row>
    <row r="12" spans="2:18" ht="15" customHeight="1">
      <c r="C12" s="32"/>
      <c r="D12" s="115"/>
      <c r="E12" s="116"/>
      <c r="F12" s="116"/>
      <c r="G12" s="116"/>
      <c r="H12" s="116"/>
      <c r="I12" s="116"/>
      <c r="J12" s="117"/>
      <c r="K12" s="117"/>
      <c r="L12" s="117"/>
      <c r="M12" s="117"/>
      <c r="N12" s="117"/>
      <c r="O12" s="117"/>
      <c r="P12" s="117"/>
      <c r="Q12" s="117"/>
      <c r="R12" s="126"/>
    </row>
    <row r="13" spans="2:18" ht="39" customHeight="1">
      <c r="B13" s="7" t="s">
        <v>348</v>
      </c>
      <c r="C13" s="8" t="s">
        <v>349</v>
      </c>
      <c r="D13" s="118" t="s">
        <v>1107</v>
      </c>
      <c r="E13" s="118" t="s">
        <v>1108</v>
      </c>
      <c r="F13" s="118" t="s">
        <v>1109</v>
      </c>
      <c r="G13" s="118"/>
      <c r="H13" s="118"/>
      <c r="I13" s="118"/>
      <c r="J13" s="118"/>
      <c r="K13" s="118"/>
      <c r="L13" s="118"/>
      <c r="M13" s="118"/>
      <c r="N13" s="118"/>
      <c r="O13" s="118"/>
      <c r="P13" s="118"/>
      <c r="Q13" s="118"/>
      <c r="R13" s="85"/>
    </row>
    <row r="14" spans="2:18" ht="111.75" customHeight="1">
      <c r="B14" s="7" t="s">
        <v>352</v>
      </c>
      <c r="C14" s="8" t="s">
        <v>297</v>
      </c>
      <c r="D14" s="85" t="s">
        <v>222</v>
      </c>
      <c r="E14" s="85" t="s">
        <v>224</v>
      </c>
      <c r="F14" s="85" t="s">
        <v>226</v>
      </c>
      <c r="G14" s="85"/>
      <c r="H14" s="85"/>
      <c r="I14" s="85"/>
      <c r="J14" s="85"/>
      <c r="K14" s="85"/>
      <c r="L14" s="85"/>
      <c r="M14" s="85"/>
      <c r="N14" s="85"/>
      <c r="O14" s="85"/>
      <c r="P14" s="85"/>
      <c r="Q14" s="85"/>
      <c r="R14" s="85"/>
    </row>
    <row r="15" spans="2:18" ht="30" customHeight="1">
      <c r="B15" s="7" t="s">
        <v>353</v>
      </c>
      <c r="C15" s="8" t="s">
        <v>354</v>
      </c>
      <c r="D15" s="85" t="s">
        <v>223</v>
      </c>
      <c r="E15" s="85" t="s">
        <v>225</v>
      </c>
      <c r="F15" s="85" t="s">
        <v>227</v>
      </c>
      <c r="G15" s="85"/>
      <c r="H15" s="85"/>
      <c r="I15" s="85"/>
      <c r="J15" s="85"/>
      <c r="K15" s="85"/>
      <c r="L15" s="85"/>
      <c r="M15" s="85"/>
      <c r="N15" s="85"/>
      <c r="O15" s="85"/>
      <c r="P15" s="85"/>
      <c r="Q15" s="85"/>
      <c r="R15" s="85"/>
    </row>
    <row r="16" spans="2:18" ht="15" customHeight="1">
      <c r="B16" s="7" t="s">
        <v>355</v>
      </c>
      <c r="C16" s="8" t="s">
        <v>356</v>
      </c>
      <c r="D16" s="85">
        <v>3940</v>
      </c>
      <c r="E16" s="85">
        <v>76150</v>
      </c>
      <c r="F16" s="85">
        <v>37510</v>
      </c>
      <c r="G16" s="85"/>
      <c r="H16" s="85"/>
      <c r="I16" s="85"/>
      <c r="J16" s="85"/>
      <c r="K16" s="85"/>
      <c r="L16" s="85"/>
      <c r="M16" s="85"/>
      <c r="N16" s="85"/>
      <c r="O16" s="85"/>
      <c r="P16" s="85"/>
      <c r="Q16" s="85"/>
      <c r="R16" s="85"/>
    </row>
    <row r="17" spans="2:18" ht="15" customHeight="1">
      <c r="B17" s="7" t="s">
        <v>357</v>
      </c>
      <c r="C17" s="8" t="s">
        <v>294</v>
      </c>
      <c r="D17" s="85" t="s">
        <v>221</v>
      </c>
      <c r="E17" s="85" t="s">
        <v>221</v>
      </c>
      <c r="F17" s="85" t="s">
        <v>221</v>
      </c>
      <c r="G17" s="85"/>
      <c r="H17" s="85"/>
      <c r="I17" s="85"/>
      <c r="J17" s="85"/>
      <c r="K17" s="85"/>
      <c r="L17" s="85"/>
      <c r="M17" s="85"/>
      <c r="N17" s="85"/>
      <c r="O17" s="85"/>
      <c r="P17" s="85"/>
      <c r="Q17" s="85"/>
      <c r="R17" s="85"/>
    </row>
    <row r="18" spans="2:18" ht="15" customHeight="1">
      <c r="B18" s="9" t="s">
        <v>358</v>
      </c>
      <c r="C18" s="10" t="s">
        <v>359</v>
      </c>
      <c r="D18" s="85" t="s">
        <v>360</v>
      </c>
      <c r="E18" s="85" t="s">
        <v>360</v>
      </c>
      <c r="F18" s="85" t="s">
        <v>360</v>
      </c>
      <c r="G18" s="85"/>
      <c r="H18" s="85"/>
      <c r="I18" s="85"/>
      <c r="J18" s="85"/>
      <c r="K18" s="85"/>
      <c r="L18" s="85"/>
      <c r="M18" s="85"/>
      <c r="N18" s="85"/>
      <c r="O18" s="85"/>
      <c r="P18" s="85"/>
      <c r="Q18" s="85"/>
      <c r="R18" s="85"/>
    </row>
    <row r="19" spans="2:18" ht="45.75" customHeight="1">
      <c r="B19" s="9" t="s">
        <v>361</v>
      </c>
      <c r="C19" s="10" t="s">
        <v>362</v>
      </c>
      <c r="D19" s="85" t="s">
        <v>328</v>
      </c>
      <c r="E19" s="85" t="s">
        <v>328</v>
      </c>
      <c r="F19" s="85" t="s">
        <v>328</v>
      </c>
      <c r="G19" s="85"/>
      <c r="H19" s="85"/>
      <c r="I19" s="85"/>
      <c r="J19" s="85"/>
      <c r="K19" s="85"/>
      <c r="L19" s="85"/>
      <c r="M19" s="85"/>
      <c r="N19" s="85"/>
      <c r="O19" s="85"/>
      <c r="P19" s="85"/>
      <c r="Q19" s="85"/>
      <c r="R19" s="85"/>
    </row>
    <row r="20" spans="2:18" ht="45" customHeight="1">
      <c r="B20" s="9" t="s">
        <v>363</v>
      </c>
      <c r="C20" s="10" t="s">
        <v>364</v>
      </c>
      <c r="D20" s="85" t="s">
        <v>414</v>
      </c>
      <c r="E20" s="85" t="s">
        <v>414</v>
      </c>
      <c r="F20" s="85" t="s">
        <v>328</v>
      </c>
      <c r="G20" s="85"/>
      <c r="H20" s="85"/>
      <c r="I20" s="85"/>
      <c r="J20" s="85"/>
      <c r="K20" s="85"/>
      <c r="L20" s="85"/>
      <c r="M20" s="85"/>
      <c r="N20" s="85"/>
      <c r="O20" s="85"/>
      <c r="P20" s="85"/>
      <c r="Q20" s="85"/>
      <c r="R20" s="85"/>
    </row>
    <row r="21" spans="2:18" ht="30" customHeight="1">
      <c r="B21" s="11" t="s">
        <v>365</v>
      </c>
      <c r="C21" s="12" t="s">
        <v>366</v>
      </c>
      <c r="D21" s="85" t="s">
        <v>1110</v>
      </c>
      <c r="E21" s="85" t="s">
        <v>1111</v>
      </c>
      <c r="F21" s="85" t="s">
        <v>1111</v>
      </c>
      <c r="G21" s="85"/>
      <c r="H21" s="85"/>
      <c r="I21" s="85"/>
      <c r="J21" s="85"/>
      <c r="K21" s="85"/>
      <c r="L21" s="85"/>
      <c r="M21" s="85"/>
      <c r="N21" s="85"/>
      <c r="O21" s="85"/>
      <c r="P21" s="85"/>
      <c r="Q21" s="85"/>
      <c r="R21" s="85"/>
    </row>
    <row r="22" spans="2:18" ht="45" customHeight="1">
      <c r="B22" s="11" t="s">
        <v>369</v>
      </c>
      <c r="C22" s="12" t="s">
        <v>370</v>
      </c>
      <c r="D22" s="85" t="s">
        <v>1112</v>
      </c>
      <c r="E22" s="85" t="s">
        <v>1113</v>
      </c>
      <c r="F22" s="85" t="s">
        <v>1114</v>
      </c>
      <c r="G22" s="85"/>
      <c r="H22" s="85"/>
      <c r="I22" s="85"/>
      <c r="J22" s="85"/>
      <c r="K22" s="85"/>
      <c r="L22" s="85"/>
      <c r="M22" s="85"/>
      <c r="N22" s="85"/>
      <c r="O22" s="85"/>
      <c r="P22" s="85"/>
      <c r="Q22" s="85"/>
      <c r="R22" s="85"/>
    </row>
    <row r="23" spans="2:18" ht="30" customHeight="1">
      <c r="B23" s="13" t="s">
        <v>372</v>
      </c>
      <c r="C23" s="14" t="s">
        <v>373</v>
      </c>
      <c r="D23" s="85" t="s">
        <v>374</v>
      </c>
      <c r="E23" s="85" t="s">
        <v>374</v>
      </c>
      <c r="F23" s="85" t="s">
        <v>374</v>
      </c>
      <c r="G23" s="85"/>
      <c r="H23" s="85"/>
      <c r="I23" s="85"/>
      <c r="J23" s="85"/>
      <c r="K23" s="85"/>
      <c r="L23" s="85"/>
      <c r="M23" s="85"/>
      <c r="N23" s="85"/>
      <c r="O23" s="85"/>
      <c r="P23" s="85"/>
      <c r="Q23" s="85"/>
      <c r="R23" s="85"/>
    </row>
    <row r="24" spans="2:18" ht="45" customHeight="1">
      <c r="B24" s="13" t="s">
        <v>375</v>
      </c>
      <c r="C24" s="14" t="s">
        <v>376</v>
      </c>
      <c r="D24" s="85">
        <v>1884.66</v>
      </c>
      <c r="E24" s="85">
        <v>857.47</v>
      </c>
      <c r="F24" s="85">
        <v>10</v>
      </c>
      <c r="G24" s="88"/>
      <c r="H24" s="88"/>
      <c r="I24" s="88"/>
      <c r="J24" s="88"/>
      <c r="K24" s="88"/>
      <c r="L24" s="88"/>
      <c r="M24" s="88"/>
      <c r="N24" s="88"/>
      <c r="O24" s="88"/>
      <c r="P24" s="88"/>
      <c r="Q24" s="88"/>
      <c r="R24" s="88"/>
    </row>
    <row r="25" spans="2:18" ht="45" customHeight="1">
      <c r="B25" s="15" t="s">
        <v>377</v>
      </c>
      <c r="C25" s="16" t="s">
        <v>378</v>
      </c>
      <c r="D25" s="119">
        <v>62</v>
      </c>
      <c r="E25" s="119">
        <v>26</v>
      </c>
      <c r="F25" s="85">
        <v>0</v>
      </c>
      <c r="G25" s="85"/>
      <c r="H25" s="85"/>
      <c r="I25" s="85"/>
      <c r="J25" s="85"/>
      <c r="K25" s="85"/>
      <c r="L25" s="85"/>
      <c r="M25" s="85"/>
      <c r="N25" s="85"/>
      <c r="O25" s="85"/>
      <c r="P25" s="85"/>
      <c r="Q25" s="85"/>
      <c r="R25" s="85"/>
    </row>
    <row r="26" spans="2:18" ht="45" customHeight="1">
      <c r="B26" s="15" t="s">
        <v>380</v>
      </c>
      <c r="C26" s="16" t="s">
        <v>381</v>
      </c>
      <c r="D26" s="89" t="s">
        <v>1115</v>
      </c>
      <c r="E26" s="89" t="s">
        <v>1115</v>
      </c>
      <c r="F26" s="88" t="s">
        <v>1115</v>
      </c>
      <c r="G26" s="85"/>
      <c r="H26" s="85"/>
      <c r="I26" s="85"/>
      <c r="J26" s="85"/>
      <c r="K26" s="85"/>
      <c r="L26" s="85"/>
      <c r="M26" s="85"/>
      <c r="N26" s="85"/>
      <c r="O26" s="85"/>
      <c r="P26" s="85"/>
      <c r="Q26" s="85"/>
      <c r="R26" s="85"/>
    </row>
    <row r="27" spans="2:18" ht="45" customHeight="1">
      <c r="B27" s="15"/>
      <c r="C27" s="16" t="s">
        <v>517</v>
      </c>
      <c r="D27" s="89">
        <f>D28*D24</f>
        <v>9549138.7482000012</v>
      </c>
      <c r="E27" s="89"/>
      <c r="F27" s="88"/>
      <c r="G27" s="85"/>
      <c r="H27" s="85"/>
      <c r="I27" s="85"/>
      <c r="J27" s="85"/>
      <c r="K27" s="85"/>
      <c r="L27" s="85"/>
      <c r="M27" s="85"/>
      <c r="N27" s="85"/>
      <c r="O27" s="85"/>
      <c r="P27" s="85"/>
      <c r="Q27" s="85"/>
      <c r="R27" s="85"/>
    </row>
    <row r="28" spans="2:18" ht="45" customHeight="1">
      <c r="B28" s="15" t="s">
        <v>384</v>
      </c>
      <c r="C28" s="16" t="s">
        <v>450</v>
      </c>
      <c r="D28" s="120">
        <v>5066.7700000000004</v>
      </c>
      <c r="E28" s="120">
        <f>180*12</f>
        <v>2160</v>
      </c>
      <c r="F28" s="120">
        <f>199.8*12</f>
        <v>2397.6000000000004</v>
      </c>
      <c r="G28" s="85"/>
      <c r="H28" s="85"/>
      <c r="I28" s="85"/>
      <c r="J28" s="85"/>
      <c r="K28" s="85"/>
      <c r="L28" s="85"/>
      <c r="M28" s="85"/>
      <c r="N28" s="85"/>
      <c r="O28" s="85"/>
      <c r="P28" s="85"/>
      <c r="Q28" s="85"/>
      <c r="R28" s="85"/>
    </row>
    <row r="29" spans="2:18" ht="45" customHeight="1">
      <c r="B29" s="15" t="s">
        <v>387</v>
      </c>
      <c r="C29" s="16" t="s">
        <v>388</v>
      </c>
      <c r="D29" s="89" t="s">
        <v>1116</v>
      </c>
      <c r="E29" s="89" t="s">
        <v>1116</v>
      </c>
      <c r="F29" s="88" t="s">
        <v>1116</v>
      </c>
      <c r="G29" s="85"/>
      <c r="H29" s="85"/>
      <c r="I29" s="85"/>
      <c r="J29" s="85"/>
      <c r="K29" s="85"/>
      <c r="L29" s="85"/>
      <c r="M29" s="85"/>
      <c r="N29" s="85"/>
      <c r="O29" s="85"/>
      <c r="P29" s="85"/>
      <c r="Q29" s="85"/>
      <c r="R29" s="85"/>
    </row>
    <row r="30" spans="2:18" ht="60" customHeight="1">
      <c r="B30" s="13" t="s">
        <v>390</v>
      </c>
      <c r="C30" s="17" t="s">
        <v>453</v>
      </c>
      <c r="D30" s="85">
        <v>354</v>
      </c>
      <c r="E30" s="85">
        <f>40*12</f>
        <v>480</v>
      </c>
      <c r="F30" s="85" t="s">
        <v>858</v>
      </c>
      <c r="G30" s="85"/>
      <c r="H30" s="85"/>
      <c r="I30" s="85"/>
      <c r="J30" s="85"/>
      <c r="K30" s="85"/>
      <c r="L30" s="85"/>
      <c r="M30" s="85"/>
      <c r="N30" s="85"/>
      <c r="O30" s="85"/>
      <c r="P30" s="85"/>
      <c r="Q30" s="85"/>
      <c r="R30" s="85"/>
    </row>
    <row r="31" spans="2:18" ht="60" customHeight="1">
      <c r="B31" s="13"/>
      <c r="C31" s="17" t="s">
        <v>393</v>
      </c>
      <c r="D31" s="85">
        <f>D30*D24</f>
        <v>667169.64</v>
      </c>
      <c r="E31" s="85"/>
      <c r="F31" s="85"/>
      <c r="G31" s="85"/>
      <c r="H31" s="85"/>
      <c r="I31" s="85"/>
      <c r="J31" s="85"/>
      <c r="K31" s="85"/>
      <c r="L31" s="85"/>
      <c r="M31" s="85"/>
      <c r="N31" s="85"/>
      <c r="O31" s="85"/>
      <c r="P31" s="85"/>
      <c r="Q31" s="85"/>
      <c r="R31" s="85"/>
    </row>
    <row r="32" spans="2:18" ht="60" customHeight="1">
      <c r="B32" s="13" t="s">
        <v>394</v>
      </c>
      <c r="C32" s="17" t="s">
        <v>395</v>
      </c>
      <c r="D32" s="85" t="s">
        <v>1117</v>
      </c>
      <c r="E32" s="85" t="s">
        <v>1118</v>
      </c>
      <c r="F32" s="85" t="s">
        <v>1117</v>
      </c>
      <c r="G32" s="85"/>
      <c r="H32" s="85"/>
      <c r="I32" s="85"/>
      <c r="J32" s="85"/>
      <c r="K32" s="85"/>
      <c r="L32" s="85"/>
      <c r="M32" s="85"/>
      <c r="N32" s="85"/>
      <c r="O32" s="85"/>
      <c r="P32" s="85"/>
      <c r="Q32" s="85"/>
      <c r="R32" s="85"/>
    </row>
    <row r="33" spans="2:18" ht="30" customHeight="1">
      <c r="B33" s="18" t="s">
        <v>397</v>
      </c>
      <c r="C33" s="19" t="s">
        <v>313</v>
      </c>
      <c r="D33" s="91">
        <v>44440</v>
      </c>
      <c r="E33" s="91">
        <v>44636</v>
      </c>
      <c r="F33" s="91">
        <v>44927</v>
      </c>
      <c r="G33" s="91"/>
      <c r="H33" s="91"/>
      <c r="I33" s="91"/>
      <c r="J33" s="85"/>
      <c r="K33" s="85"/>
      <c r="L33" s="85"/>
      <c r="M33" s="85"/>
      <c r="N33" s="85"/>
      <c r="O33" s="85"/>
      <c r="P33" s="85"/>
      <c r="Q33" s="85"/>
      <c r="R33" s="85"/>
    </row>
    <row r="34" spans="2:18" ht="30" customHeight="1">
      <c r="B34" s="20" t="s">
        <v>398</v>
      </c>
      <c r="C34" s="19" t="s">
        <v>315</v>
      </c>
      <c r="D34" s="91">
        <v>45596</v>
      </c>
      <c r="E34" s="91">
        <v>45731</v>
      </c>
      <c r="F34" s="91">
        <v>45291</v>
      </c>
      <c r="G34" s="91"/>
      <c r="H34" s="91"/>
      <c r="I34" s="91"/>
      <c r="J34" s="85"/>
      <c r="K34" s="85"/>
      <c r="L34" s="85"/>
      <c r="M34" s="85"/>
      <c r="N34" s="85"/>
      <c r="O34" s="85"/>
      <c r="P34" s="85"/>
      <c r="Q34" s="85"/>
      <c r="R34" s="85"/>
    </row>
    <row r="35" spans="2:18" ht="30" customHeight="1">
      <c r="B35" s="20" t="s">
        <v>399</v>
      </c>
      <c r="C35" s="19" t="s">
        <v>400</v>
      </c>
      <c r="D35" s="85" t="s">
        <v>410</v>
      </c>
      <c r="E35" s="85"/>
      <c r="F35" s="85"/>
      <c r="G35" s="85"/>
      <c r="H35" s="85"/>
      <c r="I35" s="85"/>
      <c r="J35" s="85"/>
      <c r="K35" s="85"/>
      <c r="L35" s="85"/>
      <c r="M35" s="85"/>
      <c r="N35" s="85"/>
      <c r="O35" s="85"/>
      <c r="P35" s="85"/>
      <c r="Q35" s="85"/>
      <c r="R35" s="85"/>
    </row>
    <row r="36" spans="2:18" ht="30" customHeight="1">
      <c r="B36" s="20" t="s">
        <v>402</v>
      </c>
      <c r="C36" s="21" t="s">
        <v>403</v>
      </c>
      <c r="D36" s="92" t="s">
        <v>328</v>
      </c>
      <c r="E36" s="92" t="s">
        <v>1119</v>
      </c>
      <c r="F36" s="93" t="s">
        <v>414</v>
      </c>
      <c r="G36" s="93"/>
      <c r="H36" s="93"/>
      <c r="I36" s="93"/>
      <c r="J36" s="85"/>
      <c r="K36" s="85"/>
      <c r="L36" s="85"/>
      <c r="M36" s="85"/>
      <c r="N36" s="85"/>
      <c r="O36" s="85"/>
      <c r="P36" s="85"/>
      <c r="Q36" s="85"/>
      <c r="R36" s="85"/>
    </row>
    <row r="37" spans="2:18" ht="60" customHeight="1">
      <c r="B37" s="20" t="s">
        <v>404</v>
      </c>
      <c r="C37" s="21" t="s">
        <v>405</v>
      </c>
      <c r="D37" s="92" t="s">
        <v>410</v>
      </c>
      <c r="E37" s="92" t="s">
        <v>1120</v>
      </c>
      <c r="F37" s="93"/>
      <c r="G37" s="93"/>
      <c r="H37" s="93"/>
      <c r="I37" s="93"/>
      <c r="J37" s="85"/>
      <c r="K37" s="85"/>
      <c r="L37" s="85"/>
      <c r="M37" s="85"/>
      <c r="N37" s="85"/>
      <c r="O37" s="85"/>
      <c r="P37" s="85"/>
      <c r="Q37" s="85"/>
      <c r="R37" s="85"/>
    </row>
    <row r="38" spans="2:18" ht="30" customHeight="1">
      <c r="B38" s="20" t="s">
        <v>406</v>
      </c>
      <c r="C38" s="21" t="s">
        <v>407</v>
      </c>
      <c r="D38" s="92" t="s">
        <v>328</v>
      </c>
      <c r="E38" s="92" t="s">
        <v>328</v>
      </c>
      <c r="F38" s="93" t="s">
        <v>328</v>
      </c>
      <c r="G38" s="93"/>
      <c r="H38" s="93"/>
      <c r="I38" s="93"/>
      <c r="J38" s="85"/>
      <c r="K38" s="85"/>
      <c r="L38" s="85"/>
      <c r="M38" s="85"/>
      <c r="N38" s="85"/>
      <c r="O38" s="85"/>
      <c r="P38" s="85"/>
      <c r="Q38" s="85"/>
      <c r="R38" s="85"/>
    </row>
    <row r="39" spans="2:18" ht="30" customHeight="1">
      <c r="B39" s="20" t="s">
        <v>408</v>
      </c>
      <c r="C39" s="21" t="s">
        <v>409</v>
      </c>
      <c r="D39" s="136" t="s">
        <v>410</v>
      </c>
      <c r="E39" s="136" t="s">
        <v>410</v>
      </c>
      <c r="F39" s="95" t="s">
        <v>410</v>
      </c>
      <c r="G39" s="93"/>
      <c r="H39" s="93"/>
      <c r="I39" s="93"/>
      <c r="J39" s="85"/>
      <c r="K39" s="85"/>
      <c r="L39" s="85"/>
      <c r="M39" s="85"/>
      <c r="N39" s="85"/>
      <c r="O39" s="85"/>
      <c r="P39" s="85"/>
      <c r="Q39" s="85"/>
      <c r="R39" s="85"/>
    </row>
    <row r="40" spans="2:18" ht="45" customHeight="1">
      <c r="B40" s="20" t="s">
        <v>411</v>
      </c>
      <c r="C40" s="21" t="s">
        <v>314</v>
      </c>
      <c r="D40" s="92">
        <v>47603</v>
      </c>
      <c r="E40" s="92">
        <v>46461</v>
      </c>
      <c r="F40" s="93">
        <v>46387</v>
      </c>
      <c r="G40" s="93"/>
      <c r="H40" s="93"/>
      <c r="I40" s="93"/>
      <c r="J40" s="85"/>
      <c r="K40" s="85"/>
      <c r="L40" s="85"/>
      <c r="M40" s="85"/>
      <c r="N40" s="85"/>
      <c r="O40" s="85"/>
      <c r="P40" s="85"/>
      <c r="Q40" s="85"/>
      <c r="R40" s="85"/>
    </row>
    <row r="41" spans="2:18" ht="60" customHeight="1">
      <c r="B41" s="22" t="s">
        <v>412</v>
      </c>
      <c r="C41" s="23" t="s">
        <v>413</v>
      </c>
      <c r="D41" s="92" t="s">
        <v>414</v>
      </c>
      <c r="E41" s="92" t="s">
        <v>414</v>
      </c>
      <c r="F41" s="92" t="s">
        <v>328</v>
      </c>
      <c r="G41" s="92"/>
      <c r="H41" s="92"/>
      <c r="I41" s="92"/>
      <c r="J41" s="92"/>
      <c r="K41" s="92"/>
      <c r="L41" s="92"/>
      <c r="M41" s="92"/>
      <c r="N41" s="92"/>
      <c r="O41" s="92"/>
      <c r="P41" s="92"/>
      <c r="Q41" s="92"/>
      <c r="R41" s="92"/>
    </row>
    <row r="42" spans="2:18" ht="75" customHeight="1">
      <c r="B42" s="24" t="s">
        <v>457</v>
      </c>
      <c r="C42" s="23" t="s">
        <v>458</v>
      </c>
      <c r="D42" s="95" t="s">
        <v>328</v>
      </c>
      <c r="E42" s="95" t="s">
        <v>328</v>
      </c>
      <c r="F42" s="95" t="s">
        <v>328</v>
      </c>
      <c r="G42" s="95"/>
      <c r="H42" s="95"/>
      <c r="I42" s="95"/>
      <c r="J42" s="95"/>
      <c r="K42" s="95"/>
      <c r="L42" s="95"/>
      <c r="M42" s="95"/>
      <c r="N42" s="95"/>
      <c r="O42" s="95"/>
      <c r="P42" s="95"/>
      <c r="Q42" s="95"/>
      <c r="R42" s="95"/>
    </row>
    <row r="43" spans="2:18" ht="60" customHeight="1">
      <c r="B43" s="25" t="s">
        <v>418</v>
      </c>
      <c r="C43" s="26" t="s">
        <v>419</v>
      </c>
      <c r="D43" s="85" t="s">
        <v>328</v>
      </c>
      <c r="E43" s="85" t="s">
        <v>328</v>
      </c>
      <c r="F43" s="85" t="s">
        <v>328</v>
      </c>
      <c r="G43" s="85"/>
      <c r="H43" s="85"/>
      <c r="I43" s="85"/>
      <c r="J43" s="85"/>
      <c r="K43" s="85"/>
      <c r="L43" s="85"/>
      <c r="M43" s="85"/>
      <c r="N43" s="85"/>
      <c r="O43" s="85"/>
      <c r="P43" s="85"/>
      <c r="Q43" s="85"/>
      <c r="R43" s="85"/>
    </row>
    <row r="44" spans="2:18" ht="75" customHeight="1">
      <c r="B44" s="25" t="s">
        <v>420</v>
      </c>
      <c r="C44" s="26" t="s">
        <v>421</v>
      </c>
      <c r="D44" s="85" t="s">
        <v>328</v>
      </c>
      <c r="E44" s="85" t="s">
        <v>328</v>
      </c>
      <c r="F44" s="85" t="s">
        <v>328</v>
      </c>
      <c r="G44" s="85"/>
      <c r="H44" s="85"/>
      <c r="I44" s="85"/>
      <c r="J44" s="85"/>
      <c r="K44" s="85"/>
      <c r="L44" s="85"/>
      <c r="M44" s="85"/>
      <c r="N44" s="85"/>
      <c r="O44" s="85"/>
      <c r="P44" s="85"/>
      <c r="Q44" s="85"/>
      <c r="R44" s="85"/>
    </row>
    <row r="45" spans="2:18">
      <c r="B45" s="27"/>
      <c r="C45" s="27"/>
      <c r="D45" s="27"/>
      <c r="E45" s="27"/>
      <c r="F45" s="27"/>
      <c r="G45" s="27"/>
      <c r="H45" s="27"/>
      <c r="I45" s="27"/>
      <c r="J45" s="27"/>
      <c r="K45" s="27"/>
      <c r="L45" s="27"/>
      <c r="M45" s="27"/>
      <c r="N45" s="27"/>
      <c r="O45" s="27"/>
      <c r="P45" s="27"/>
      <c r="Q45" s="27"/>
      <c r="R45" s="27"/>
    </row>
    <row r="46" spans="2:18" ht="45" customHeight="1">
      <c r="B46" s="27"/>
      <c r="C46" s="28" t="s">
        <v>423</v>
      </c>
      <c r="D46" s="85">
        <v>957</v>
      </c>
      <c r="E46" s="85">
        <v>249</v>
      </c>
      <c r="F46" s="85">
        <v>48</v>
      </c>
      <c r="G46" s="85"/>
      <c r="H46" s="85"/>
      <c r="I46" s="85"/>
      <c r="J46" s="85"/>
      <c r="K46" s="85"/>
      <c r="L46" s="85"/>
      <c r="M46" s="85"/>
      <c r="N46" s="85"/>
      <c r="O46" s="85"/>
      <c r="P46" s="85"/>
      <c r="Q46" s="85"/>
      <c r="R46" s="85"/>
    </row>
    <row r="47" spans="2:18" ht="30" customHeight="1">
      <c r="B47" s="27"/>
      <c r="C47" s="29" t="s">
        <v>424</v>
      </c>
      <c r="D47" s="85">
        <v>54</v>
      </c>
      <c r="E47" s="85">
        <v>4</v>
      </c>
      <c r="F47" s="85">
        <v>0</v>
      </c>
      <c r="G47" s="85"/>
      <c r="H47" s="85"/>
      <c r="I47" s="85"/>
      <c r="J47" s="85"/>
      <c r="K47" s="85"/>
      <c r="L47" s="85"/>
      <c r="M47" s="85"/>
      <c r="N47" s="85"/>
      <c r="O47" s="85"/>
      <c r="P47" s="85"/>
      <c r="Q47" s="85"/>
      <c r="R47" s="85"/>
    </row>
    <row r="48" spans="2:18" ht="15" customHeight="1">
      <c r="B48" s="27"/>
      <c r="C48" s="29" t="s">
        <v>425</v>
      </c>
      <c r="D48" s="85">
        <v>903</v>
      </c>
      <c r="E48" s="85">
        <v>245</v>
      </c>
      <c r="F48" s="85">
        <v>48</v>
      </c>
      <c r="G48" s="85"/>
      <c r="H48" s="85"/>
      <c r="I48" s="85"/>
      <c r="J48" s="85"/>
      <c r="K48" s="85"/>
      <c r="L48" s="85"/>
      <c r="M48" s="85"/>
      <c r="N48" s="85"/>
      <c r="O48" s="85"/>
      <c r="P48" s="85"/>
      <c r="Q48" s="85"/>
      <c r="R48" s="85"/>
    </row>
    <row r="49" spans="2:18" ht="8" customHeight="1">
      <c r="B49" s="27"/>
      <c r="C49" s="30"/>
      <c r="D49" s="96"/>
      <c r="E49" s="96"/>
      <c r="F49" s="96"/>
      <c r="G49" s="96"/>
      <c r="H49" s="96"/>
      <c r="I49" s="96"/>
      <c r="J49" s="96"/>
      <c r="K49" s="96"/>
      <c r="L49" s="96"/>
      <c r="M49" s="96"/>
      <c r="N49" s="96"/>
      <c r="O49" s="96"/>
      <c r="P49" s="96"/>
      <c r="Q49" s="96"/>
      <c r="R49" s="96"/>
    </row>
    <row r="50" spans="2:18" ht="30" customHeight="1">
      <c r="B50" s="27"/>
      <c r="C50" s="28" t="s">
        <v>426</v>
      </c>
      <c r="D50" s="85">
        <v>417</v>
      </c>
      <c r="E50" s="85">
        <v>120</v>
      </c>
      <c r="F50" s="85">
        <v>0</v>
      </c>
      <c r="G50" s="85"/>
      <c r="H50" s="85"/>
      <c r="I50" s="85"/>
      <c r="J50" s="85"/>
      <c r="K50" s="85"/>
      <c r="L50" s="85"/>
      <c r="M50" s="85"/>
      <c r="N50" s="85"/>
      <c r="O50" s="85"/>
      <c r="P50" s="85"/>
      <c r="Q50" s="85"/>
      <c r="R50" s="85"/>
    </row>
    <row r="51" spans="2:18" ht="30" customHeight="1">
      <c r="B51" s="27"/>
      <c r="C51" s="29" t="s">
        <v>424</v>
      </c>
      <c r="D51" s="85"/>
      <c r="E51" s="85">
        <v>9</v>
      </c>
      <c r="F51" s="85">
        <v>0</v>
      </c>
      <c r="G51" s="85"/>
      <c r="H51" s="85"/>
      <c r="I51" s="85"/>
      <c r="J51" s="85"/>
      <c r="K51" s="85"/>
      <c r="L51" s="85"/>
      <c r="M51" s="85"/>
      <c r="N51" s="85"/>
      <c r="O51" s="85"/>
      <c r="P51" s="85"/>
      <c r="Q51" s="85"/>
      <c r="R51" s="85"/>
    </row>
    <row r="52" spans="2:18" ht="15" customHeight="1">
      <c r="B52" s="27"/>
      <c r="C52" s="29" t="s">
        <v>425</v>
      </c>
      <c r="D52" s="85"/>
      <c r="E52" s="85">
        <v>111</v>
      </c>
      <c r="F52" s="85">
        <v>0</v>
      </c>
      <c r="G52" s="85"/>
      <c r="H52" s="85"/>
      <c r="I52" s="85"/>
      <c r="J52" s="85"/>
      <c r="K52" s="85"/>
      <c r="L52" s="85"/>
      <c r="M52" s="85"/>
      <c r="N52" s="85"/>
      <c r="O52" s="85"/>
      <c r="P52" s="85"/>
      <c r="Q52" s="85"/>
      <c r="R52" s="85"/>
    </row>
    <row r="53" spans="2:18" ht="6" customHeight="1">
      <c r="B53" s="27"/>
      <c r="C53" s="31"/>
      <c r="D53" s="96"/>
      <c r="E53" s="96"/>
      <c r="F53" s="96"/>
      <c r="G53" s="96"/>
      <c r="H53" s="96"/>
      <c r="I53" s="96"/>
      <c r="J53" s="96"/>
      <c r="K53" s="96"/>
      <c r="L53" s="96"/>
      <c r="M53" s="96"/>
      <c r="N53" s="96"/>
      <c r="O53" s="96"/>
      <c r="P53" s="96"/>
      <c r="Q53" s="96"/>
      <c r="R53" s="96"/>
    </row>
    <row r="54" spans="2:18" ht="33" customHeight="1">
      <c r="B54" s="27"/>
      <c r="C54" s="28" t="s">
        <v>427</v>
      </c>
      <c r="D54" s="85"/>
      <c r="E54" s="85"/>
      <c r="F54" s="85"/>
      <c r="G54" s="85"/>
      <c r="H54" s="85"/>
      <c r="I54" s="85"/>
      <c r="J54" s="85"/>
      <c r="K54" s="85"/>
      <c r="L54" s="85"/>
      <c r="M54" s="85"/>
      <c r="N54" s="85"/>
      <c r="O54" s="85"/>
      <c r="P54" s="85"/>
      <c r="Q54" s="85"/>
      <c r="R54" s="96"/>
    </row>
    <row r="55" spans="2:18" ht="30" customHeight="1">
      <c r="B55" s="27"/>
      <c r="C55" s="28" t="s">
        <v>428</v>
      </c>
      <c r="D55" s="85">
        <v>3</v>
      </c>
      <c r="E55" s="85">
        <v>3</v>
      </c>
      <c r="F55" s="85">
        <v>0</v>
      </c>
      <c r="G55" s="85"/>
      <c r="H55" s="85"/>
      <c r="I55" s="85"/>
      <c r="J55" s="85"/>
      <c r="K55" s="85"/>
      <c r="L55" s="85"/>
      <c r="M55" s="85"/>
      <c r="N55" s="85"/>
      <c r="O55" s="85"/>
      <c r="P55" s="85"/>
      <c r="Q55" s="85"/>
      <c r="R55" s="85"/>
    </row>
    <row r="56" spans="2:18" ht="30" customHeight="1">
      <c r="B56" s="27"/>
      <c r="C56" s="28" t="s">
        <v>429</v>
      </c>
      <c r="D56" s="85">
        <v>3</v>
      </c>
      <c r="E56" s="85">
        <v>3</v>
      </c>
      <c r="F56" s="85">
        <v>0</v>
      </c>
      <c r="G56" s="85"/>
      <c r="H56" s="85"/>
      <c r="I56" s="85"/>
      <c r="J56" s="85"/>
      <c r="K56" s="85"/>
      <c r="L56" s="85"/>
      <c r="M56" s="85"/>
      <c r="N56" s="85"/>
      <c r="O56" s="85"/>
      <c r="P56" s="85"/>
      <c r="Q56" s="85"/>
      <c r="R56" s="85"/>
    </row>
    <row r="57" spans="2:18" ht="56">
      <c r="C57" s="28" t="s">
        <v>430</v>
      </c>
      <c r="D57" s="71"/>
      <c r="E57" s="71"/>
      <c r="F57" s="71"/>
      <c r="G57" s="71"/>
      <c r="H57" s="71"/>
      <c r="I57" s="71"/>
      <c r="J57" s="71"/>
      <c r="K57" s="71"/>
      <c r="L57" s="71"/>
      <c r="M57" s="71"/>
      <c r="N57" s="71"/>
      <c r="O57" s="71"/>
      <c r="P57" s="71"/>
      <c r="Q57" s="71"/>
      <c r="R57" s="71"/>
    </row>
    <row r="58" spans="2:18" ht="56">
      <c r="C58" s="28" t="s">
        <v>431</v>
      </c>
      <c r="D58" s="71"/>
      <c r="E58" s="71"/>
      <c r="F58" s="71"/>
      <c r="G58" s="71"/>
      <c r="H58" s="71"/>
      <c r="I58" s="71"/>
      <c r="J58" s="71"/>
      <c r="K58" s="71"/>
      <c r="L58" s="71"/>
      <c r="M58" s="71"/>
      <c r="N58" s="71"/>
      <c r="O58" s="71"/>
      <c r="P58" s="71"/>
      <c r="Q58" s="71"/>
      <c r="R58" s="71"/>
    </row>
    <row r="59" spans="2:18">
      <c r="C59" s="124"/>
    </row>
    <row r="60" spans="2:18" ht="15">
      <c r="D60" s="1" t="s">
        <v>432</v>
      </c>
    </row>
    <row r="61" spans="2:18">
      <c r="D61" s="97" t="s">
        <v>433</v>
      </c>
    </row>
    <row r="62" spans="2:18">
      <c r="D62" s="98" t="s">
        <v>434</v>
      </c>
    </row>
    <row r="63" spans="2:18">
      <c r="D63" s="98" t="s">
        <v>435</v>
      </c>
    </row>
    <row r="64" spans="2:18">
      <c r="D64" s="98" t="s">
        <v>436</v>
      </c>
    </row>
    <row r="65" spans="4:4">
      <c r="D65" s="98" t="s">
        <v>437</v>
      </c>
    </row>
    <row r="66" spans="4:4">
      <c r="D66" s="98" t="s">
        <v>438</v>
      </c>
    </row>
    <row r="68" spans="4:4" ht="15">
      <c r="D68" s="99" t="s">
        <v>439</v>
      </c>
    </row>
  </sheetData>
  <mergeCells count="2">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87"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32">
    <cfRule type="expression" dxfId="86" priority="1">
      <formula>#REF!="Owned"</formula>
    </cfRule>
  </conditionalFormatting>
  <dataValidations count="1">
    <dataValidation type="list" allowBlank="1" showInputMessage="1" showErrorMessage="1" sqref="E6" xr:uid="{59AD9009-F109-45BB-BA31-2642F18F57A6}">
      <formula1>"Yes, No"</formula1>
    </dataValidation>
  </dataValidations>
  <pageMargins left="0.7" right="0.7" top="0.75" bottom="0.75" header="0.3" footer="0.3"/>
  <pageSetup scale="22" orientation="portrait" horizontalDpi="90" verticalDpi="90" r:id="rId1"/>
  <headerFooter>
    <oddHeader>&amp;C&amp;"Calibri"&amp;10&amp;K000000 Internal&amp;1#_x000D_&amp;"Arial"&amp;10&amp;K000000&amp;"Arial"&amp;10&amp;K000000</oddHeader>
  </headerFooter>
  <colBreaks count="1" manualBreakCount="1">
    <brk id="8"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08437-A3BC-444C-A942-E8FFD83192CC}">
  <sheetPr codeName="Feuil27">
    <tabColor rgb="FF00B050"/>
    <pageSetUpPr fitToPage="1"/>
  </sheetPr>
  <dimension ref="B1:R69"/>
  <sheetViews>
    <sheetView topLeftCell="A44" zoomScale="85" zoomScaleNormal="85" workbookViewId="0">
      <selection activeCell="G25" sqref="G25"/>
    </sheetView>
  </sheetViews>
  <sheetFormatPr baseColWidth="10" defaultColWidth="9.1640625" defaultRowHeight="13"/>
  <cols>
    <col min="1" max="1" width="19.5" style="1" customWidth="1"/>
    <col min="2" max="2" width="24.1640625" style="1" customWidth="1"/>
    <col min="3" max="3" width="23.1640625" style="1" customWidth="1"/>
    <col min="4" max="18" width="22.83203125" style="1" customWidth="1"/>
    <col min="19" max="16384" width="9.1640625" style="1"/>
  </cols>
  <sheetData>
    <row r="1" spans="2:18" ht="7.5" customHeight="1"/>
    <row r="2" spans="2:18">
      <c r="C2" s="508" t="s">
        <v>323</v>
      </c>
      <c r="D2" s="501">
        <v>45987</v>
      </c>
      <c r="E2" s="80"/>
      <c r="F2" s="3"/>
      <c r="G2" s="3"/>
      <c r="H2" s="3"/>
      <c r="I2" s="4"/>
    </row>
    <row r="4" spans="2:18">
      <c r="C4" s="81" t="s">
        <v>324</v>
      </c>
      <c r="D4" s="82" t="s">
        <v>142</v>
      </c>
      <c r="G4" s="83"/>
      <c r="H4" s="83"/>
      <c r="I4" s="5"/>
    </row>
    <row r="5" spans="2:18" ht="15.75" customHeight="1">
      <c r="C5" s="2"/>
    </row>
    <row r="6" spans="2:18" ht="26.25" customHeight="1">
      <c r="B6" s="1" t="s">
        <v>326</v>
      </c>
      <c r="C6" s="589" t="s">
        <v>327</v>
      </c>
      <c r="D6" s="591"/>
      <c r="E6" s="6" t="s">
        <v>328</v>
      </c>
      <c r="F6" s="124"/>
      <c r="G6" s="124"/>
      <c r="H6" s="124"/>
      <c r="I6" s="42"/>
      <c r="J6"/>
    </row>
    <row r="7" spans="2:18" ht="26.25" customHeight="1">
      <c r="B7" s="1" t="s">
        <v>326</v>
      </c>
      <c r="C7" s="589" t="s">
        <v>329</v>
      </c>
      <c r="D7" s="591"/>
      <c r="E7" s="6">
        <v>1</v>
      </c>
      <c r="F7" s="124"/>
      <c r="G7" s="124"/>
      <c r="H7" s="124"/>
      <c r="I7" s="42"/>
      <c r="J7"/>
    </row>
    <row r="8" spans="2:18" ht="26.25" customHeight="1">
      <c r="C8" s="113"/>
      <c r="D8" s="113"/>
      <c r="E8" s="42"/>
      <c r="F8" s="124"/>
      <c r="G8" s="124"/>
      <c r="H8" s="124"/>
      <c r="I8" s="42"/>
      <c r="J8"/>
    </row>
    <row r="9" spans="2:18">
      <c r="C9" s="498" t="s">
        <v>330</v>
      </c>
      <c r="D9" s="71"/>
      <c r="E9" s="71"/>
      <c r="F9" s="71"/>
      <c r="G9" s="71"/>
      <c r="H9" s="71"/>
      <c r="I9" s="71"/>
      <c r="J9" s="71"/>
      <c r="K9" s="71"/>
      <c r="L9" s="71"/>
      <c r="M9" s="71"/>
      <c r="N9" s="71"/>
      <c r="O9" s="71"/>
      <c r="P9" s="71"/>
      <c r="Q9" s="71"/>
      <c r="R9" s="71"/>
    </row>
    <row r="10" spans="2:18" ht="15" customHeight="1">
      <c r="C10" s="499" t="s">
        <v>331</v>
      </c>
      <c r="D10" s="84" t="s">
        <v>1121</v>
      </c>
      <c r="E10" s="84" t="s">
        <v>504</v>
      </c>
      <c r="F10" s="84" t="s">
        <v>334</v>
      </c>
      <c r="G10" s="84" t="s">
        <v>335</v>
      </c>
      <c r="H10" s="84" t="s">
        <v>336</v>
      </c>
      <c r="I10" s="84" t="s">
        <v>337</v>
      </c>
      <c r="J10" s="84" t="s">
        <v>338</v>
      </c>
      <c r="K10" s="84" t="s">
        <v>339</v>
      </c>
      <c r="L10" s="84" t="s">
        <v>340</v>
      </c>
      <c r="M10" s="84" t="s">
        <v>341</v>
      </c>
      <c r="N10" s="84" t="s">
        <v>342</v>
      </c>
      <c r="O10" s="84" t="s">
        <v>343</v>
      </c>
      <c r="P10" s="84" t="s">
        <v>344</v>
      </c>
      <c r="Q10" s="84" t="s">
        <v>345</v>
      </c>
      <c r="R10" s="84" t="s">
        <v>346</v>
      </c>
    </row>
    <row r="11" spans="2:18" ht="15" customHeight="1">
      <c r="C11" s="500" t="s">
        <v>299</v>
      </c>
      <c r="D11" s="131" t="s">
        <v>1122</v>
      </c>
      <c r="E11" s="131"/>
      <c r="F11" s="131"/>
      <c r="G11" s="131"/>
      <c r="H11" s="131"/>
      <c r="I11" s="131"/>
      <c r="J11" s="489"/>
      <c r="K11" s="489"/>
      <c r="L11" s="489"/>
      <c r="M11" s="489"/>
      <c r="N11" s="489"/>
      <c r="O11" s="489"/>
      <c r="P11" s="489"/>
      <c r="Q11" s="489"/>
      <c r="R11" s="489"/>
    </row>
    <row r="12" spans="2:18" ht="15" customHeight="1">
      <c r="C12" s="68"/>
      <c r="D12" s="471"/>
      <c r="E12" s="329"/>
      <c r="F12" s="329"/>
      <c r="G12" s="329"/>
      <c r="H12" s="329"/>
      <c r="I12" s="329"/>
      <c r="J12" s="472"/>
      <c r="K12" s="472"/>
      <c r="L12" s="472"/>
      <c r="M12" s="472"/>
      <c r="N12" s="472"/>
      <c r="O12" s="472"/>
      <c r="P12" s="472"/>
      <c r="Q12" s="472"/>
      <c r="R12" s="472"/>
    </row>
    <row r="13" spans="2:18" ht="30" customHeight="1">
      <c r="B13" s="7" t="s">
        <v>348</v>
      </c>
      <c r="C13" s="8" t="s">
        <v>349</v>
      </c>
      <c r="D13" s="85" t="s">
        <v>1123</v>
      </c>
      <c r="E13" s="85"/>
      <c r="F13" s="85"/>
      <c r="G13" s="85"/>
      <c r="H13" s="85"/>
      <c r="I13" s="85"/>
      <c r="J13" s="85"/>
      <c r="K13" s="85"/>
      <c r="L13" s="85"/>
      <c r="M13" s="85"/>
      <c r="N13" s="85"/>
      <c r="O13" s="85"/>
      <c r="P13" s="85"/>
      <c r="Q13" s="85"/>
      <c r="R13" s="85"/>
    </row>
    <row r="14" spans="2:18" ht="77.25" customHeight="1">
      <c r="B14" s="7" t="s">
        <v>352</v>
      </c>
      <c r="C14" s="8" t="s">
        <v>297</v>
      </c>
      <c r="D14" s="85" t="s">
        <v>143</v>
      </c>
      <c r="E14" s="85"/>
      <c r="F14" s="85"/>
      <c r="G14" s="85"/>
      <c r="H14" s="85"/>
      <c r="I14" s="85"/>
      <c r="J14" s="85"/>
      <c r="K14" s="85"/>
      <c r="L14" s="85"/>
      <c r="M14" s="85"/>
      <c r="N14" s="85"/>
      <c r="O14" s="85"/>
      <c r="P14" s="85"/>
      <c r="Q14" s="85"/>
      <c r="R14" s="85"/>
    </row>
    <row r="15" spans="2:18" ht="30" customHeight="1">
      <c r="B15" s="7" t="s">
        <v>353</v>
      </c>
      <c r="C15" s="8" t="s">
        <v>354</v>
      </c>
      <c r="D15" s="85" t="s">
        <v>144</v>
      </c>
      <c r="E15" s="85"/>
      <c r="F15" s="85"/>
      <c r="G15" s="85"/>
      <c r="H15" s="85"/>
      <c r="I15" s="85"/>
      <c r="J15" s="85"/>
      <c r="K15" s="85"/>
      <c r="L15" s="85"/>
      <c r="M15" s="85"/>
      <c r="N15" s="85"/>
      <c r="O15" s="85"/>
      <c r="P15" s="85"/>
      <c r="Q15" s="85"/>
      <c r="R15" s="85"/>
    </row>
    <row r="16" spans="2:18" ht="15" customHeight="1">
      <c r="B16" s="7" t="s">
        <v>355</v>
      </c>
      <c r="C16" s="8" t="s">
        <v>356</v>
      </c>
      <c r="D16" s="85" t="s">
        <v>1124</v>
      </c>
      <c r="E16" s="85"/>
      <c r="F16" s="85"/>
      <c r="G16" s="85"/>
      <c r="H16" s="85"/>
      <c r="I16" s="85"/>
      <c r="J16" s="85"/>
      <c r="K16" s="85"/>
      <c r="L16" s="85"/>
      <c r="M16" s="85"/>
      <c r="N16" s="85"/>
      <c r="O16" s="85"/>
      <c r="P16" s="85"/>
      <c r="Q16" s="85"/>
      <c r="R16" s="85"/>
    </row>
    <row r="17" spans="2:18" ht="15" customHeight="1">
      <c r="B17" s="7" t="s">
        <v>357</v>
      </c>
      <c r="C17" s="8" t="s">
        <v>294</v>
      </c>
      <c r="D17" s="85" t="s">
        <v>142</v>
      </c>
      <c r="E17" s="85"/>
      <c r="F17" s="85"/>
      <c r="G17" s="85"/>
      <c r="H17" s="85"/>
      <c r="I17" s="85"/>
      <c r="J17" s="85"/>
      <c r="K17" s="85"/>
      <c r="L17" s="85"/>
      <c r="M17" s="85"/>
      <c r="N17" s="85"/>
      <c r="O17" s="85"/>
      <c r="P17" s="85"/>
      <c r="Q17" s="85"/>
      <c r="R17" s="85"/>
    </row>
    <row r="18" spans="2:18" ht="15" customHeight="1">
      <c r="B18" s="9" t="s">
        <v>358</v>
      </c>
      <c r="C18" s="10" t="s">
        <v>359</v>
      </c>
      <c r="D18" s="85" t="s">
        <v>360</v>
      </c>
      <c r="E18" s="85"/>
      <c r="F18" s="85"/>
      <c r="G18" s="85"/>
      <c r="H18" s="85"/>
      <c r="I18" s="85"/>
      <c r="J18" s="85"/>
      <c r="K18" s="85"/>
      <c r="L18" s="85"/>
      <c r="M18" s="85"/>
      <c r="N18" s="85"/>
      <c r="O18" s="85"/>
      <c r="P18" s="85"/>
      <c r="Q18" s="85"/>
      <c r="R18" s="85"/>
    </row>
    <row r="19" spans="2:18" ht="45.75" customHeight="1">
      <c r="B19" s="9" t="s">
        <v>361</v>
      </c>
      <c r="C19" s="10" t="s">
        <v>362</v>
      </c>
      <c r="D19" s="85" t="s">
        <v>328</v>
      </c>
      <c r="E19" s="85"/>
      <c r="F19" s="85"/>
      <c r="G19" s="85"/>
      <c r="H19" s="85"/>
      <c r="I19" s="85"/>
      <c r="J19" s="85"/>
      <c r="K19" s="85"/>
      <c r="L19" s="85"/>
      <c r="M19" s="85"/>
      <c r="N19" s="85"/>
      <c r="O19" s="85"/>
      <c r="P19" s="85"/>
      <c r="Q19" s="85"/>
      <c r="R19" s="85"/>
    </row>
    <row r="20" spans="2:18" ht="45" customHeight="1">
      <c r="B20" s="9" t="s">
        <v>363</v>
      </c>
      <c r="C20" s="10" t="s">
        <v>364</v>
      </c>
      <c r="D20" s="85" t="s">
        <v>328</v>
      </c>
      <c r="E20" s="85"/>
      <c r="F20" s="85"/>
      <c r="G20" s="85"/>
      <c r="H20" s="85"/>
      <c r="I20" s="85"/>
      <c r="J20" s="85"/>
      <c r="K20" s="85"/>
      <c r="L20" s="85"/>
      <c r="M20" s="85"/>
      <c r="N20" s="85"/>
      <c r="O20" s="85"/>
      <c r="P20" s="85"/>
      <c r="Q20" s="85"/>
      <c r="R20" s="85"/>
    </row>
    <row r="21" spans="2:18" ht="30" customHeight="1">
      <c r="B21" s="11" t="s">
        <v>365</v>
      </c>
      <c r="C21" s="12" t="s">
        <v>366</v>
      </c>
      <c r="D21" s="85" t="s">
        <v>989</v>
      </c>
      <c r="E21" s="85"/>
      <c r="F21" s="85"/>
      <c r="G21" s="85"/>
      <c r="H21" s="85"/>
      <c r="I21" s="85"/>
      <c r="J21" s="85"/>
      <c r="K21" s="85"/>
      <c r="L21" s="85"/>
      <c r="M21" s="85"/>
      <c r="N21" s="85"/>
      <c r="O21" s="85"/>
      <c r="P21" s="85"/>
      <c r="Q21" s="85"/>
      <c r="R21" s="85"/>
    </row>
    <row r="22" spans="2:18" ht="30" customHeight="1">
      <c r="B22" s="11" t="s">
        <v>369</v>
      </c>
      <c r="C22" s="12" t="s">
        <v>370</v>
      </c>
      <c r="D22" s="85" t="s">
        <v>1125</v>
      </c>
      <c r="E22" s="85"/>
      <c r="F22" s="85"/>
      <c r="G22" s="85"/>
      <c r="H22" s="85"/>
      <c r="I22" s="85"/>
      <c r="J22" s="85"/>
      <c r="K22" s="85"/>
      <c r="L22" s="85"/>
      <c r="M22" s="85"/>
      <c r="N22" s="85"/>
      <c r="O22" s="85"/>
      <c r="P22" s="85"/>
      <c r="Q22" s="85"/>
      <c r="R22" s="85"/>
    </row>
    <row r="23" spans="2:18" ht="30" customHeight="1">
      <c r="B23" s="13" t="s">
        <v>372</v>
      </c>
      <c r="C23" s="14" t="s">
        <v>373</v>
      </c>
      <c r="D23" s="85" t="s">
        <v>374</v>
      </c>
      <c r="E23" s="85"/>
      <c r="F23" s="85"/>
      <c r="G23" s="85"/>
      <c r="H23" s="85"/>
      <c r="I23" s="85"/>
      <c r="J23" s="85"/>
      <c r="K23" s="85"/>
      <c r="L23" s="85"/>
      <c r="M23" s="85"/>
      <c r="N23" s="85"/>
      <c r="O23" s="85"/>
      <c r="P23" s="85"/>
      <c r="Q23" s="85"/>
      <c r="R23" s="85"/>
    </row>
    <row r="24" spans="2:18" ht="45" customHeight="1">
      <c r="B24" s="13" t="s">
        <v>375</v>
      </c>
      <c r="C24" s="14" t="s">
        <v>376</v>
      </c>
      <c r="D24" s="88">
        <v>1821</v>
      </c>
      <c r="E24" s="88"/>
      <c r="F24" s="88"/>
      <c r="G24" s="88"/>
      <c r="H24" s="88"/>
      <c r="I24" s="88"/>
      <c r="J24" s="88"/>
      <c r="K24" s="88"/>
      <c r="L24" s="88"/>
      <c r="M24" s="88"/>
      <c r="N24" s="88"/>
      <c r="O24" s="88"/>
      <c r="P24" s="88"/>
      <c r="Q24" s="88"/>
      <c r="R24" s="88"/>
    </row>
    <row r="25" spans="2:18" ht="45" customHeight="1">
      <c r="B25" s="15" t="s">
        <v>377</v>
      </c>
      <c r="C25" s="16" t="s">
        <v>378</v>
      </c>
      <c r="D25" s="119">
        <v>23</v>
      </c>
      <c r="E25" s="119"/>
      <c r="F25" s="85"/>
      <c r="G25" s="85"/>
      <c r="H25" s="85"/>
      <c r="I25" s="85"/>
      <c r="J25" s="85"/>
      <c r="K25" s="85"/>
      <c r="L25" s="85"/>
      <c r="M25" s="85"/>
      <c r="N25" s="85"/>
      <c r="O25" s="85"/>
      <c r="P25" s="85"/>
      <c r="Q25" s="85"/>
      <c r="R25" s="85"/>
    </row>
    <row r="26" spans="2:18" ht="45" customHeight="1">
      <c r="B26" s="15" t="s">
        <v>380</v>
      </c>
      <c r="C26" s="16" t="s">
        <v>381</v>
      </c>
      <c r="D26" s="89" t="s">
        <v>449</v>
      </c>
      <c r="E26" s="89"/>
      <c r="F26" s="88"/>
      <c r="G26" s="85"/>
      <c r="H26" s="85"/>
      <c r="I26" s="85"/>
      <c r="J26" s="85"/>
      <c r="K26" s="85"/>
      <c r="L26" s="85"/>
      <c r="M26" s="85"/>
      <c r="N26" s="85"/>
      <c r="O26" s="85"/>
      <c r="P26" s="85"/>
      <c r="Q26" s="85"/>
      <c r="R26" s="85"/>
    </row>
    <row r="27" spans="2:18" s="139" customFormat="1" ht="30" customHeight="1">
      <c r="B27" s="15"/>
      <c r="C27" s="167" t="s">
        <v>383</v>
      </c>
      <c r="D27" s="166"/>
      <c r="E27" s="166"/>
      <c r="F27" s="164"/>
      <c r="G27" s="162"/>
      <c r="H27" s="162"/>
      <c r="I27" s="162"/>
      <c r="J27" s="162"/>
      <c r="K27" s="162"/>
      <c r="L27" s="162"/>
      <c r="M27" s="162"/>
      <c r="N27" s="162"/>
      <c r="O27" s="162"/>
      <c r="P27" s="162"/>
      <c r="Q27" s="162"/>
      <c r="R27" s="162"/>
    </row>
    <row r="28" spans="2:18" ht="45" customHeight="1">
      <c r="B28" s="15" t="s">
        <v>384</v>
      </c>
      <c r="C28" s="16" t="s">
        <v>450</v>
      </c>
      <c r="D28" s="120">
        <v>189</v>
      </c>
      <c r="E28" s="89"/>
      <c r="F28" s="88"/>
      <c r="G28" s="85"/>
      <c r="H28" s="85"/>
      <c r="I28" s="85"/>
      <c r="J28" s="85"/>
      <c r="K28" s="85"/>
      <c r="L28" s="85"/>
      <c r="M28" s="85"/>
      <c r="N28" s="85"/>
      <c r="O28" s="85"/>
      <c r="P28" s="85"/>
      <c r="Q28" s="85"/>
      <c r="R28" s="85"/>
    </row>
    <row r="29" spans="2:18" ht="45" customHeight="1">
      <c r="B29" s="15" t="s">
        <v>387</v>
      </c>
      <c r="C29" s="16" t="s">
        <v>388</v>
      </c>
      <c r="D29" s="121">
        <v>2.5000000000000001E-2</v>
      </c>
      <c r="E29" s="89"/>
      <c r="F29" s="88"/>
      <c r="G29" s="85"/>
      <c r="H29" s="85"/>
      <c r="I29" s="85"/>
      <c r="J29" s="85"/>
      <c r="K29" s="85"/>
      <c r="L29" s="85"/>
      <c r="M29" s="85"/>
      <c r="N29" s="85"/>
      <c r="O29" s="85"/>
      <c r="P29" s="85"/>
      <c r="Q29" s="85"/>
      <c r="R29" s="85"/>
    </row>
    <row r="30" spans="2:18" ht="60" customHeight="1">
      <c r="B30" s="13" t="s">
        <v>390</v>
      </c>
      <c r="C30" s="17" t="s">
        <v>453</v>
      </c>
      <c r="D30" s="85">
        <v>49.42</v>
      </c>
      <c r="E30" s="85"/>
      <c r="F30" s="85"/>
      <c r="G30" s="85"/>
      <c r="H30" s="85"/>
      <c r="I30" s="85"/>
      <c r="J30" s="85"/>
      <c r="K30" s="85"/>
      <c r="L30" s="85"/>
      <c r="M30" s="85"/>
      <c r="N30" s="85"/>
      <c r="O30" s="85"/>
      <c r="P30" s="85"/>
      <c r="Q30" s="85"/>
      <c r="R30" s="85"/>
    </row>
    <row r="31" spans="2:18" s="139" customFormat="1" ht="30" customHeight="1">
      <c r="B31" s="13"/>
      <c r="C31" s="167" t="s">
        <v>393</v>
      </c>
      <c r="D31" s="250"/>
      <c r="E31" s="162"/>
      <c r="F31" s="162"/>
      <c r="G31" s="162"/>
      <c r="H31" s="162"/>
      <c r="I31" s="162"/>
      <c r="J31" s="162"/>
      <c r="K31" s="162"/>
      <c r="L31" s="162"/>
      <c r="M31" s="162"/>
      <c r="N31" s="162"/>
      <c r="O31" s="162"/>
      <c r="P31" s="162"/>
      <c r="Q31" s="162"/>
      <c r="R31" s="162"/>
    </row>
    <row r="32" spans="2:18" ht="60" customHeight="1">
      <c r="B32" s="13" t="s">
        <v>394</v>
      </c>
      <c r="C32" s="17" t="s">
        <v>395</v>
      </c>
      <c r="D32" s="85">
        <v>2.5</v>
      </c>
      <c r="E32" s="85"/>
      <c r="F32" s="85"/>
      <c r="G32" s="85"/>
      <c r="H32" s="85"/>
      <c r="I32" s="85"/>
      <c r="J32" s="85"/>
      <c r="K32" s="85"/>
      <c r="L32" s="85"/>
      <c r="M32" s="85"/>
      <c r="N32" s="85"/>
      <c r="O32" s="85"/>
      <c r="P32" s="85"/>
      <c r="Q32" s="85"/>
      <c r="R32" s="85"/>
    </row>
    <row r="33" spans="2:18" ht="30" customHeight="1">
      <c r="B33" s="18" t="s">
        <v>397</v>
      </c>
      <c r="C33" s="19" t="s">
        <v>313</v>
      </c>
      <c r="D33" s="91">
        <v>45047</v>
      </c>
      <c r="E33" s="91"/>
      <c r="F33" s="91"/>
      <c r="G33" s="91"/>
      <c r="H33" s="91"/>
      <c r="I33" s="91"/>
      <c r="J33" s="85"/>
      <c r="K33" s="85"/>
      <c r="L33" s="85"/>
      <c r="M33" s="85"/>
      <c r="N33" s="85"/>
      <c r="O33" s="85"/>
      <c r="P33" s="85"/>
      <c r="Q33" s="85"/>
      <c r="R33" s="85"/>
    </row>
    <row r="34" spans="2:18" ht="30" customHeight="1">
      <c r="B34" s="20" t="s">
        <v>398</v>
      </c>
      <c r="C34" s="19" t="s">
        <v>315</v>
      </c>
      <c r="D34" s="91">
        <v>46873</v>
      </c>
      <c r="E34" s="91"/>
      <c r="F34" s="91"/>
      <c r="G34" s="91"/>
      <c r="H34" s="91"/>
      <c r="I34" s="91"/>
      <c r="J34" s="85"/>
      <c r="K34" s="85"/>
      <c r="L34" s="85"/>
      <c r="M34" s="85"/>
      <c r="N34" s="85"/>
      <c r="O34" s="85"/>
      <c r="P34" s="85"/>
      <c r="Q34" s="85"/>
      <c r="R34" s="85"/>
    </row>
    <row r="35" spans="2:18" ht="30" customHeight="1">
      <c r="B35" s="20" t="s">
        <v>399</v>
      </c>
      <c r="C35" s="19" t="s">
        <v>400</v>
      </c>
      <c r="D35" s="85" t="s">
        <v>1126</v>
      </c>
      <c r="E35" s="85"/>
      <c r="F35" s="85"/>
      <c r="G35" s="85"/>
      <c r="H35" s="85"/>
      <c r="I35" s="85"/>
      <c r="J35" s="85"/>
      <c r="K35" s="85"/>
      <c r="L35" s="85"/>
      <c r="M35" s="85"/>
      <c r="N35" s="85"/>
      <c r="O35" s="85"/>
      <c r="P35" s="85"/>
      <c r="Q35" s="85"/>
      <c r="R35" s="85"/>
    </row>
    <row r="36" spans="2:18" ht="30" customHeight="1">
      <c r="B36" s="20" t="s">
        <v>402</v>
      </c>
      <c r="C36" s="21" t="s">
        <v>403</v>
      </c>
      <c r="D36" s="92" t="s">
        <v>328</v>
      </c>
      <c r="E36" s="92"/>
      <c r="F36" s="93"/>
      <c r="G36" s="93"/>
      <c r="H36" s="93"/>
      <c r="I36" s="93"/>
      <c r="J36" s="85"/>
      <c r="K36" s="85"/>
      <c r="L36" s="85"/>
      <c r="M36" s="85"/>
      <c r="N36" s="85"/>
      <c r="O36" s="85"/>
      <c r="P36" s="85"/>
      <c r="Q36" s="85"/>
      <c r="R36" s="85"/>
    </row>
    <row r="37" spans="2:18" ht="45" customHeight="1">
      <c r="B37" s="20" t="s">
        <v>404</v>
      </c>
      <c r="C37" s="21" t="s">
        <v>405</v>
      </c>
      <c r="D37" s="92" t="s">
        <v>410</v>
      </c>
      <c r="E37" s="92"/>
      <c r="F37" s="93"/>
      <c r="G37" s="93"/>
      <c r="H37" s="93"/>
      <c r="I37" s="93"/>
      <c r="J37" s="85"/>
      <c r="K37" s="85"/>
      <c r="L37" s="85"/>
      <c r="M37" s="85"/>
      <c r="N37" s="85"/>
      <c r="O37" s="85"/>
      <c r="P37" s="85"/>
      <c r="Q37" s="85"/>
      <c r="R37" s="85"/>
    </row>
    <row r="38" spans="2:18" ht="30" customHeight="1">
      <c r="B38" s="20" t="s">
        <v>406</v>
      </c>
      <c r="C38" s="21" t="s">
        <v>407</v>
      </c>
      <c r="D38" s="92" t="s">
        <v>414</v>
      </c>
      <c r="E38" s="92"/>
      <c r="F38" s="93"/>
      <c r="G38" s="93"/>
      <c r="H38" s="93"/>
      <c r="I38" s="93"/>
      <c r="J38" s="85"/>
      <c r="K38" s="85"/>
      <c r="L38" s="85"/>
      <c r="M38" s="85"/>
      <c r="N38" s="85"/>
      <c r="O38" s="85"/>
      <c r="P38" s="85"/>
      <c r="Q38" s="85"/>
      <c r="R38" s="85"/>
    </row>
    <row r="39" spans="2:18" ht="30" customHeight="1">
      <c r="B39" s="20" t="s">
        <v>408</v>
      </c>
      <c r="C39" s="21" t="s">
        <v>409</v>
      </c>
      <c r="D39" s="136">
        <v>12</v>
      </c>
      <c r="E39" s="136"/>
      <c r="F39" s="95"/>
      <c r="G39" s="93"/>
      <c r="H39" s="93"/>
      <c r="I39" s="93"/>
      <c r="J39" s="85"/>
      <c r="K39" s="85"/>
      <c r="L39" s="85"/>
      <c r="M39" s="85"/>
      <c r="N39" s="85"/>
      <c r="O39" s="85"/>
      <c r="P39" s="85"/>
      <c r="Q39" s="85"/>
      <c r="R39" s="85"/>
    </row>
    <row r="40" spans="2:18" ht="45" customHeight="1">
      <c r="B40" s="20" t="s">
        <v>411</v>
      </c>
      <c r="C40" s="21" t="s">
        <v>314</v>
      </c>
      <c r="D40" s="92">
        <v>46873</v>
      </c>
      <c r="E40" s="92"/>
      <c r="F40" s="93"/>
      <c r="G40" s="93"/>
      <c r="H40" s="93"/>
      <c r="I40" s="93"/>
      <c r="J40" s="85"/>
      <c r="K40" s="85"/>
      <c r="L40" s="85"/>
      <c r="M40" s="85"/>
      <c r="N40" s="85"/>
      <c r="O40" s="85"/>
      <c r="P40" s="85"/>
      <c r="Q40" s="85"/>
      <c r="R40" s="85"/>
    </row>
    <row r="41" spans="2:18" ht="60" customHeight="1">
      <c r="B41" s="22" t="s">
        <v>412</v>
      </c>
      <c r="C41" s="23" t="s">
        <v>413</v>
      </c>
      <c r="D41" s="92" t="s">
        <v>414</v>
      </c>
      <c r="E41" s="92"/>
      <c r="F41" s="92"/>
      <c r="G41" s="92"/>
      <c r="H41" s="92"/>
      <c r="I41" s="92"/>
      <c r="J41" s="92"/>
      <c r="K41" s="92"/>
      <c r="L41" s="92"/>
      <c r="M41" s="92"/>
      <c r="N41" s="92"/>
      <c r="O41" s="92"/>
      <c r="P41" s="92"/>
      <c r="Q41" s="92"/>
      <c r="R41" s="92"/>
    </row>
    <row r="42" spans="2:18" ht="75" customHeight="1">
      <c r="B42" s="24" t="s">
        <v>457</v>
      </c>
      <c r="C42" s="23" t="s">
        <v>458</v>
      </c>
      <c r="D42" s="95" t="s">
        <v>328</v>
      </c>
      <c r="E42" s="95"/>
      <c r="F42" s="95"/>
      <c r="G42" s="95"/>
      <c r="H42" s="95"/>
      <c r="I42" s="95"/>
      <c r="J42" s="95"/>
      <c r="K42" s="95"/>
      <c r="L42" s="95"/>
      <c r="M42" s="95"/>
      <c r="N42" s="95"/>
      <c r="O42" s="95"/>
      <c r="P42" s="95"/>
      <c r="Q42" s="95"/>
      <c r="R42" s="95"/>
    </row>
    <row r="43" spans="2:18" ht="60" customHeight="1">
      <c r="B43" s="25" t="s">
        <v>418</v>
      </c>
      <c r="C43" s="26" t="s">
        <v>419</v>
      </c>
      <c r="D43" s="85" t="s">
        <v>1127</v>
      </c>
      <c r="E43" s="85"/>
      <c r="F43" s="85"/>
      <c r="G43" s="85"/>
      <c r="H43" s="85"/>
      <c r="I43" s="85"/>
      <c r="J43" s="85"/>
      <c r="K43" s="85"/>
      <c r="L43" s="85"/>
      <c r="M43" s="85"/>
      <c r="N43" s="85"/>
      <c r="O43" s="85"/>
      <c r="P43" s="85"/>
      <c r="Q43" s="85"/>
      <c r="R43" s="85"/>
    </row>
    <row r="44" spans="2:18" ht="75" customHeight="1">
      <c r="B44" s="25" t="s">
        <v>420</v>
      </c>
      <c r="C44" s="26" t="s">
        <v>421</v>
      </c>
      <c r="D44" s="85" t="s">
        <v>328</v>
      </c>
      <c r="E44" s="85"/>
      <c r="F44" s="85"/>
      <c r="G44" s="85"/>
      <c r="H44" s="85"/>
      <c r="I44" s="85"/>
      <c r="J44" s="85"/>
      <c r="K44" s="85"/>
      <c r="L44" s="85"/>
      <c r="M44" s="85"/>
      <c r="N44" s="85"/>
      <c r="O44" s="85"/>
      <c r="P44" s="85"/>
      <c r="Q44" s="85"/>
      <c r="R44" s="85"/>
    </row>
    <row r="45" spans="2:18">
      <c r="B45" s="27"/>
      <c r="C45" s="27"/>
      <c r="D45" s="27"/>
      <c r="E45" s="27"/>
      <c r="F45" s="27"/>
      <c r="G45" s="27"/>
      <c r="H45" s="27"/>
      <c r="I45" s="27"/>
      <c r="J45" s="27"/>
      <c r="K45" s="27"/>
      <c r="L45" s="27"/>
      <c r="M45" s="27"/>
      <c r="N45" s="27"/>
      <c r="O45" s="27"/>
      <c r="P45" s="27"/>
      <c r="Q45" s="27"/>
      <c r="R45" s="27"/>
    </row>
    <row r="46" spans="2:18" ht="45" customHeight="1">
      <c r="B46" s="27"/>
      <c r="C46" s="28" t="s">
        <v>1128</v>
      </c>
      <c r="D46" s="85">
        <v>221</v>
      </c>
      <c r="E46" s="85"/>
      <c r="F46" s="85"/>
      <c r="G46" s="85"/>
      <c r="H46" s="85"/>
      <c r="I46" s="85"/>
      <c r="J46" s="85"/>
      <c r="K46" s="85"/>
      <c r="L46" s="85"/>
      <c r="M46" s="85"/>
      <c r="N46" s="85"/>
      <c r="O46" s="85"/>
      <c r="P46" s="85"/>
      <c r="Q46" s="85"/>
      <c r="R46" s="85"/>
    </row>
    <row r="47" spans="2:18" ht="30" customHeight="1">
      <c r="B47" s="27"/>
      <c r="C47" s="29" t="s">
        <v>424</v>
      </c>
      <c r="D47" s="85">
        <v>76</v>
      </c>
      <c r="E47" s="85"/>
      <c r="F47" s="85"/>
      <c r="G47" s="85"/>
      <c r="H47" s="85"/>
      <c r="I47" s="85"/>
      <c r="J47" s="85"/>
      <c r="K47" s="85"/>
      <c r="L47" s="85"/>
      <c r="M47" s="85"/>
      <c r="N47" s="85"/>
      <c r="O47" s="85"/>
      <c r="P47" s="85"/>
      <c r="Q47" s="85"/>
      <c r="R47" s="85"/>
    </row>
    <row r="48" spans="2:18" ht="15" customHeight="1">
      <c r="B48" s="27"/>
      <c r="C48" s="29" t="s">
        <v>425</v>
      </c>
      <c r="D48" s="85">
        <v>145</v>
      </c>
      <c r="E48" s="85"/>
      <c r="F48" s="85"/>
      <c r="G48" s="85"/>
      <c r="H48" s="85"/>
      <c r="I48" s="85"/>
      <c r="J48" s="85"/>
      <c r="K48" s="85"/>
      <c r="L48" s="85"/>
      <c r="M48" s="85"/>
      <c r="N48" s="85"/>
      <c r="O48" s="85"/>
      <c r="P48" s="85"/>
      <c r="Q48" s="85"/>
      <c r="R48" s="85"/>
    </row>
    <row r="49" spans="2:18" ht="3" customHeight="1">
      <c r="B49" s="27"/>
      <c r="C49" s="30"/>
      <c r="D49" s="96"/>
      <c r="E49" s="96"/>
      <c r="F49" s="96"/>
      <c r="G49" s="96"/>
      <c r="H49" s="96"/>
      <c r="I49" s="96"/>
      <c r="J49" s="96"/>
      <c r="K49" s="96"/>
      <c r="L49" s="96"/>
      <c r="M49" s="96"/>
      <c r="N49" s="96"/>
      <c r="O49" s="96"/>
      <c r="P49" s="96"/>
      <c r="Q49" s="96"/>
      <c r="R49" s="96"/>
    </row>
    <row r="50" spans="2:18" ht="30" customHeight="1">
      <c r="B50" s="27"/>
      <c r="C50" s="28" t="s">
        <v>426</v>
      </c>
      <c r="D50" s="85">
        <v>203</v>
      </c>
      <c r="E50" s="85"/>
      <c r="F50" s="85"/>
      <c r="G50" s="85"/>
      <c r="H50" s="85"/>
      <c r="I50" s="85"/>
      <c r="J50" s="85"/>
      <c r="K50" s="85"/>
      <c r="L50" s="85"/>
      <c r="M50" s="85"/>
      <c r="N50" s="85"/>
      <c r="O50" s="85"/>
      <c r="P50" s="85"/>
      <c r="Q50" s="85"/>
      <c r="R50" s="85"/>
    </row>
    <row r="51" spans="2:18" ht="30" customHeight="1">
      <c r="B51" s="27"/>
      <c r="C51" s="29" t="s">
        <v>424</v>
      </c>
      <c r="D51" s="85">
        <v>59</v>
      </c>
      <c r="E51" s="85"/>
      <c r="F51" s="85"/>
      <c r="G51" s="85"/>
      <c r="H51" s="85"/>
      <c r="I51" s="85"/>
      <c r="J51" s="85"/>
      <c r="K51" s="85"/>
      <c r="L51" s="85"/>
      <c r="M51" s="85"/>
      <c r="N51" s="85"/>
      <c r="O51" s="85"/>
      <c r="P51" s="85"/>
      <c r="Q51" s="85"/>
      <c r="R51" s="85"/>
    </row>
    <row r="52" spans="2:18" ht="15" customHeight="1">
      <c r="B52" s="27"/>
      <c r="C52" s="29" t="s">
        <v>425</v>
      </c>
      <c r="D52" s="85">
        <v>144</v>
      </c>
      <c r="E52" s="85"/>
      <c r="F52" s="85"/>
      <c r="G52" s="85"/>
      <c r="H52" s="85"/>
      <c r="I52" s="85"/>
      <c r="J52" s="85"/>
      <c r="K52" s="85"/>
      <c r="L52" s="85"/>
      <c r="M52" s="85"/>
      <c r="N52" s="85"/>
      <c r="O52" s="85"/>
      <c r="P52" s="85"/>
      <c r="Q52" s="85"/>
      <c r="R52" s="85"/>
    </row>
    <row r="53" spans="2:18" ht="3" customHeight="1">
      <c r="B53" s="27"/>
      <c r="C53" s="31"/>
      <c r="D53" s="96"/>
      <c r="E53" s="96"/>
      <c r="F53" s="96"/>
      <c r="G53" s="96"/>
      <c r="H53" s="96"/>
      <c r="I53" s="96"/>
      <c r="J53" s="96"/>
      <c r="K53" s="96"/>
      <c r="L53" s="96"/>
      <c r="M53" s="96"/>
      <c r="N53" s="96"/>
      <c r="O53" s="96"/>
      <c r="P53" s="96"/>
      <c r="Q53" s="96"/>
      <c r="R53" s="96"/>
    </row>
    <row r="54" spans="2:18" ht="30" customHeight="1">
      <c r="B54" s="27"/>
      <c r="C54" s="76" t="s">
        <v>427</v>
      </c>
      <c r="D54" s="71"/>
      <c r="E54" s="85"/>
      <c r="F54" s="85"/>
      <c r="G54" s="85"/>
      <c r="H54" s="85"/>
      <c r="I54" s="85"/>
      <c r="J54" s="85"/>
      <c r="K54" s="85"/>
      <c r="L54" s="85"/>
      <c r="M54" s="85"/>
      <c r="N54" s="85"/>
      <c r="O54" s="85"/>
      <c r="P54" s="85"/>
      <c r="Q54" s="85"/>
      <c r="R54" s="85"/>
    </row>
    <row r="55" spans="2:18" ht="30" customHeight="1">
      <c r="B55" s="27"/>
      <c r="C55" s="176" t="s">
        <v>428</v>
      </c>
      <c r="D55" s="85">
        <v>3</v>
      </c>
      <c r="E55" s="85"/>
      <c r="F55" s="85"/>
      <c r="G55" s="85"/>
      <c r="H55" s="85"/>
      <c r="I55" s="85"/>
      <c r="J55" s="85"/>
      <c r="K55" s="85"/>
      <c r="L55" s="85"/>
      <c r="M55" s="85"/>
      <c r="N55" s="85"/>
      <c r="O55" s="85"/>
      <c r="P55" s="85"/>
      <c r="Q55" s="85"/>
      <c r="R55" s="85"/>
    </row>
    <row r="56" spans="2:18" ht="30" customHeight="1">
      <c r="B56" s="27"/>
      <c r="C56" s="176" t="s">
        <v>429</v>
      </c>
      <c r="D56" s="85">
        <v>3</v>
      </c>
      <c r="E56" s="85"/>
      <c r="F56" s="85"/>
      <c r="G56" s="85"/>
      <c r="H56" s="85"/>
      <c r="I56" s="85"/>
      <c r="J56" s="85"/>
      <c r="K56" s="85"/>
      <c r="L56" s="85"/>
      <c r="M56" s="85"/>
      <c r="N56" s="85"/>
      <c r="O56" s="85"/>
      <c r="P56" s="85"/>
      <c r="Q56" s="85"/>
      <c r="R56" s="85"/>
    </row>
    <row r="57" spans="2:18" ht="30" customHeight="1">
      <c r="B57" s="27"/>
      <c r="C57" s="181" t="s">
        <v>430</v>
      </c>
      <c r="D57" s="85"/>
      <c r="E57" s="85"/>
      <c r="F57" s="85"/>
      <c r="G57" s="85"/>
      <c r="H57" s="85"/>
      <c r="I57" s="85"/>
      <c r="J57" s="85"/>
      <c r="K57" s="85"/>
      <c r="L57" s="85"/>
      <c r="M57" s="85"/>
      <c r="N57" s="85"/>
      <c r="O57" s="85"/>
      <c r="P57" s="85"/>
      <c r="Q57" s="85"/>
      <c r="R57" s="85"/>
    </row>
    <row r="58" spans="2:18" ht="30" customHeight="1">
      <c r="B58" s="27"/>
      <c r="C58" s="181" t="s">
        <v>431</v>
      </c>
      <c r="D58" s="85"/>
      <c r="E58" s="85"/>
      <c r="F58" s="85"/>
      <c r="G58" s="85"/>
      <c r="H58" s="85"/>
      <c r="I58" s="85"/>
      <c r="J58" s="85"/>
      <c r="K58" s="85"/>
      <c r="L58" s="85"/>
      <c r="M58" s="85"/>
      <c r="N58" s="85"/>
      <c r="O58" s="85"/>
      <c r="P58" s="85"/>
      <c r="Q58" s="85"/>
      <c r="R58" s="85"/>
    </row>
    <row r="61" spans="2:18" ht="15">
      <c r="D61" s="1" t="s">
        <v>432</v>
      </c>
    </row>
    <row r="62" spans="2:18">
      <c r="D62" s="97" t="s">
        <v>433</v>
      </c>
    </row>
    <row r="63" spans="2:18">
      <c r="D63" s="98" t="s">
        <v>434</v>
      </c>
    </row>
    <row r="64" spans="2:18">
      <c r="D64" s="98" t="s">
        <v>435</v>
      </c>
    </row>
    <row r="65" spans="4:4">
      <c r="D65" s="98" t="s">
        <v>436</v>
      </c>
    </row>
    <row r="66" spans="4:4">
      <c r="D66" s="98" t="s">
        <v>437</v>
      </c>
    </row>
    <row r="67" spans="4:4">
      <c r="D67" s="98" t="s">
        <v>438</v>
      </c>
    </row>
    <row r="69" spans="4:4" ht="15">
      <c r="D69" s="99" t="s">
        <v>439</v>
      </c>
    </row>
  </sheetData>
  <mergeCells count="2">
    <mergeCell ref="C6:D6"/>
    <mergeCell ref="C7:D7"/>
  </mergeCells>
  <conditionalFormatting sqref="B13:B17">
    <cfRule type="colorScale" priority="10">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1">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85" priority="2">
      <formula>#REF!="Owned"</formula>
    </cfRule>
  </conditionalFormatting>
  <conditionalFormatting sqref="B28:B29 B26">
    <cfRule type="colorScale" priority="12">
      <colorScale>
        <cfvo type="min"/>
        <cfvo type="percentile" val="50"/>
        <cfvo type="max"/>
        <color rgb="FFF8696B"/>
        <color rgb="FFFCFCFF"/>
        <color rgb="FF63BE7B"/>
      </colorScale>
    </cfRule>
  </conditionalFormatting>
  <conditionalFormatting sqref="B30 B32">
    <cfRule type="colorScale" priority="5">
      <colorScale>
        <cfvo type="min"/>
        <cfvo type="percentile" val="50"/>
        <cfvo type="max"/>
        <color rgb="FFF8696B"/>
        <color rgb="FFFCFCFF"/>
        <color rgb="FF63BE7B"/>
      </colorScale>
    </cfRule>
  </conditionalFormatting>
  <conditionalFormatting sqref="B31">
    <cfRule type="colorScale" priority="1">
      <colorScale>
        <cfvo type="min"/>
        <cfvo type="percentile" val="50"/>
        <cfvo type="max"/>
        <color rgb="FFF8696B"/>
        <color rgb="FFFCFCFF"/>
        <color rgb="FF63BE7B"/>
      </colorScale>
    </cfRule>
  </conditionalFormatting>
  <conditionalFormatting sqref="B33:B35">
    <cfRule type="colorScale" priority="14">
      <colorScale>
        <cfvo type="min"/>
        <cfvo type="percentile" val="50"/>
        <cfvo type="max"/>
        <color rgb="FFF8696B"/>
        <color rgb="FFFCFCFF"/>
        <color rgb="FF63BE7B"/>
      </colorScale>
    </cfRule>
  </conditionalFormatting>
  <conditionalFormatting sqref="B36:B44">
    <cfRule type="colorScale" priority="13">
      <colorScale>
        <cfvo type="min"/>
        <cfvo type="percentile" val="50"/>
        <cfvo type="max"/>
        <color rgb="FFF8696B"/>
        <color rgb="FFFCFCFF"/>
        <color rgb="FF63BE7B"/>
      </colorScale>
    </cfRule>
  </conditionalFormatting>
  <conditionalFormatting sqref="B25:C26 C28:C30 C32">
    <cfRule type="expression" dxfId="84" priority="4">
      <formula>#REF!="Owned"</formula>
    </cfRule>
  </conditionalFormatting>
  <dataValidations count="1">
    <dataValidation type="list" allowBlank="1" showInputMessage="1" showErrorMessage="1" sqref="I6 E6" xr:uid="{A80FB5E1-1C59-44AF-9C9E-814309D6482F}">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75B43-AA8C-49C2-8002-1228003BBC23}">
  <sheetPr codeName="Feuil30">
    <tabColor rgb="FF00B050"/>
    <pageSetUpPr fitToPage="1"/>
  </sheetPr>
  <dimension ref="B1:R68"/>
  <sheetViews>
    <sheetView topLeftCell="A11" zoomScale="85" zoomScaleNormal="85" workbookViewId="0">
      <selection activeCell="E10" sqref="E10"/>
    </sheetView>
  </sheetViews>
  <sheetFormatPr baseColWidth="10" defaultColWidth="9.1640625" defaultRowHeight="13"/>
  <cols>
    <col min="1" max="1" width="19.5" style="139" customWidth="1"/>
    <col min="2" max="2" width="24.1640625" style="139" customWidth="1"/>
    <col min="3" max="3" width="23.1640625" style="139" customWidth="1"/>
    <col min="4" max="18" width="22.83203125" style="139" customWidth="1"/>
    <col min="19" max="16384" width="9.1640625" style="139"/>
  </cols>
  <sheetData>
    <row r="1" spans="2:18" ht="7.5" customHeight="1"/>
    <row r="2" spans="2:18">
      <c r="C2" s="508" t="s">
        <v>323</v>
      </c>
      <c r="D2" s="501">
        <v>46030</v>
      </c>
      <c r="E2" s="141"/>
      <c r="F2" s="142"/>
      <c r="G2" s="142"/>
      <c r="H2" s="142"/>
      <c r="I2" s="143"/>
    </row>
    <row r="4" spans="2:18">
      <c r="C4" s="140" t="s">
        <v>324</v>
      </c>
      <c r="D4" s="144" t="s">
        <v>202</v>
      </c>
      <c r="G4" s="145"/>
      <c r="H4" s="145"/>
      <c r="I4" s="146"/>
    </row>
    <row r="5" spans="2:18" ht="15.75" customHeight="1">
      <c r="C5" s="187"/>
    </row>
    <row r="6" spans="2:18" ht="26.25" customHeight="1">
      <c r="B6" s="139" t="s">
        <v>326</v>
      </c>
      <c r="C6" s="588" t="s">
        <v>327</v>
      </c>
      <c r="D6" s="588"/>
      <c r="E6" s="148" t="s">
        <v>328</v>
      </c>
      <c r="F6" s="149"/>
      <c r="G6" s="150"/>
      <c r="H6" s="150"/>
    </row>
    <row r="7" spans="2:18" ht="26.25" customHeight="1">
      <c r="B7" s="139" t="s">
        <v>326</v>
      </c>
      <c r="C7" s="588" t="s">
        <v>329</v>
      </c>
      <c r="D7" s="588"/>
      <c r="E7" s="148">
        <v>1</v>
      </c>
      <c r="F7" s="149"/>
      <c r="G7" s="150"/>
      <c r="H7" s="150"/>
    </row>
    <row r="8" spans="2:18" ht="24.5" customHeight="1"/>
    <row r="9" spans="2:18" ht="26" customHeight="1">
      <c r="C9" s="151" t="s">
        <v>330</v>
      </c>
      <c r="D9" s="152"/>
      <c r="E9" s="153"/>
      <c r="F9" s="153"/>
      <c r="G9" s="153"/>
      <c r="H9" s="153"/>
      <c r="I9" s="153"/>
      <c r="J9" s="153"/>
      <c r="K9" s="153"/>
      <c r="L9" s="153"/>
      <c r="M9" s="153"/>
      <c r="N9" s="153"/>
      <c r="O9" s="153"/>
      <c r="P9" s="153"/>
      <c r="Q9" s="153"/>
      <c r="R9" s="153"/>
    </row>
    <row r="10" spans="2:18" ht="30" customHeight="1">
      <c r="C10" s="154" t="s">
        <v>331</v>
      </c>
      <c r="D10" s="155" t="s">
        <v>1129</v>
      </c>
      <c r="E10" s="156" t="s">
        <v>504</v>
      </c>
      <c r="F10" s="156" t="s">
        <v>334</v>
      </c>
      <c r="G10" s="156" t="s">
        <v>335</v>
      </c>
      <c r="H10" s="156" t="s">
        <v>336</v>
      </c>
      <c r="I10" s="156" t="s">
        <v>337</v>
      </c>
      <c r="J10" s="156" t="s">
        <v>338</v>
      </c>
      <c r="K10" s="156" t="s">
        <v>339</v>
      </c>
      <c r="L10" s="156" t="s">
        <v>340</v>
      </c>
      <c r="M10" s="156" t="s">
        <v>341</v>
      </c>
      <c r="N10" s="156" t="s">
        <v>342</v>
      </c>
      <c r="O10" s="156" t="s">
        <v>343</v>
      </c>
      <c r="P10" s="156" t="s">
        <v>344</v>
      </c>
      <c r="Q10" s="156" t="s">
        <v>345</v>
      </c>
      <c r="R10" s="156" t="s">
        <v>346</v>
      </c>
    </row>
    <row r="11" spans="2:18" ht="30" customHeight="1">
      <c r="C11" s="157" t="s">
        <v>299</v>
      </c>
      <c r="D11" s="158" t="s">
        <v>1130</v>
      </c>
      <c r="E11" s="158"/>
      <c r="F11" s="156"/>
      <c r="G11" s="156"/>
      <c r="H11" s="156"/>
      <c r="I11" s="156"/>
      <c r="J11" s="156"/>
      <c r="K11" s="156"/>
      <c r="L11" s="156"/>
      <c r="M11" s="156"/>
      <c r="N11" s="156"/>
      <c r="O11" s="156"/>
      <c r="P11" s="156"/>
      <c r="Q11" s="156"/>
      <c r="R11" s="156"/>
    </row>
    <row r="12" spans="2:18" ht="30" customHeight="1">
      <c r="C12" s="159"/>
      <c r="D12" s="160"/>
      <c r="E12" s="160"/>
      <c r="F12" s="160"/>
      <c r="G12" s="160"/>
      <c r="H12" s="160"/>
      <c r="I12" s="160"/>
      <c r="J12" s="161"/>
      <c r="K12" s="161"/>
      <c r="L12" s="161"/>
      <c r="M12" s="161"/>
      <c r="N12" s="161"/>
      <c r="O12" s="161"/>
      <c r="P12" s="161"/>
      <c r="Q12" s="161"/>
      <c r="R12" s="161"/>
    </row>
    <row r="13" spans="2:18" ht="30" customHeight="1">
      <c r="B13" s="7" t="s">
        <v>348</v>
      </c>
      <c r="C13" s="8" t="s">
        <v>349</v>
      </c>
      <c r="D13" s="162" t="s">
        <v>1131</v>
      </c>
      <c r="E13" s="162"/>
      <c r="F13" s="162"/>
      <c r="G13" s="162"/>
      <c r="H13" s="162"/>
      <c r="I13" s="162"/>
      <c r="J13" s="162"/>
      <c r="K13" s="162"/>
      <c r="L13" s="162"/>
      <c r="M13" s="162"/>
      <c r="N13" s="162"/>
      <c r="O13" s="162"/>
      <c r="P13" s="162"/>
      <c r="Q13" s="162"/>
      <c r="R13" s="162"/>
    </row>
    <row r="14" spans="2:18" ht="30" customHeight="1">
      <c r="B14" s="7" t="s">
        <v>352</v>
      </c>
      <c r="C14" s="8" t="s">
        <v>297</v>
      </c>
      <c r="D14" s="162" t="s">
        <v>203</v>
      </c>
      <c r="E14" s="162"/>
      <c r="F14" s="162"/>
      <c r="G14" s="162"/>
      <c r="H14" s="162"/>
      <c r="I14" s="162"/>
      <c r="J14" s="162"/>
      <c r="K14" s="162"/>
      <c r="L14" s="162"/>
      <c r="M14" s="162"/>
      <c r="N14" s="162"/>
      <c r="O14" s="162"/>
      <c r="P14" s="162"/>
      <c r="Q14" s="162"/>
      <c r="R14" s="162"/>
    </row>
    <row r="15" spans="2:18" ht="30" customHeight="1">
      <c r="B15" s="7" t="s">
        <v>353</v>
      </c>
      <c r="C15" s="8" t="s">
        <v>354</v>
      </c>
      <c r="D15" s="162" t="s">
        <v>204</v>
      </c>
      <c r="E15" s="162"/>
      <c r="F15" s="162"/>
      <c r="G15" s="162"/>
      <c r="H15" s="162"/>
      <c r="I15" s="162"/>
      <c r="J15" s="162"/>
      <c r="K15" s="162"/>
      <c r="L15" s="162"/>
      <c r="M15" s="162"/>
      <c r="N15" s="162"/>
      <c r="O15" s="162"/>
      <c r="P15" s="162"/>
      <c r="Q15" s="162"/>
      <c r="R15" s="162"/>
    </row>
    <row r="16" spans="2:18" ht="30" customHeight="1">
      <c r="B16" s="7" t="s">
        <v>355</v>
      </c>
      <c r="C16" s="8" t="s">
        <v>356</v>
      </c>
      <c r="D16" s="249" t="s">
        <v>1132</v>
      </c>
      <c r="E16" s="249"/>
      <c r="F16" s="162"/>
      <c r="G16" s="162"/>
      <c r="H16" s="162"/>
      <c r="I16" s="162"/>
      <c r="J16" s="162"/>
      <c r="K16" s="162"/>
      <c r="L16" s="162"/>
      <c r="M16" s="162"/>
      <c r="N16" s="162"/>
      <c r="O16" s="162"/>
      <c r="P16" s="162"/>
      <c r="Q16" s="162"/>
      <c r="R16" s="162"/>
    </row>
    <row r="17" spans="2:18" ht="30" customHeight="1">
      <c r="B17" s="7" t="s">
        <v>357</v>
      </c>
      <c r="C17" s="8" t="s">
        <v>294</v>
      </c>
      <c r="D17" s="162" t="s">
        <v>202</v>
      </c>
      <c r="E17" s="162"/>
      <c r="F17" s="162"/>
      <c r="G17" s="162"/>
      <c r="H17" s="162"/>
      <c r="I17" s="162"/>
      <c r="J17" s="162"/>
      <c r="K17" s="162"/>
      <c r="L17" s="162"/>
      <c r="M17" s="162"/>
      <c r="N17" s="162"/>
      <c r="O17" s="162"/>
      <c r="P17" s="162"/>
      <c r="Q17" s="162"/>
      <c r="R17" s="162"/>
    </row>
    <row r="18" spans="2:18" ht="30" customHeight="1">
      <c r="B18" s="9" t="s">
        <v>358</v>
      </c>
      <c r="C18" s="10" t="s">
        <v>359</v>
      </c>
      <c r="D18" s="162" t="s">
        <v>360</v>
      </c>
      <c r="E18" s="162"/>
      <c r="F18" s="162"/>
      <c r="G18" s="162"/>
      <c r="H18" s="162"/>
      <c r="I18" s="162"/>
      <c r="J18" s="162"/>
      <c r="K18" s="162"/>
      <c r="L18" s="162"/>
      <c r="M18" s="162"/>
      <c r="N18" s="162"/>
      <c r="O18" s="162"/>
      <c r="P18" s="162"/>
      <c r="Q18" s="162"/>
      <c r="R18" s="162"/>
    </row>
    <row r="19" spans="2:18" ht="30" customHeight="1">
      <c r="B19" s="9" t="s">
        <v>361</v>
      </c>
      <c r="C19" s="10" t="s">
        <v>362</v>
      </c>
      <c r="D19" s="162" t="s">
        <v>328</v>
      </c>
      <c r="E19" s="162"/>
      <c r="F19" s="162"/>
      <c r="G19" s="162"/>
      <c r="H19" s="162"/>
      <c r="I19" s="162"/>
      <c r="J19" s="162"/>
      <c r="K19" s="162"/>
      <c r="L19" s="162"/>
      <c r="M19" s="162"/>
      <c r="N19" s="162"/>
      <c r="O19" s="162"/>
      <c r="P19" s="162"/>
      <c r="Q19" s="162"/>
      <c r="R19" s="162"/>
    </row>
    <row r="20" spans="2:18" ht="30" customHeight="1">
      <c r="B20" s="9" t="s">
        <v>363</v>
      </c>
      <c r="C20" s="10" t="s">
        <v>364</v>
      </c>
      <c r="D20" s="162" t="s">
        <v>328</v>
      </c>
      <c r="E20" s="162"/>
      <c r="F20" s="162"/>
      <c r="G20" s="162"/>
      <c r="H20" s="162"/>
      <c r="I20" s="162"/>
      <c r="J20" s="162"/>
      <c r="K20" s="162"/>
      <c r="L20" s="162"/>
      <c r="M20" s="162"/>
      <c r="N20" s="162"/>
      <c r="O20" s="162"/>
      <c r="P20" s="162"/>
      <c r="Q20" s="162"/>
      <c r="R20" s="162"/>
    </row>
    <row r="21" spans="2:18" ht="30" customHeight="1">
      <c r="B21" s="11" t="s">
        <v>365</v>
      </c>
      <c r="C21" s="12" t="s">
        <v>366</v>
      </c>
      <c r="D21" s="162" t="s">
        <v>1133</v>
      </c>
      <c r="E21" s="162"/>
      <c r="F21" s="162"/>
      <c r="G21" s="162"/>
      <c r="H21" s="162"/>
      <c r="I21" s="162"/>
      <c r="J21" s="162"/>
      <c r="K21" s="162"/>
      <c r="L21" s="162"/>
      <c r="M21" s="162"/>
      <c r="N21" s="162"/>
      <c r="O21" s="162"/>
      <c r="P21" s="162"/>
      <c r="Q21" s="162"/>
      <c r="R21" s="162"/>
    </row>
    <row r="22" spans="2:18" ht="30" customHeight="1">
      <c r="B22" s="11" t="s">
        <v>369</v>
      </c>
      <c r="C22" s="12" t="s">
        <v>370</v>
      </c>
      <c r="D22" s="162" t="s">
        <v>1134</v>
      </c>
      <c r="E22" s="162"/>
      <c r="F22" s="162"/>
      <c r="G22" s="162"/>
      <c r="H22" s="162"/>
      <c r="I22" s="162"/>
      <c r="J22" s="162"/>
      <c r="K22" s="162"/>
      <c r="L22" s="162"/>
      <c r="M22" s="162"/>
      <c r="N22" s="162"/>
      <c r="O22" s="162"/>
      <c r="P22" s="162"/>
      <c r="Q22" s="162"/>
      <c r="R22" s="162"/>
    </row>
    <row r="23" spans="2:18" ht="30" customHeight="1">
      <c r="B23" s="13" t="s">
        <v>372</v>
      </c>
      <c r="C23" s="14" t="s">
        <v>373</v>
      </c>
      <c r="D23" s="162" t="s">
        <v>374</v>
      </c>
      <c r="E23" s="162"/>
      <c r="F23" s="162"/>
      <c r="G23" s="162"/>
      <c r="H23" s="162"/>
      <c r="I23" s="162"/>
      <c r="J23" s="162"/>
      <c r="K23" s="162"/>
      <c r="L23" s="162"/>
      <c r="M23" s="162"/>
      <c r="N23" s="162"/>
      <c r="O23" s="162"/>
      <c r="P23" s="162"/>
      <c r="Q23" s="162"/>
      <c r="R23" s="162"/>
    </row>
    <row r="24" spans="2:18" ht="30" customHeight="1">
      <c r="B24" s="13" t="s">
        <v>375</v>
      </c>
      <c r="C24" s="14" t="s">
        <v>376</v>
      </c>
      <c r="D24" s="164">
        <v>990</v>
      </c>
      <c r="E24" s="164"/>
      <c r="F24" s="164"/>
      <c r="G24" s="164"/>
      <c r="H24" s="164"/>
      <c r="I24" s="164"/>
      <c r="J24" s="164"/>
      <c r="K24" s="164"/>
      <c r="L24" s="164"/>
      <c r="M24" s="164"/>
      <c r="N24" s="164"/>
      <c r="O24" s="164"/>
      <c r="P24" s="164"/>
      <c r="Q24" s="164"/>
      <c r="R24" s="164"/>
    </row>
    <row r="25" spans="2:18" ht="30" customHeight="1">
      <c r="B25" s="15" t="s">
        <v>377</v>
      </c>
      <c r="C25" s="16" t="s">
        <v>378</v>
      </c>
      <c r="D25" s="218">
        <v>11</v>
      </c>
      <c r="E25" s="218"/>
      <c r="F25" s="162"/>
      <c r="G25" s="162"/>
      <c r="H25" s="162"/>
      <c r="I25" s="162"/>
      <c r="J25" s="162"/>
      <c r="K25" s="162"/>
      <c r="L25" s="162"/>
      <c r="M25" s="162"/>
      <c r="N25" s="162"/>
      <c r="O25" s="162"/>
      <c r="P25" s="162"/>
      <c r="Q25" s="162"/>
      <c r="R25" s="162"/>
    </row>
    <row r="26" spans="2:18" ht="30" customHeight="1">
      <c r="B26" s="15" t="s">
        <v>380</v>
      </c>
      <c r="C26" s="16" t="s">
        <v>381</v>
      </c>
      <c r="D26" s="166" t="s">
        <v>1135</v>
      </c>
      <c r="E26" s="166"/>
      <c r="F26" s="164"/>
      <c r="G26" s="162"/>
      <c r="H26" s="162"/>
      <c r="I26" s="162"/>
      <c r="J26" s="162"/>
      <c r="K26" s="162"/>
      <c r="L26" s="162"/>
      <c r="M26" s="162"/>
      <c r="N26" s="162"/>
      <c r="O26" s="162"/>
      <c r="P26" s="162"/>
      <c r="Q26" s="162"/>
      <c r="R26" s="162"/>
    </row>
    <row r="27" spans="2:18" ht="30" customHeight="1">
      <c r="B27" s="15"/>
      <c r="C27" s="167" t="s">
        <v>383</v>
      </c>
      <c r="D27" s="534">
        <f>D28*D24</f>
        <v>349430.39999999997</v>
      </c>
      <c r="E27" s="166"/>
      <c r="F27" s="164"/>
      <c r="G27" s="162"/>
      <c r="H27" s="162"/>
      <c r="I27" s="162"/>
      <c r="J27" s="162"/>
      <c r="K27" s="162"/>
      <c r="L27" s="162"/>
      <c r="M27" s="162"/>
      <c r="N27" s="162"/>
      <c r="O27" s="162"/>
      <c r="P27" s="162"/>
      <c r="Q27" s="162"/>
      <c r="R27" s="162"/>
    </row>
    <row r="28" spans="2:18" ht="30" customHeight="1">
      <c r="B28" s="15" t="s">
        <v>384</v>
      </c>
      <c r="C28" s="16" t="s">
        <v>385</v>
      </c>
      <c r="D28" s="166">
        <v>352.96</v>
      </c>
      <c r="E28" s="166"/>
      <c r="F28" s="164"/>
      <c r="G28" s="162"/>
      <c r="H28" s="162"/>
      <c r="I28" s="162"/>
      <c r="J28" s="162"/>
      <c r="K28" s="162"/>
      <c r="L28" s="162"/>
      <c r="M28" s="162"/>
      <c r="N28" s="162"/>
      <c r="O28" s="162"/>
      <c r="P28" s="162"/>
      <c r="Q28" s="162"/>
      <c r="R28" s="162"/>
    </row>
    <row r="29" spans="2:18" ht="30" customHeight="1">
      <c r="B29" s="15" t="s">
        <v>387</v>
      </c>
      <c r="C29" s="16" t="s">
        <v>388</v>
      </c>
      <c r="D29" s="166" t="s">
        <v>1136</v>
      </c>
      <c r="E29" s="166"/>
      <c r="F29" s="164"/>
      <c r="G29" s="162"/>
      <c r="H29" s="162"/>
      <c r="I29" s="162"/>
      <c r="J29" s="162"/>
      <c r="K29" s="162"/>
      <c r="L29" s="162"/>
      <c r="M29" s="162"/>
      <c r="N29" s="162"/>
      <c r="O29" s="162"/>
      <c r="P29" s="162"/>
      <c r="Q29" s="162"/>
      <c r="R29" s="162"/>
    </row>
    <row r="30" spans="2:18" ht="44.25" customHeight="1">
      <c r="B30" s="13" t="s">
        <v>390</v>
      </c>
      <c r="C30" s="17" t="s">
        <v>391</v>
      </c>
      <c r="D30" s="250">
        <f>278154/D24</f>
        <v>280.96363636363634</v>
      </c>
      <c r="E30" s="162"/>
      <c r="F30" s="162"/>
      <c r="G30" s="162"/>
      <c r="H30" s="162"/>
      <c r="I30" s="162"/>
      <c r="J30" s="162"/>
      <c r="K30" s="162"/>
      <c r="L30" s="162"/>
      <c r="M30" s="162"/>
      <c r="N30" s="162"/>
      <c r="O30" s="162"/>
      <c r="P30" s="162"/>
      <c r="Q30" s="162"/>
      <c r="R30" s="162"/>
    </row>
    <row r="31" spans="2:18" ht="30" customHeight="1">
      <c r="B31" s="13"/>
      <c r="C31" s="167" t="s">
        <v>393</v>
      </c>
      <c r="D31" s="250">
        <f>D30*D24</f>
        <v>278154</v>
      </c>
      <c r="E31" s="162"/>
      <c r="F31" s="162"/>
      <c r="G31" s="162"/>
      <c r="H31" s="162"/>
      <c r="I31" s="162"/>
      <c r="J31" s="162"/>
      <c r="K31" s="162"/>
      <c r="L31" s="162"/>
      <c r="M31" s="162"/>
      <c r="N31" s="162"/>
      <c r="O31" s="162"/>
      <c r="P31" s="162"/>
      <c r="Q31" s="162"/>
      <c r="R31" s="162"/>
    </row>
    <row r="32" spans="2:18" ht="30" customHeight="1">
      <c r="B32" s="13" t="s">
        <v>394</v>
      </c>
      <c r="C32" s="17" t="s">
        <v>395</v>
      </c>
      <c r="D32" s="162" t="s">
        <v>1137</v>
      </c>
      <c r="E32" s="162"/>
      <c r="F32" s="162"/>
      <c r="G32" s="162"/>
      <c r="H32" s="162"/>
      <c r="I32" s="162"/>
      <c r="J32" s="162"/>
      <c r="K32" s="162"/>
      <c r="L32" s="162"/>
      <c r="M32" s="162"/>
      <c r="N32" s="162"/>
      <c r="O32" s="162"/>
      <c r="P32" s="162"/>
      <c r="Q32" s="162"/>
      <c r="R32" s="162"/>
    </row>
    <row r="33" spans="2:18" ht="30" customHeight="1">
      <c r="B33" s="18" t="s">
        <v>397</v>
      </c>
      <c r="C33" s="19" t="s">
        <v>313</v>
      </c>
      <c r="D33" s="170">
        <v>42583</v>
      </c>
      <c r="E33" s="170"/>
      <c r="F33" s="170"/>
      <c r="G33" s="170"/>
      <c r="H33" s="170"/>
      <c r="I33" s="170"/>
      <c r="J33" s="162"/>
      <c r="K33" s="162"/>
      <c r="L33" s="162"/>
      <c r="M33" s="162"/>
      <c r="N33" s="162"/>
      <c r="O33" s="162"/>
      <c r="P33" s="162"/>
      <c r="Q33" s="162"/>
      <c r="R33" s="162"/>
    </row>
    <row r="34" spans="2:18" ht="30" customHeight="1">
      <c r="B34" s="20" t="s">
        <v>398</v>
      </c>
      <c r="C34" s="19" t="s">
        <v>315</v>
      </c>
      <c r="D34" s="170">
        <v>45870</v>
      </c>
      <c r="E34" s="170"/>
      <c r="F34" s="170"/>
      <c r="G34" s="170"/>
      <c r="H34" s="170"/>
      <c r="I34" s="170"/>
      <c r="J34" s="162"/>
      <c r="K34" s="162"/>
      <c r="L34" s="162"/>
      <c r="M34" s="162"/>
      <c r="N34" s="162"/>
      <c r="O34" s="162"/>
      <c r="P34" s="162"/>
      <c r="Q34" s="162"/>
      <c r="R34" s="162"/>
    </row>
    <row r="35" spans="2:18" ht="30" customHeight="1">
      <c r="B35" s="20" t="s">
        <v>399</v>
      </c>
      <c r="C35" s="19" t="s">
        <v>400</v>
      </c>
      <c r="D35" s="170">
        <v>45689</v>
      </c>
      <c r="E35" s="162"/>
      <c r="F35" s="162"/>
      <c r="G35" s="162"/>
      <c r="H35" s="162"/>
      <c r="I35" s="162"/>
      <c r="J35" s="162"/>
      <c r="K35" s="162"/>
      <c r="L35" s="162"/>
      <c r="M35" s="162"/>
      <c r="N35" s="162"/>
      <c r="O35" s="162"/>
      <c r="P35" s="162"/>
      <c r="Q35" s="162"/>
      <c r="R35" s="162"/>
    </row>
    <row r="36" spans="2:18" ht="30" customHeight="1">
      <c r="B36" s="20" t="s">
        <v>402</v>
      </c>
      <c r="C36" s="21" t="s">
        <v>403</v>
      </c>
      <c r="D36" s="172" t="s">
        <v>328</v>
      </c>
      <c r="E36" s="172"/>
      <c r="F36" s="173"/>
      <c r="G36" s="173"/>
      <c r="H36" s="173"/>
      <c r="I36" s="173"/>
      <c r="J36" s="162"/>
      <c r="K36" s="162"/>
      <c r="L36" s="162"/>
      <c r="M36" s="162"/>
      <c r="N36" s="162"/>
      <c r="O36" s="162"/>
      <c r="P36" s="162"/>
      <c r="Q36" s="162"/>
      <c r="R36" s="162"/>
    </row>
    <row r="37" spans="2:18" ht="30" customHeight="1">
      <c r="B37" s="20" t="s">
        <v>404</v>
      </c>
      <c r="C37" s="21" t="s">
        <v>405</v>
      </c>
      <c r="D37" s="172" t="s">
        <v>636</v>
      </c>
      <c r="E37" s="172"/>
      <c r="F37" s="173"/>
      <c r="G37" s="173"/>
      <c r="H37" s="173"/>
      <c r="I37" s="173"/>
      <c r="J37" s="162"/>
      <c r="K37" s="162"/>
      <c r="L37" s="162"/>
      <c r="M37" s="162"/>
      <c r="N37" s="162"/>
      <c r="O37" s="162"/>
      <c r="P37" s="162"/>
      <c r="Q37" s="162"/>
      <c r="R37" s="162"/>
    </row>
    <row r="38" spans="2:18" ht="30" customHeight="1">
      <c r="B38" s="20" t="s">
        <v>406</v>
      </c>
      <c r="C38" s="21" t="s">
        <v>407</v>
      </c>
      <c r="D38" s="172" t="s">
        <v>414</v>
      </c>
      <c r="E38" s="172"/>
      <c r="F38" s="173"/>
      <c r="G38" s="173"/>
      <c r="H38" s="173"/>
      <c r="I38" s="173"/>
      <c r="J38" s="162"/>
      <c r="K38" s="162"/>
      <c r="L38" s="162"/>
      <c r="M38" s="162"/>
      <c r="N38" s="162"/>
      <c r="O38" s="162"/>
      <c r="P38" s="162"/>
      <c r="Q38" s="162"/>
      <c r="R38" s="162"/>
    </row>
    <row r="39" spans="2:18" ht="30" customHeight="1">
      <c r="B39" s="20" t="s">
        <v>408</v>
      </c>
      <c r="C39" s="21" t="s">
        <v>409</v>
      </c>
      <c r="D39" s="219">
        <v>6</v>
      </c>
      <c r="E39" s="219"/>
      <c r="F39" s="174"/>
      <c r="G39" s="173"/>
      <c r="H39" s="173"/>
      <c r="I39" s="173"/>
      <c r="J39" s="162"/>
      <c r="K39" s="162"/>
      <c r="L39" s="162"/>
      <c r="M39" s="162"/>
      <c r="N39" s="162"/>
      <c r="O39" s="162"/>
      <c r="P39" s="162"/>
      <c r="Q39" s="162"/>
      <c r="R39" s="162"/>
    </row>
    <row r="40" spans="2:18" ht="30" customHeight="1">
      <c r="B40" s="20" t="s">
        <v>411</v>
      </c>
      <c r="C40" s="21" t="s">
        <v>314</v>
      </c>
      <c r="D40" s="173">
        <v>47695</v>
      </c>
      <c r="E40" s="172"/>
      <c r="F40" s="173"/>
      <c r="G40" s="173"/>
      <c r="H40" s="173"/>
      <c r="I40" s="173"/>
      <c r="J40" s="162"/>
      <c r="K40" s="162"/>
      <c r="L40" s="162"/>
      <c r="M40" s="162"/>
      <c r="N40" s="162"/>
      <c r="O40" s="162"/>
      <c r="P40" s="162"/>
      <c r="Q40" s="162"/>
      <c r="R40" s="162"/>
    </row>
    <row r="41" spans="2:18" ht="30" customHeight="1">
      <c r="B41" s="22" t="s">
        <v>412</v>
      </c>
      <c r="C41" s="23" t="s">
        <v>413</v>
      </c>
      <c r="D41" s="172" t="s">
        <v>1138</v>
      </c>
      <c r="E41" s="172"/>
      <c r="F41" s="172"/>
      <c r="G41" s="172"/>
      <c r="H41" s="172"/>
      <c r="I41" s="172"/>
      <c r="J41" s="172"/>
      <c r="K41" s="172"/>
      <c r="L41" s="172"/>
      <c r="M41" s="172"/>
      <c r="N41" s="172"/>
      <c r="O41" s="172"/>
      <c r="P41" s="172"/>
      <c r="Q41" s="172"/>
      <c r="R41" s="172"/>
    </row>
    <row r="42" spans="2:18" ht="30" customHeight="1">
      <c r="B42" s="24" t="s">
        <v>457</v>
      </c>
      <c r="C42" s="23" t="s">
        <v>458</v>
      </c>
      <c r="D42" s="174" t="s">
        <v>414</v>
      </c>
      <c r="E42" s="174"/>
      <c r="F42" s="174"/>
      <c r="G42" s="174"/>
      <c r="H42" s="174"/>
      <c r="I42" s="174"/>
      <c r="J42" s="174"/>
      <c r="K42" s="174"/>
      <c r="L42" s="174"/>
      <c r="M42" s="174"/>
      <c r="N42" s="174"/>
      <c r="O42" s="174"/>
      <c r="P42" s="174"/>
      <c r="Q42" s="174"/>
      <c r="R42" s="174"/>
    </row>
    <row r="43" spans="2:18" ht="30" customHeight="1">
      <c r="B43" s="25" t="s">
        <v>418</v>
      </c>
      <c r="C43" s="26" t="s">
        <v>419</v>
      </c>
      <c r="D43" s="162" t="s">
        <v>414</v>
      </c>
      <c r="E43" s="162"/>
      <c r="F43" s="162"/>
      <c r="G43" s="162"/>
      <c r="H43" s="162"/>
      <c r="I43" s="162"/>
      <c r="J43" s="162"/>
      <c r="K43" s="162"/>
      <c r="L43" s="162"/>
      <c r="M43" s="162"/>
      <c r="N43" s="162"/>
      <c r="O43" s="162"/>
      <c r="P43" s="162"/>
      <c r="Q43" s="162"/>
      <c r="R43" s="162"/>
    </row>
    <row r="44" spans="2:18" ht="30" customHeight="1">
      <c r="B44" s="25" t="s">
        <v>420</v>
      </c>
      <c r="C44" s="26" t="s">
        <v>421</v>
      </c>
      <c r="D44" s="162" t="s">
        <v>328</v>
      </c>
      <c r="E44" s="162"/>
      <c r="F44" s="162"/>
      <c r="G44" s="162"/>
      <c r="H44" s="162"/>
      <c r="I44" s="162"/>
      <c r="J44" s="162"/>
      <c r="K44" s="162"/>
      <c r="L44" s="162"/>
      <c r="M44" s="162"/>
      <c r="N44" s="162"/>
      <c r="O44" s="162"/>
      <c r="P44" s="162"/>
      <c r="Q44" s="162"/>
      <c r="R44" s="162"/>
    </row>
    <row r="45" spans="2:18" ht="30" customHeight="1">
      <c r="B45" s="175"/>
      <c r="C45" s="175"/>
      <c r="D45" s="175"/>
      <c r="E45" s="175"/>
      <c r="F45" s="175"/>
      <c r="G45" s="175"/>
      <c r="H45" s="175"/>
      <c r="I45" s="175"/>
      <c r="J45" s="175"/>
      <c r="K45" s="175"/>
      <c r="L45" s="175"/>
      <c r="M45" s="175"/>
      <c r="N45" s="175"/>
      <c r="O45" s="175"/>
      <c r="P45" s="175"/>
      <c r="Q45" s="175"/>
      <c r="R45" s="175"/>
    </row>
    <row r="46" spans="2:18" ht="30" customHeight="1">
      <c r="B46" s="175"/>
      <c r="C46" s="176" t="s">
        <v>423</v>
      </c>
      <c r="D46" s="162">
        <f>70+15+3</f>
        <v>88</v>
      </c>
      <c r="E46" s="162"/>
      <c r="F46" s="162"/>
      <c r="G46" s="162"/>
      <c r="H46" s="162"/>
      <c r="I46" s="162"/>
      <c r="J46" s="162"/>
      <c r="K46" s="162"/>
      <c r="L46" s="162"/>
      <c r="M46" s="162"/>
      <c r="N46" s="162"/>
      <c r="O46" s="162"/>
      <c r="P46" s="162"/>
      <c r="Q46" s="162"/>
      <c r="R46" s="162"/>
    </row>
    <row r="47" spans="2:18" ht="30" customHeight="1">
      <c r="B47" s="175"/>
      <c r="C47" s="177" t="s">
        <v>424</v>
      </c>
      <c r="D47" s="162"/>
      <c r="E47" s="162"/>
      <c r="F47" s="162"/>
      <c r="G47" s="162"/>
      <c r="H47" s="162"/>
      <c r="I47" s="162"/>
      <c r="J47" s="162"/>
      <c r="K47" s="162"/>
      <c r="L47" s="162"/>
      <c r="M47" s="162"/>
      <c r="N47" s="162"/>
      <c r="O47" s="162"/>
      <c r="P47" s="162"/>
      <c r="Q47" s="162"/>
      <c r="R47" s="162"/>
    </row>
    <row r="48" spans="2:18" ht="30" customHeight="1">
      <c r="B48" s="175"/>
      <c r="C48" s="177" t="s">
        <v>425</v>
      </c>
      <c r="D48" s="162"/>
      <c r="E48" s="162"/>
      <c r="F48" s="162"/>
      <c r="G48" s="162"/>
      <c r="H48" s="162"/>
      <c r="I48" s="162"/>
      <c r="J48" s="162"/>
      <c r="K48" s="162"/>
      <c r="L48" s="162"/>
      <c r="M48" s="162"/>
      <c r="N48" s="162"/>
      <c r="O48" s="162"/>
      <c r="P48" s="162"/>
      <c r="Q48" s="162"/>
      <c r="R48" s="162"/>
    </row>
    <row r="49" spans="2:18" ht="30" customHeight="1">
      <c r="B49" s="175"/>
      <c r="C49" s="178"/>
      <c r="D49" s="179"/>
      <c r="E49" s="179"/>
      <c r="F49" s="179"/>
      <c r="G49" s="179"/>
      <c r="H49" s="179"/>
      <c r="I49" s="179"/>
      <c r="J49" s="179"/>
      <c r="K49" s="179"/>
      <c r="L49" s="179"/>
      <c r="M49" s="179"/>
      <c r="N49" s="179"/>
      <c r="O49" s="179"/>
      <c r="P49" s="179"/>
      <c r="Q49" s="179"/>
      <c r="R49" s="179"/>
    </row>
    <row r="50" spans="2:18" ht="30" customHeight="1">
      <c r="B50" s="175"/>
      <c r="C50" s="176" t="s">
        <v>426</v>
      </c>
      <c r="D50" s="162">
        <v>98</v>
      </c>
      <c r="E50" s="162"/>
      <c r="F50" s="162"/>
      <c r="G50" s="162"/>
      <c r="H50" s="162"/>
      <c r="I50" s="162"/>
      <c r="J50" s="162"/>
      <c r="K50" s="162"/>
      <c r="L50" s="162"/>
      <c r="M50" s="162"/>
      <c r="N50" s="162"/>
      <c r="O50" s="162"/>
      <c r="P50" s="162"/>
      <c r="Q50" s="162"/>
      <c r="R50" s="162"/>
    </row>
    <row r="51" spans="2:18" ht="30" customHeight="1">
      <c r="B51" s="175"/>
      <c r="C51" s="177" t="s">
        <v>424</v>
      </c>
      <c r="D51" s="162"/>
      <c r="E51" s="162"/>
      <c r="F51" s="162"/>
      <c r="G51" s="162"/>
      <c r="H51" s="162"/>
      <c r="I51" s="162"/>
      <c r="J51" s="162"/>
      <c r="K51" s="162"/>
      <c r="L51" s="162"/>
      <c r="M51" s="162"/>
      <c r="N51" s="162"/>
      <c r="O51" s="162"/>
      <c r="P51" s="162"/>
      <c r="Q51" s="162"/>
      <c r="R51" s="162"/>
    </row>
    <row r="52" spans="2:18" ht="30" customHeight="1">
      <c r="B52" s="175"/>
      <c r="C52" s="177" t="s">
        <v>425</v>
      </c>
      <c r="D52" s="162"/>
      <c r="E52" s="162"/>
      <c r="F52" s="162"/>
      <c r="G52" s="162"/>
      <c r="H52" s="162"/>
      <c r="I52" s="162"/>
      <c r="J52" s="162"/>
      <c r="K52" s="162"/>
      <c r="L52" s="162"/>
      <c r="M52" s="162"/>
      <c r="N52" s="162"/>
      <c r="O52" s="162"/>
      <c r="P52" s="162"/>
      <c r="Q52" s="162"/>
      <c r="R52" s="162"/>
    </row>
    <row r="53" spans="2:18" ht="30" customHeight="1">
      <c r="B53" s="175"/>
      <c r="C53" s="180"/>
      <c r="D53" s="179"/>
      <c r="E53" s="179"/>
      <c r="F53" s="179"/>
      <c r="G53" s="179"/>
      <c r="H53" s="179"/>
      <c r="I53" s="179"/>
      <c r="J53" s="179"/>
      <c r="K53" s="179"/>
      <c r="L53" s="179"/>
      <c r="M53" s="179"/>
      <c r="N53" s="179"/>
      <c r="O53" s="179"/>
      <c r="P53" s="179"/>
      <c r="Q53" s="179"/>
      <c r="R53" s="179"/>
    </row>
    <row r="54" spans="2:18" ht="30" customHeight="1">
      <c r="B54" s="175"/>
      <c r="C54" s="76" t="s">
        <v>427</v>
      </c>
      <c r="D54" s="162" t="s">
        <v>328</v>
      </c>
      <c r="E54" s="162"/>
      <c r="F54" s="162"/>
      <c r="G54" s="162"/>
      <c r="H54" s="162"/>
      <c r="I54" s="162"/>
      <c r="J54" s="162"/>
      <c r="K54" s="162"/>
      <c r="L54" s="162"/>
      <c r="M54" s="162"/>
      <c r="N54" s="162"/>
      <c r="O54" s="162"/>
      <c r="P54" s="162"/>
      <c r="Q54" s="162"/>
      <c r="R54" s="162"/>
    </row>
    <row r="55" spans="2:18" ht="30" customHeight="1">
      <c r="B55" s="175"/>
      <c r="C55" s="176" t="s">
        <v>428</v>
      </c>
      <c r="D55" s="162">
        <v>1</v>
      </c>
      <c r="E55" s="162"/>
      <c r="F55" s="162"/>
      <c r="G55" s="162"/>
      <c r="H55" s="162"/>
      <c r="I55" s="162"/>
      <c r="J55" s="162"/>
      <c r="K55" s="162"/>
      <c r="L55" s="162"/>
      <c r="M55" s="162"/>
      <c r="N55" s="162"/>
      <c r="O55" s="162"/>
      <c r="P55" s="162"/>
      <c r="Q55" s="162"/>
      <c r="R55" s="162"/>
    </row>
    <row r="56" spans="2:18" ht="30" customHeight="1">
      <c r="B56" s="175"/>
      <c r="C56" s="176" t="s">
        <v>429</v>
      </c>
      <c r="D56" s="162">
        <v>1</v>
      </c>
      <c r="E56" s="162"/>
      <c r="F56" s="162"/>
      <c r="G56" s="162"/>
      <c r="H56" s="162"/>
      <c r="I56" s="162"/>
      <c r="J56" s="162"/>
      <c r="K56" s="162"/>
      <c r="L56" s="162"/>
      <c r="M56" s="162"/>
      <c r="N56" s="162"/>
      <c r="O56" s="162"/>
      <c r="P56" s="162"/>
      <c r="Q56" s="162"/>
      <c r="R56" s="162"/>
    </row>
    <row r="57" spans="2:18" ht="30" customHeight="1">
      <c r="C57" s="181" t="s">
        <v>430</v>
      </c>
      <c r="D57" s="153"/>
      <c r="E57" s="153"/>
      <c r="F57" s="153"/>
      <c r="G57" s="153"/>
      <c r="H57" s="153"/>
      <c r="I57" s="153"/>
      <c r="J57" s="153"/>
      <c r="K57" s="153"/>
      <c r="L57" s="153"/>
      <c r="M57" s="153"/>
      <c r="N57" s="153"/>
      <c r="O57" s="153"/>
      <c r="P57" s="153"/>
      <c r="Q57" s="153"/>
      <c r="R57" s="153"/>
    </row>
    <row r="58" spans="2:18" ht="30" customHeight="1">
      <c r="C58" s="181" t="s">
        <v>431</v>
      </c>
      <c r="D58" s="153"/>
      <c r="E58" s="153"/>
      <c r="F58" s="153"/>
      <c r="G58" s="153"/>
      <c r="H58" s="153"/>
      <c r="I58" s="153"/>
      <c r="J58" s="153"/>
      <c r="K58" s="153"/>
      <c r="L58" s="153"/>
      <c r="M58" s="153"/>
      <c r="N58" s="153"/>
      <c r="O58" s="153"/>
      <c r="P58" s="153"/>
      <c r="Q58" s="153"/>
      <c r="R58" s="153"/>
    </row>
    <row r="59" spans="2:18">
      <c r="C59" s="182"/>
    </row>
    <row r="60" spans="2:18" ht="15">
      <c r="D60" s="139" t="s">
        <v>432</v>
      </c>
    </row>
    <row r="61" spans="2:18">
      <c r="D61" s="183" t="s">
        <v>433</v>
      </c>
    </row>
    <row r="62" spans="2:18">
      <c r="D62" s="184" t="s">
        <v>434</v>
      </c>
    </row>
    <row r="63" spans="2:18">
      <c r="D63" s="184" t="s">
        <v>435</v>
      </c>
    </row>
    <row r="64" spans="2:18">
      <c r="D64" s="184" t="s">
        <v>436</v>
      </c>
    </row>
    <row r="65" spans="4:4">
      <c r="D65" s="184" t="s">
        <v>437</v>
      </c>
    </row>
    <row r="66" spans="4:4">
      <c r="D66" s="184" t="s">
        <v>438</v>
      </c>
    </row>
    <row r="68" spans="4:4" ht="15">
      <c r="D68" s="185" t="s">
        <v>439</v>
      </c>
    </row>
  </sheetData>
  <mergeCells count="2">
    <mergeCell ref="C6:D6"/>
    <mergeCell ref="C7:D7"/>
  </mergeCells>
  <phoneticPr fontId="8" type="noConversion"/>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83"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26 C28:C30 C32">
    <cfRule type="expression" dxfId="82" priority="1">
      <formula>#REF!="Owned"</formula>
    </cfRule>
  </conditionalFormatting>
  <dataValidations count="1">
    <dataValidation type="list" allowBlank="1" showInputMessage="1" showErrorMessage="1" sqref="E6" xr:uid="{5447BF91-33E6-4273-A2FA-FCB994351AC6}">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B2763-B418-4CE8-A806-18E713D3BBC9}">
  <sheetPr codeName="Feuil31">
    <tabColor rgb="FF00B050"/>
  </sheetPr>
  <dimension ref="B2:M58"/>
  <sheetViews>
    <sheetView zoomScale="70" zoomScaleNormal="70" workbookViewId="0">
      <selection activeCell="F50" sqref="F50"/>
    </sheetView>
  </sheetViews>
  <sheetFormatPr baseColWidth="10" defaultColWidth="11.5" defaultRowHeight="13"/>
  <cols>
    <col min="3" max="13" width="22.83203125" customWidth="1"/>
  </cols>
  <sheetData>
    <row r="2" spans="2:13">
      <c r="C2" s="504" t="s">
        <v>323</v>
      </c>
      <c r="D2" s="502" t="s">
        <v>459</v>
      </c>
      <c r="E2" s="1"/>
      <c r="F2" s="3"/>
      <c r="G2" s="3"/>
      <c r="H2" s="3"/>
      <c r="I2" s="4"/>
      <c r="J2" s="1"/>
      <c r="K2" s="1"/>
      <c r="L2" s="1"/>
      <c r="M2" s="1"/>
    </row>
    <row r="3" spans="2:13">
      <c r="C3" s="1"/>
      <c r="D3" s="1"/>
      <c r="E3" s="1"/>
      <c r="F3" s="1"/>
      <c r="G3" s="1"/>
      <c r="H3" s="1"/>
      <c r="I3" s="1"/>
      <c r="J3" s="1"/>
      <c r="K3" s="1"/>
      <c r="L3" s="1"/>
      <c r="M3" s="1"/>
    </row>
    <row r="4" spans="2:13">
      <c r="C4" s="33" t="s">
        <v>324</v>
      </c>
      <c r="D4" s="258" t="s">
        <v>256</v>
      </c>
      <c r="E4" s="258" t="s">
        <v>256</v>
      </c>
      <c r="I4" s="5"/>
      <c r="J4" s="1"/>
      <c r="K4" s="1"/>
      <c r="L4" s="1"/>
      <c r="M4" s="1"/>
    </row>
    <row r="5" spans="2:13">
      <c r="C5" s="35"/>
      <c r="E5" s="1"/>
      <c r="F5" s="1"/>
      <c r="G5" s="1"/>
      <c r="H5" s="1"/>
      <c r="I5" s="1"/>
      <c r="J5" s="1"/>
      <c r="K5" s="1"/>
      <c r="L5" s="1"/>
      <c r="M5" s="1"/>
    </row>
    <row r="6" spans="2:13">
      <c r="C6" s="589" t="s">
        <v>327</v>
      </c>
      <c r="D6" s="591"/>
      <c r="E6" s="6" t="s">
        <v>414</v>
      </c>
      <c r="F6" s="124"/>
      <c r="G6" s="124"/>
      <c r="H6" s="124"/>
      <c r="J6" s="1"/>
      <c r="K6" s="1"/>
      <c r="L6" s="1"/>
      <c r="M6" s="1"/>
    </row>
    <row r="7" spans="2:13">
      <c r="C7" s="589" t="s">
        <v>329</v>
      </c>
      <c r="D7" s="591"/>
      <c r="E7" s="6">
        <v>23</v>
      </c>
      <c r="F7" s="124"/>
      <c r="G7" s="124"/>
      <c r="H7" s="124"/>
      <c r="J7" s="1"/>
      <c r="K7" s="1"/>
      <c r="L7" s="1"/>
      <c r="M7" s="1"/>
    </row>
    <row r="8" spans="2:13">
      <c r="C8" s="68"/>
      <c r="D8" s="68"/>
      <c r="E8" s="68"/>
      <c r="F8" s="68"/>
      <c r="G8" s="68"/>
      <c r="H8" s="68"/>
      <c r="I8" s="42"/>
      <c r="J8" s="1"/>
      <c r="K8" s="1"/>
      <c r="L8" s="1"/>
      <c r="M8" s="1"/>
    </row>
    <row r="9" spans="2:13">
      <c r="C9" s="69" t="s">
        <v>441</v>
      </c>
      <c r="D9" s="74" t="s">
        <v>1139</v>
      </c>
      <c r="E9" s="74" t="s">
        <v>1139</v>
      </c>
      <c r="F9" s="67"/>
      <c r="G9" s="67"/>
      <c r="H9" s="67"/>
      <c r="I9" s="67"/>
      <c r="J9" s="67"/>
      <c r="K9" s="67"/>
      <c r="L9" s="67"/>
      <c r="M9" s="67"/>
    </row>
    <row r="10" spans="2:13" ht="14">
      <c r="C10" s="70" t="s">
        <v>331</v>
      </c>
      <c r="D10" s="417" t="s">
        <v>1140</v>
      </c>
      <c r="E10" s="417" t="s">
        <v>1141</v>
      </c>
      <c r="F10" s="84" t="s">
        <v>463</v>
      </c>
      <c r="G10" s="84" t="s">
        <v>464</v>
      </c>
      <c r="H10" s="84" t="s">
        <v>465</v>
      </c>
      <c r="I10" s="84" t="s">
        <v>466</v>
      </c>
      <c r="J10" s="84" t="s">
        <v>467</v>
      </c>
      <c r="K10" s="84" t="s">
        <v>468</v>
      </c>
      <c r="L10" s="84" t="s">
        <v>469</v>
      </c>
      <c r="M10" s="84" t="s">
        <v>470</v>
      </c>
    </row>
    <row r="11" spans="2:13" ht="14">
      <c r="C11" s="104" t="s">
        <v>299</v>
      </c>
      <c r="D11" s="417" t="s">
        <v>1142</v>
      </c>
      <c r="E11" s="417" t="s">
        <v>1142</v>
      </c>
      <c r="F11" s="84"/>
      <c r="G11" s="84"/>
      <c r="H11" s="84"/>
      <c r="I11" s="84"/>
      <c r="J11" s="84"/>
      <c r="K11" s="84"/>
      <c r="L11" s="84"/>
      <c r="M11" s="84"/>
    </row>
    <row r="12" spans="2:13" ht="14">
      <c r="C12" s="32"/>
      <c r="D12" s="418"/>
      <c r="E12" s="418"/>
      <c r="F12" s="44"/>
      <c r="G12" s="44"/>
      <c r="H12" s="45"/>
      <c r="I12" s="46"/>
      <c r="J12" s="44"/>
      <c r="K12" s="47"/>
      <c r="L12" s="48"/>
      <c r="M12" s="44"/>
    </row>
    <row r="13" spans="2:13" ht="48">
      <c r="B13" s="7" t="s">
        <v>348</v>
      </c>
      <c r="C13" s="398" t="s">
        <v>349</v>
      </c>
      <c r="D13" s="422" t="s">
        <v>1143</v>
      </c>
      <c r="E13" s="422" t="s">
        <v>1144</v>
      </c>
      <c r="F13" s="71"/>
      <c r="G13" s="71"/>
      <c r="H13" s="71"/>
      <c r="I13" s="71"/>
      <c r="J13" s="71"/>
      <c r="K13" s="71"/>
      <c r="L13" s="71"/>
      <c r="M13" s="71"/>
    </row>
    <row r="14" spans="2:13" ht="56">
      <c r="B14" s="7" t="s">
        <v>352</v>
      </c>
      <c r="C14" s="398" t="s">
        <v>297</v>
      </c>
      <c r="D14" s="422" t="s">
        <v>278</v>
      </c>
      <c r="E14" s="422" t="s">
        <v>278</v>
      </c>
      <c r="F14" s="71"/>
      <c r="G14" s="71"/>
      <c r="H14" s="71"/>
      <c r="I14" s="71"/>
      <c r="J14" s="71"/>
      <c r="K14" s="71"/>
      <c r="L14" s="71"/>
      <c r="M14" s="71"/>
    </row>
    <row r="15" spans="2:13" ht="36">
      <c r="B15" s="7" t="s">
        <v>353</v>
      </c>
      <c r="C15" s="398" t="s">
        <v>354</v>
      </c>
      <c r="D15" s="422" t="s">
        <v>279</v>
      </c>
      <c r="E15" s="422" t="s">
        <v>279</v>
      </c>
      <c r="F15" s="71"/>
      <c r="G15" s="71"/>
      <c r="H15" s="71"/>
      <c r="I15" s="71"/>
      <c r="J15" s="71"/>
      <c r="K15" s="71"/>
      <c r="L15" s="71"/>
      <c r="M15" s="71"/>
    </row>
    <row r="16" spans="2:13" ht="24">
      <c r="B16" s="7" t="s">
        <v>355</v>
      </c>
      <c r="C16" s="398" t="s">
        <v>356</v>
      </c>
      <c r="D16" s="422">
        <v>115</v>
      </c>
      <c r="E16" s="422">
        <v>115</v>
      </c>
      <c r="F16" s="71"/>
      <c r="G16" s="71"/>
      <c r="H16" s="71"/>
      <c r="I16" s="71"/>
      <c r="J16" s="71"/>
      <c r="K16" s="71"/>
      <c r="L16" s="71"/>
      <c r="M16" s="71"/>
    </row>
    <row r="17" spans="2:13" ht="24">
      <c r="B17" s="7" t="s">
        <v>357</v>
      </c>
      <c r="C17" s="398" t="s">
        <v>294</v>
      </c>
      <c r="D17" s="422" t="s">
        <v>277</v>
      </c>
      <c r="E17" s="422" t="s">
        <v>277</v>
      </c>
      <c r="F17" s="71"/>
      <c r="G17" s="71"/>
      <c r="H17" s="71"/>
      <c r="I17" s="71"/>
      <c r="J17" s="71"/>
      <c r="K17" s="71"/>
      <c r="L17" s="71"/>
      <c r="M17" s="71"/>
    </row>
    <row r="18" spans="2:13" ht="14">
      <c r="B18" s="9" t="s">
        <v>358</v>
      </c>
      <c r="C18" s="399" t="s">
        <v>359</v>
      </c>
      <c r="D18" s="422" t="s">
        <v>360</v>
      </c>
      <c r="E18" s="422" t="s">
        <v>360</v>
      </c>
      <c r="F18" s="71"/>
      <c r="G18" s="71"/>
      <c r="H18" s="71"/>
      <c r="I18" s="71"/>
      <c r="J18" s="71"/>
      <c r="K18" s="71"/>
      <c r="L18" s="71"/>
      <c r="M18" s="71"/>
    </row>
    <row r="19" spans="2:13" ht="36">
      <c r="B19" s="9" t="s">
        <v>361</v>
      </c>
      <c r="C19" s="399" t="s">
        <v>362</v>
      </c>
      <c r="D19" s="422" t="s">
        <v>328</v>
      </c>
      <c r="E19" s="422" t="s">
        <v>328</v>
      </c>
      <c r="F19" s="71"/>
      <c r="G19" s="71"/>
      <c r="H19" s="71"/>
      <c r="I19" s="71"/>
      <c r="J19" s="71"/>
      <c r="K19" s="71"/>
      <c r="L19" s="71"/>
      <c r="M19" s="71"/>
    </row>
    <row r="20" spans="2:13" ht="72">
      <c r="B20" s="9" t="s">
        <v>363</v>
      </c>
      <c r="C20" s="399" t="s">
        <v>364</v>
      </c>
      <c r="D20" s="422" t="s">
        <v>328</v>
      </c>
      <c r="E20" s="422" t="s">
        <v>328</v>
      </c>
      <c r="F20" s="71"/>
      <c r="G20" s="71"/>
      <c r="H20" s="71"/>
      <c r="I20" s="71"/>
      <c r="J20" s="71"/>
      <c r="K20" s="71"/>
      <c r="L20" s="71"/>
      <c r="M20" s="71"/>
    </row>
    <row r="21" spans="2:13" ht="36">
      <c r="B21" s="11" t="s">
        <v>365</v>
      </c>
      <c r="C21" s="400" t="s">
        <v>366</v>
      </c>
      <c r="D21" s="422" t="s">
        <v>1145</v>
      </c>
      <c r="E21" s="422" t="s">
        <v>1145</v>
      </c>
      <c r="F21" s="71"/>
      <c r="G21" s="71"/>
      <c r="H21" s="71"/>
      <c r="I21" s="71"/>
      <c r="J21" s="71"/>
      <c r="K21" s="71"/>
      <c r="L21" s="71"/>
      <c r="M21" s="71"/>
    </row>
    <row r="22" spans="2:13" ht="36">
      <c r="B22" s="11" t="s">
        <v>369</v>
      </c>
      <c r="C22" s="400" t="s">
        <v>370</v>
      </c>
      <c r="D22" s="422" t="s">
        <v>1146</v>
      </c>
      <c r="E22" s="422" t="s">
        <v>1146</v>
      </c>
      <c r="F22" s="71"/>
      <c r="G22" s="71"/>
      <c r="H22" s="71"/>
      <c r="I22" s="71"/>
      <c r="J22" s="71"/>
      <c r="K22" s="71"/>
      <c r="L22" s="71"/>
      <c r="M22" s="71"/>
    </row>
    <row r="23" spans="2:13" ht="14">
      <c r="B23" s="13" t="s">
        <v>477</v>
      </c>
      <c r="C23" s="401" t="s">
        <v>374</v>
      </c>
      <c r="D23" s="422" t="s">
        <v>374</v>
      </c>
      <c r="E23" s="422" t="s">
        <v>374</v>
      </c>
      <c r="F23" s="71"/>
      <c r="G23" s="71"/>
      <c r="H23" s="71"/>
      <c r="I23" s="71"/>
      <c r="J23" s="71"/>
      <c r="K23" s="71"/>
      <c r="L23" s="71"/>
      <c r="M23" s="71"/>
    </row>
    <row r="24" spans="2:13" ht="60">
      <c r="B24" s="13" t="s">
        <v>375</v>
      </c>
      <c r="C24" s="401" t="s">
        <v>376</v>
      </c>
      <c r="D24" s="423">
        <v>310</v>
      </c>
      <c r="E24" s="423">
        <v>125</v>
      </c>
      <c r="F24" s="71"/>
      <c r="G24" s="71"/>
      <c r="H24" s="71"/>
      <c r="I24" s="71"/>
      <c r="J24" s="71"/>
      <c r="K24" s="71"/>
      <c r="L24" s="71"/>
      <c r="M24" s="71"/>
    </row>
    <row r="25" spans="2:13" ht="60">
      <c r="B25" s="15" t="s">
        <v>377</v>
      </c>
      <c r="C25" s="402" t="s">
        <v>378</v>
      </c>
      <c r="D25" s="422">
        <v>4</v>
      </c>
      <c r="E25" s="422">
        <v>4</v>
      </c>
      <c r="F25" s="71"/>
      <c r="G25" s="71"/>
      <c r="H25" s="71"/>
      <c r="I25" s="71"/>
      <c r="J25" s="71"/>
      <c r="K25" s="71"/>
      <c r="L25" s="71"/>
      <c r="M25" s="71"/>
    </row>
    <row r="26" spans="2:13" ht="60">
      <c r="B26" s="15" t="s">
        <v>380</v>
      </c>
      <c r="C26" s="402" t="s">
        <v>381</v>
      </c>
      <c r="D26" s="422" t="s">
        <v>1147</v>
      </c>
      <c r="E26" s="422" t="s">
        <v>1147</v>
      </c>
      <c r="F26" s="71"/>
      <c r="G26" s="71"/>
      <c r="H26" s="71"/>
      <c r="I26" s="71"/>
      <c r="J26" s="71"/>
      <c r="K26" s="71"/>
      <c r="L26" s="71"/>
      <c r="M26" s="71"/>
    </row>
    <row r="27" spans="2:13" ht="14">
      <c r="B27" s="40" t="s">
        <v>383</v>
      </c>
      <c r="C27" s="403" t="s">
        <v>383</v>
      </c>
      <c r="D27" s="429">
        <v>14040</v>
      </c>
      <c r="E27" s="429">
        <v>6300</v>
      </c>
      <c r="F27" s="71"/>
      <c r="G27" s="71"/>
      <c r="H27" s="71"/>
      <c r="I27" s="71"/>
      <c r="J27" s="71"/>
      <c r="K27" s="71"/>
      <c r="L27" s="71"/>
      <c r="M27" s="71"/>
    </row>
    <row r="28" spans="2:13" ht="60">
      <c r="B28" s="15" t="s">
        <v>384</v>
      </c>
      <c r="C28" s="402" t="s">
        <v>450</v>
      </c>
      <c r="D28" s="431">
        <f>D27/D24</f>
        <v>45.29032258064516</v>
      </c>
      <c r="E28" s="431">
        <v>50.4</v>
      </c>
      <c r="F28" s="71"/>
      <c r="G28" s="71"/>
      <c r="H28" s="71"/>
      <c r="I28" s="71"/>
      <c r="J28" s="71"/>
      <c r="K28" s="71"/>
      <c r="L28" s="71"/>
      <c r="M28" s="71"/>
    </row>
    <row r="29" spans="2:13" ht="72">
      <c r="B29" s="15" t="s">
        <v>387</v>
      </c>
      <c r="C29" s="402" t="s">
        <v>388</v>
      </c>
      <c r="D29" s="422" t="s">
        <v>410</v>
      </c>
      <c r="E29" s="422" t="s">
        <v>410</v>
      </c>
      <c r="F29" s="71"/>
      <c r="G29" s="71"/>
      <c r="H29" s="71"/>
      <c r="I29" s="71"/>
      <c r="J29" s="71"/>
      <c r="K29" s="71"/>
      <c r="L29" s="71"/>
      <c r="M29" s="71"/>
    </row>
    <row r="30" spans="2:13" ht="58">
      <c r="B30" s="13" t="s">
        <v>390</v>
      </c>
      <c r="C30" s="404" t="s">
        <v>453</v>
      </c>
      <c r="D30" s="433">
        <f>D31/D24</f>
        <v>3.8391193548387097</v>
      </c>
      <c r="E30" s="433">
        <f>E31/E24</f>
        <v>1.3038159999999999</v>
      </c>
      <c r="F30" s="71"/>
      <c r="G30" s="71"/>
      <c r="H30" s="71"/>
      <c r="I30" s="71"/>
      <c r="J30" s="71"/>
      <c r="K30" s="71"/>
      <c r="L30" s="71"/>
      <c r="M30" s="71"/>
    </row>
    <row r="31" spans="2:13" ht="28">
      <c r="B31" s="13"/>
      <c r="C31" s="405" t="s">
        <v>393</v>
      </c>
      <c r="D31" s="433">
        <v>1190.127</v>
      </c>
      <c r="E31" s="433">
        <v>162.97699999999998</v>
      </c>
      <c r="F31" s="71"/>
      <c r="G31" s="71"/>
      <c r="H31" s="71"/>
      <c r="I31" s="71"/>
      <c r="J31" s="71"/>
      <c r="K31" s="71"/>
      <c r="L31" s="71"/>
      <c r="M31" s="71"/>
    </row>
    <row r="32" spans="2:13" ht="72">
      <c r="B32" s="13" t="s">
        <v>394</v>
      </c>
      <c r="C32" s="404" t="s">
        <v>395</v>
      </c>
      <c r="D32" s="75"/>
      <c r="E32" s="75"/>
      <c r="F32" s="71"/>
      <c r="G32" s="71"/>
      <c r="H32" s="71"/>
      <c r="I32" s="71"/>
      <c r="J32" s="71"/>
      <c r="K32" s="71"/>
      <c r="L32" s="71"/>
      <c r="M32" s="71"/>
    </row>
    <row r="33" spans="2:13" ht="24">
      <c r="B33" s="18" t="s">
        <v>397</v>
      </c>
      <c r="C33" s="406" t="s">
        <v>313</v>
      </c>
      <c r="D33" s="436">
        <v>45047</v>
      </c>
      <c r="E33" s="436">
        <v>45717</v>
      </c>
      <c r="F33" s="71"/>
      <c r="G33" s="71"/>
      <c r="H33" s="71"/>
      <c r="I33" s="71"/>
      <c r="J33" s="71"/>
      <c r="K33" s="71"/>
      <c r="L33" s="71"/>
      <c r="M33" s="71"/>
    </row>
    <row r="34" spans="2:13" ht="36">
      <c r="B34" s="20" t="s">
        <v>398</v>
      </c>
      <c r="C34" s="406" t="s">
        <v>315</v>
      </c>
      <c r="D34" s="436">
        <v>46873</v>
      </c>
      <c r="E34" s="436">
        <v>46873</v>
      </c>
      <c r="F34" s="71"/>
      <c r="G34" s="71"/>
      <c r="H34" s="71"/>
      <c r="I34" s="71"/>
      <c r="J34" s="71"/>
      <c r="K34" s="71"/>
      <c r="L34" s="71"/>
      <c r="M34" s="71"/>
    </row>
    <row r="35" spans="2:13" ht="36">
      <c r="B35" s="20" t="s">
        <v>399</v>
      </c>
      <c r="C35" s="406" t="s">
        <v>400</v>
      </c>
      <c r="D35" s="422" t="s">
        <v>410</v>
      </c>
      <c r="E35" s="422" t="s">
        <v>410</v>
      </c>
      <c r="F35" s="71"/>
      <c r="G35" s="71"/>
      <c r="H35" s="71"/>
      <c r="I35" s="71"/>
      <c r="J35" s="71"/>
      <c r="K35" s="71"/>
      <c r="L35" s="71"/>
      <c r="M35" s="71"/>
    </row>
    <row r="36" spans="2:13" ht="48">
      <c r="B36" s="20" t="s">
        <v>402</v>
      </c>
      <c r="C36" s="21" t="s">
        <v>403</v>
      </c>
      <c r="D36" s="422" t="s">
        <v>328</v>
      </c>
      <c r="E36" s="422" t="s">
        <v>328</v>
      </c>
      <c r="F36" s="71"/>
      <c r="G36" s="71"/>
      <c r="H36" s="71"/>
      <c r="I36" s="71"/>
      <c r="J36" s="71"/>
      <c r="K36" s="71"/>
      <c r="L36" s="71"/>
      <c r="M36" s="71"/>
    </row>
    <row r="37" spans="2:13" ht="72">
      <c r="B37" s="20" t="s">
        <v>404</v>
      </c>
      <c r="C37" s="21" t="s">
        <v>405</v>
      </c>
      <c r="D37" s="422" t="s">
        <v>410</v>
      </c>
      <c r="E37" s="422" t="s">
        <v>410</v>
      </c>
      <c r="F37" s="71"/>
      <c r="G37" s="71"/>
      <c r="H37" s="71"/>
      <c r="I37" s="71"/>
      <c r="J37" s="71"/>
      <c r="K37" s="71"/>
      <c r="L37" s="71"/>
      <c r="M37" s="71"/>
    </row>
    <row r="38" spans="2:13" ht="36">
      <c r="B38" s="20" t="s">
        <v>406</v>
      </c>
      <c r="C38" s="21" t="s">
        <v>407</v>
      </c>
      <c r="D38" s="422" t="s">
        <v>328</v>
      </c>
      <c r="E38" s="422" t="s">
        <v>328</v>
      </c>
      <c r="F38" s="71"/>
      <c r="G38" s="71"/>
      <c r="H38" s="71"/>
      <c r="I38" s="71"/>
      <c r="J38" s="71"/>
      <c r="K38" s="71"/>
      <c r="L38" s="71"/>
      <c r="M38" s="71"/>
    </row>
    <row r="39" spans="2:13" ht="36">
      <c r="B39" s="20" t="s">
        <v>408</v>
      </c>
      <c r="C39" s="21" t="s">
        <v>409</v>
      </c>
      <c r="D39" s="422" t="s">
        <v>410</v>
      </c>
      <c r="E39" s="422" t="s">
        <v>410</v>
      </c>
      <c r="F39" s="71"/>
      <c r="G39" s="71"/>
      <c r="H39" s="71"/>
      <c r="I39" s="71"/>
      <c r="J39" s="71"/>
      <c r="K39" s="71"/>
      <c r="L39" s="71"/>
      <c r="M39" s="71"/>
    </row>
    <row r="40" spans="2:13" ht="48">
      <c r="B40" s="20" t="s">
        <v>411</v>
      </c>
      <c r="C40" s="21" t="s">
        <v>314</v>
      </c>
      <c r="D40" s="436">
        <v>46873</v>
      </c>
      <c r="E40" s="436">
        <v>46873</v>
      </c>
      <c r="F40" s="71"/>
      <c r="G40" s="71"/>
      <c r="H40" s="71"/>
      <c r="I40" s="71"/>
      <c r="J40" s="71"/>
      <c r="K40" s="71"/>
      <c r="L40" s="71"/>
      <c r="M40" s="71"/>
    </row>
    <row r="41" spans="2:13" ht="60">
      <c r="B41" s="22" t="s">
        <v>412</v>
      </c>
      <c r="C41" s="23" t="s">
        <v>413</v>
      </c>
      <c r="D41" s="438" t="s">
        <v>328</v>
      </c>
      <c r="E41" s="438" t="s">
        <v>328</v>
      </c>
      <c r="F41" s="71"/>
      <c r="G41" s="71"/>
      <c r="H41" s="71"/>
      <c r="I41" s="71"/>
      <c r="J41" s="71"/>
      <c r="K41" s="71"/>
      <c r="L41" s="71"/>
      <c r="M41" s="71"/>
    </row>
    <row r="42" spans="2:13" ht="72">
      <c r="B42" s="24" t="s">
        <v>457</v>
      </c>
      <c r="C42" s="23" t="s">
        <v>483</v>
      </c>
      <c r="D42" s="422" t="s">
        <v>328</v>
      </c>
      <c r="E42" s="422" t="s">
        <v>328</v>
      </c>
      <c r="F42" s="71"/>
      <c r="G42" s="71"/>
      <c r="H42" s="71"/>
      <c r="I42" s="71"/>
      <c r="J42" s="71"/>
      <c r="K42" s="71"/>
      <c r="L42" s="71"/>
      <c r="M42" s="71"/>
    </row>
    <row r="43" spans="2:13" ht="84">
      <c r="B43" s="25" t="s">
        <v>418</v>
      </c>
      <c r="C43" s="407" t="s">
        <v>419</v>
      </c>
      <c r="D43" s="422" t="s">
        <v>410</v>
      </c>
      <c r="E43" s="422" t="s">
        <v>410</v>
      </c>
      <c r="F43" s="71"/>
      <c r="G43" s="71"/>
      <c r="H43" s="71"/>
      <c r="I43" s="71"/>
      <c r="J43" s="71"/>
      <c r="K43" s="71"/>
      <c r="L43" s="71"/>
      <c r="M43" s="71"/>
    </row>
    <row r="44" spans="2:13" ht="132">
      <c r="B44" s="25" t="s">
        <v>420</v>
      </c>
      <c r="C44" s="407" t="s">
        <v>421</v>
      </c>
      <c r="D44" s="422" t="s">
        <v>328</v>
      </c>
      <c r="E44" s="422" t="s">
        <v>328</v>
      </c>
      <c r="F44" s="71"/>
      <c r="G44" s="71"/>
      <c r="H44" s="71"/>
      <c r="I44" s="71"/>
      <c r="J44" s="71"/>
      <c r="K44" s="71"/>
      <c r="L44" s="71"/>
      <c r="M44" s="71"/>
    </row>
    <row r="45" spans="2:13" ht="14">
      <c r="B45" s="27"/>
      <c r="C45" s="27"/>
      <c r="D45" s="72"/>
      <c r="E45" s="72"/>
    </row>
    <row r="46" spans="2:13" ht="28">
      <c r="B46" s="27"/>
      <c r="C46" s="28" t="s">
        <v>484</v>
      </c>
      <c r="D46" s="417">
        <v>14</v>
      </c>
      <c r="E46" s="417">
        <v>11</v>
      </c>
      <c r="F46" s="71"/>
      <c r="G46" s="71"/>
      <c r="H46" s="71"/>
      <c r="I46" s="71"/>
      <c r="J46" s="71"/>
      <c r="K46" s="71"/>
      <c r="L46" s="71"/>
      <c r="M46" s="71"/>
    </row>
    <row r="47" spans="2:13" ht="42">
      <c r="B47" s="27"/>
      <c r="C47" s="29" t="s">
        <v>485</v>
      </c>
      <c r="D47" s="417">
        <v>8</v>
      </c>
      <c r="E47" s="417">
        <v>1</v>
      </c>
      <c r="F47" s="71"/>
      <c r="G47" s="71"/>
      <c r="H47" s="71"/>
      <c r="I47" s="71"/>
      <c r="J47" s="71"/>
      <c r="K47" s="71"/>
      <c r="L47" s="71"/>
      <c r="M47" s="71"/>
    </row>
    <row r="48" spans="2:13" ht="42">
      <c r="B48" s="27"/>
      <c r="C48" s="29" t="s">
        <v>486</v>
      </c>
      <c r="D48" s="417">
        <v>6</v>
      </c>
      <c r="E48" s="417">
        <v>10</v>
      </c>
      <c r="F48" s="71"/>
      <c r="G48" s="71"/>
      <c r="H48" s="71"/>
      <c r="I48" s="71"/>
      <c r="J48" s="71"/>
      <c r="K48" s="71"/>
      <c r="L48" s="71"/>
      <c r="M48" s="71"/>
    </row>
    <row r="49" spans="2:13">
      <c r="B49" s="27"/>
      <c r="C49" s="30"/>
      <c r="D49" s="442"/>
      <c r="E49" s="442"/>
    </row>
    <row r="50" spans="2:13" ht="30">
      <c r="B50" s="27"/>
      <c r="C50" s="28" t="s">
        <v>426</v>
      </c>
      <c r="D50" s="417">
        <v>20</v>
      </c>
      <c r="E50" s="417">
        <v>32</v>
      </c>
      <c r="F50" s="71"/>
      <c r="G50" s="71"/>
      <c r="H50" s="71"/>
      <c r="I50" s="71"/>
      <c r="J50" s="71"/>
      <c r="K50" s="71"/>
      <c r="L50" s="71"/>
      <c r="M50" s="71"/>
    </row>
    <row r="51" spans="2:13" ht="28">
      <c r="B51" s="27"/>
      <c r="C51" s="29" t="s">
        <v>487</v>
      </c>
      <c r="D51" s="417">
        <v>8</v>
      </c>
      <c r="E51" s="417">
        <v>1</v>
      </c>
      <c r="F51" s="71"/>
      <c r="G51" s="71"/>
      <c r="H51" s="71"/>
      <c r="I51" s="71"/>
      <c r="J51" s="71"/>
      <c r="K51" s="71"/>
      <c r="L51" s="71"/>
      <c r="M51" s="71"/>
    </row>
    <row r="52" spans="2:13" ht="28">
      <c r="B52" s="27"/>
      <c r="C52" s="29" t="s">
        <v>488</v>
      </c>
      <c r="D52" s="417">
        <v>6</v>
      </c>
      <c r="E52" s="417">
        <v>31</v>
      </c>
      <c r="F52" s="71"/>
      <c r="G52" s="71"/>
      <c r="H52" s="71"/>
      <c r="I52" s="71"/>
      <c r="J52" s="71"/>
      <c r="K52" s="71"/>
      <c r="L52" s="71"/>
      <c r="M52" s="71"/>
    </row>
    <row r="53" spans="2:13" ht="14">
      <c r="B53" s="27"/>
      <c r="C53" s="31"/>
      <c r="D53" s="442" t="s">
        <v>1148</v>
      </c>
      <c r="E53" s="442"/>
    </row>
    <row r="54" spans="2:13" ht="28">
      <c r="B54" s="27"/>
      <c r="C54" s="28" t="s">
        <v>427</v>
      </c>
      <c r="D54" s="417" t="s">
        <v>555</v>
      </c>
      <c r="E54" s="417" t="s">
        <v>555</v>
      </c>
      <c r="F54" s="71"/>
      <c r="G54" s="71"/>
      <c r="H54" s="71"/>
      <c r="I54" s="71"/>
      <c r="J54" s="71"/>
      <c r="K54" s="71"/>
      <c r="L54" s="71"/>
      <c r="M54" s="71"/>
    </row>
    <row r="55" spans="2:13" ht="42">
      <c r="B55" s="27"/>
      <c r="C55" s="28" t="s">
        <v>489</v>
      </c>
      <c r="D55" s="417" t="s">
        <v>636</v>
      </c>
      <c r="E55" s="417" t="s">
        <v>1149</v>
      </c>
      <c r="F55" s="71"/>
      <c r="G55" s="71"/>
      <c r="H55" s="71"/>
      <c r="I55" s="71"/>
      <c r="J55" s="71"/>
      <c r="K55" s="71"/>
      <c r="L55" s="71"/>
      <c r="M55" s="71"/>
    </row>
    <row r="56" spans="2:13" ht="28">
      <c r="B56" s="27"/>
      <c r="C56" s="28" t="s">
        <v>490</v>
      </c>
      <c r="D56" s="417" t="s">
        <v>636</v>
      </c>
      <c r="E56" s="417" t="s">
        <v>1150</v>
      </c>
      <c r="F56" s="71"/>
      <c r="G56" s="71"/>
      <c r="H56" s="71"/>
      <c r="I56" s="71"/>
      <c r="J56" s="71"/>
      <c r="K56" s="71"/>
      <c r="L56" s="71"/>
      <c r="M56" s="71"/>
    </row>
    <row r="57" spans="2:13" ht="56">
      <c r="B57" s="27"/>
      <c r="C57" s="28" t="s">
        <v>430</v>
      </c>
      <c r="D57" s="75"/>
      <c r="E57" s="75"/>
      <c r="F57" s="71"/>
      <c r="G57" s="71"/>
      <c r="H57" s="71"/>
      <c r="I57" s="71"/>
      <c r="J57" s="71"/>
      <c r="K57" s="71"/>
      <c r="L57" s="71"/>
      <c r="M57" s="71"/>
    </row>
    <row r="58" spans="2:13" ht="56">
      <c r="B58" s="27"/>
      <c r="C58" s="28" t="s">
        <v>431</v>
      </c>
      <c r="D58" s="75"/>
      <c r="E58" s="75"/>
      <c r="F58" s="71"/>
      <c r="G58" s="71"/>
      <c r="H58" s="71"/>
      <c r="I58" s="71"/>
      <c r="J58" s="71"/>
      <c r="K58" s="71"/>
      <c r="L58" s="71"/>
      <c r="M58" s="71"/>
    </row>
  </sheetData>
  <mergeCells count="2">
    <mergeCell ref="C6:D6"/>
    <mergeCell ref="C7:D7"/>
  </mergeCells>
  <conditionalFormatting sqref="B13:B17">
    <cfRule type="colorScale" priority="12">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81" priority="2">
      <formula>#REF!="Owned"</formula>
    </cfRule>
  </conditionalFormatting>
  <conditionalFormatting sqref="B28:B29 B26">
    <cfRule type="colorScale" priority="9">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B25:C26">
    <cfRule type="expression" dxfId="80" priority="4">
      <formula>#REF!="Owned"</formula>
    </cfRule>
  </conditionalFormatting>
  <conditionalFormatting sqref="C27:C32">
    <cfRule type="expression" dxfId="79" priority="1">
      <formula>#REF!="Owned"</formula>
    </cfRule>
  </conditionalFormatting>
  <dataValidations count="1">
    <dataValidation type="list" allowBlank="1" showInputMessage="1" showErrorMessage="1" sqref="E6" xr:uid="{748CB1C5-9069-4A70-AD8C-C765F27BDDE3}">
      <formula1>"Yes, No"</formula1>
    </dataValidation>
  </dataValidation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244BF-209C-40DC-9B7E-2BD6016541CC}">
  <sheetPr codeName="Feuil32">
    <tabColor rgb="FF00B050"/>
    <pageSetUpPr fitToPage="1"/>
  </sheetPr>
  <dimension ref="B1:R68"/>
  <sheetViews>
    <sheetView topLeftCell="A21" zoomScale="85" zoomScaleNormal="85" workbookViewId="0">
      <selection activeCell="F27" sqref="F27"/>
    </sheetView>
  </sheetViews>
  <sheetFormatPr baseColWidth="10" defaultColWidth="9.1640625" defaultRowHeight="13"/>
  <cols>
    <col min="1" max="1" width="19.5" style="139" customWidth="1"/>
    <col min="2" max="2" width="24.1640625" style="139" customWidth="1"/>
    <col min="3" max="3" width="23.1640625" style="139" customWidth="1"/>
    <col min="4" max="4" width="23.83203125" style="139" customWidth="1"/>
    <col min="5" max="18" width="22.5" style="139" customWidth="1"/>
    <col min="19" max="16384" width="9.1640625" style="139"/>
  </cols>
  <sheetData>
    <row r="1" spans="2:18" ht="7.5" customHeight="1"/>
    <row r="2" spans="2:18">
      <c r="C2" s="508" t="s">
        <v>323</v>
      </c>
      <c r="D2" s="501">
        <v>46050</v>
      </c>
      <c r="E2" s="141"/>
      <c r="F2" s="142"/>
      <c r="G2" s="142"/>
      <c r="H2" s="142"/>
      <c r="I2" s="143"/>
    </row>
    <row r="4" spans="2:18">
      <c r="C4" s="140" t="s">
        <v>324</v>
      </c>
      <c r="D4" s="144" t="s">
        <v>241</v>
      </c>
      <c r="G4" s="145"/>
      <c r="H4" s="145"/>
      <c r="I4" s="146"/>
    </row>
    <row r="5" spans="2:18" ht="15.75" customHeight="1">
      <c r="C5" s="187"/>
    </row>
    <row r="6" spans="2:18" ht="26.25" customHeight="1">
      <c r="B6" s="139" t="s">
        <v>326</v>
      </c>
      <c r="C6" s="588" t="s">
        <v>327</v>
      </c>
      <c r="D6" s="588"/>
      <c r="E6" s="148" t="s">
        <v>328</v>
      </c>
      <c r="F6" s="149"/>
      <c r="G6" s="150"/>
      <c r="H6" s="150"/>
    </row>
    <row r="7" spans="2:18" ht="26.25" customHeight="1">
      <c r="B7" s="139" t="s">
        <v>326</v>
      </c>
      <c r="C7" s="588" t="s">
        <v>329</v>
      </c>
      <c r="D7" s="588"/>
      <c r="E7" s="148">
        <v>1</v>
      </c>
      <c r="F7" s="149"/>
      <c r="G7" s="150"/>
      <c r="H7" s="150"/>
    </row>
    <row r="8" spans="2:18" ht="24.5" customHeight="1"/>
    <row r="9" spans="2:18" ht="26" customHeight="1">
      <c r="C9" s="151" t="s">
        <v>330</v>
      </c>
      <c r="D9" s="540" t="s">
        <v>1151</v>
      </c>
      <c r="E9" s="540" t="s">
        <v>1151</v>
      </c>
      <c r="F9" s="153"/>
      <c r="G9" s="153"/>
      <c r="H9" s="153"/>
      <c r="I9" s="153"/>
      <c r="J9" s="153"/>
      <c r="K9" s="153"/>
      <c r="L9" s="153"/>
      <c r="M9" s="153"/>
      <c r="N9" s="153"/>
      <c r="O9" s="153"/>
      <c r="P9" s="153"/>
      <c r="Q9" s="153"/>
      <c r="R9" s="153"/>
    </row>
    <row r="10" spans="2:18" ht="28">
      <c r="C10" s="154" t="s">
        <v>331</v>
      </c>
      <c r="D10" s="155" t="s">
        <v>1152</v>
      </c>
      <c r="E10" s="155" t="s">
        <v>1152</v>
      </c>
      <c r="F10" s="156" t="s">
        <v>334</v>
      </c>
      <c r="G10" s="156" t="s">
        <v>335</v>
      </c>
      <c r="H10" s="156" t="s">
        <v>336</v>
      </c>
      <c r="I10" s="156" t="s">
        <v>337</v>
      </c>
      <c r="J10" s="156" t="s">
        <v>338</v>
      </c>
      <c r="K10" s="156" t="s">
        <v>339</v>
      </c>
      <c r="L10" s="156" t="s">
        <v>340</v>
      </c>
      <c r="M10" s="156" t="s">
        <v>341</v>
      </c>
      <c r="N10" s="156" t="s">
        <v>342</v>
      </c>
      <c r="O10" s="156" t="s">
        <v>343</v>
      </c>
      <c r="P10" s="156" t="s">
        <v>344</v>
      </c>
      <c r="Q10" s="156" t="s">
        <v>345</v>
      </c>
      <c r="R10" s="156" t="s">
        <v>346</v>
      </c>
    </row>
    <row r="11" spans="2:18" ht="14">
      <c r="C11" s="251" t="s">
        <v>299</v>
      </c>
      <c r="D11" s="155" t="s">
        <v>1153</v>
      </c>
      <c r="E11" s="156" t="s">
        <v>1153</v>
      </c>
      <c r="F11" s="156"/>
      <c r="G11" s="156"/>
      <c r="H11" s="156"/>
      <c r="I11" s="156"/>
      <c r="J11" s="156"/>
      <c r="K11" s="156"/>
      <c r="L11" s="156"/>
      <c r="M11" s="156"/>
      <c r="N11" s="156"/>
      <c r="O11" s="156"/>
      <c r="P11" s="156"/>
      <c r="Q11" s="156"/>
      <c r="R11" s="156"/>
    </row>
    <row r="12" spans="2:18" ht="15" customHeight="1">
      <c r="C12" s="159"/>
      <c r="D12" s="160"/>
      <c r="E12" s="160"/>
      <c r="F12" s="160"/>
      <c r="G12" s="160"/>
      <c r="H12" s="160"/>
      <c r="I12" s="160"/>
      <c r="J12" s="161"/>
      <c r="K12" s="161"/>
      <c r="L12" s="161"/>
      <c r="M12" s="161"/>
      <c r="N12" s="161"/>
      <c r="O12" s="161"/>
      <c r="P12" s="161"/>
      <c r="Q12" s="161"/>
      <c r="R12" s="161"/>
    </row>
    <row r="13" spans="2:18" ht="30" customHeight="1">
      <c r="B13" s="7" t="s">
        <v>348</v>
      </c>
      <c r="C13" s="8" t="s">
        <v>349</v>
      </c>
      <c r="D13" s="162" t="s">
        <v>1154</v>
      </c>
      <c r="E13" s="162" t="s">
        <v>1155</v>
      </c>
      <c r="F13" s="162"/>
      <c r="G13" s="162"/>
      <c r="H13" s="162"/>
      <c r="I13" s="162"/>
      <c r="J13" s="162"/>
      <c r="K13" s="162"/>
      <c r="L13" s="162"/>
      <c r="M13" s="162"/>
      <c r="N13" s="162"/>
      <c r="O13" s="162"/>
      <c r="P13" s="162"/>
      <c r="Q13" s="162"/>
      <c r="R13" s="162"/>
    </row>
    <row r="14" spans="2:18" ht="77.25" customHeight="1">
      <c r="B14" s="7" t="s">
        <v>352</v>
      </c>
      <c r="C14" s="8" t="s">
        <v>297</v>
      </c>
      <c r="D14" s="162" t="s">
        <v>247</v>
      </c>
      <c r="E14" s="162" t="s">
        <v>1156</v>
      </c>
      <c r="F14" s="162"/>
      <c r="G14" s="162"/>
      <c r="H14" s="162"/>
      <c r="I14" s="162"/>
      <c r="J14" s="162"/>
      <c r="K14" s="162"/>
      <c r="L14" s="162"/>
      <c r="M14" s="162"/>
      <c r="N14" s="162"/>
      <c r="O14" s="162"/>
      <c r="P14" s="162"/>
      <c r="Q14" s="162"/>
      <c r="R14" s="162"/>
    </row>
    <row r="15" spans="2:18" ht="30" customHeight="1">
      <c r="B15" s="7" t="s">
        <v>353</v>
      </c>
      <c r="C15" s="8" t="s">
        <v>354</v>
      </c>
      <c r="D15" s="162" t="s">
        <v>248</v>
      </c>
      <c r="E15" s="162" t="s">
        <v>248</v>
      </c>
      <c r="F15" s="162"/>
      <c r="G15" s="162"/>
      <c r="H15" s="162"/>
      <c r="I15" s="162"/>
      <c r="J15" s="162"/>
      <c r="K15" s="162"/>
      <c r="L15" s="162"/>
      <c r="M15" s="162"/>
      <c r="N15" s="162"/>
      <c r="O15" s="162"/>
      <c r="P15" s="162"/>
      <c r="Q15" s="162"/>
      <c r="R15" s="162"/>
    </row>
    <row r="16" spans="2:18" ht="15" customHeight="1">
      <c r="B16" s="7" t="s">
        <v>355</v>
      </c>
      <c r="C16" s="8" t="s">
        <v>356</v>
      </c>
      <c r="D16" s="162">
        <v>6754</v>
      </c>
      <c r="E16" s="162">
        <v>6754</v>
      </c>
      <c r="F16" s="162"/>
      <c r="G16" s="162"/>
      <c r="H16" s="162"/>
      <c r="I16" s="162"/>
      <c r="J16" s="162"/>
      <c r="K16" s="162"/>
      <c r="L16" s="162"/>
      <c r="M16" s="162"/>
      <c r="N16" s="162"/>
      <c r="O16" s="162"/>
      <c r="P16" s="162"/>
      <c r="Q16" s="162"/>
      <c r="R16" s="162"/>
    </row>
    <row r="17" spans="2:18" ht="15" customHeight="1">
      <c r="B17" s="7" t="s">
        <v>357</v>
      </c>
      <c r="C17" s="8" t="s">
        <v>294</v>
      </c>
      <c r="D17" s="162" t="s">
        <v>246</v>
      </c>
      <c r="E17" s="162" t="s">
        <v>246</v>
      </c>
      <c r="F17" s="162"/>
      <c r="G17" s="162"/>
      <c r="H17" s="162"/>
      <c r="I17" s="162"/>
      <c r="J17" s="162"/>
      <c r="K17" s="162"/>
      <c r="L17" s="162"/>
      <c r="M17" s="162"/>
      <c r="N17" s="162"/>
      <c r="O17" s="162"/>
      <c r="P17" s="162"/>
      <c r="Q17" s="162"/>
      <c r="R17" s="162"/>
    </row>
    <row r="18" spans="2:18" ht="15" customHeight="1">
      <c r="B18" s="66" t="s">
        <v>358</v>
      </c>
      <c r="C18" s="65" t="s">
        <v>359</v>
      </c>
      <c r="D18" s="162" t="s">
        <v>360</v>
      </c>
      <c r="E18" s="162" t="s">
        <v>360</v>
      </c>
      <c r="F18" s="162"/>
      <c r="G18" s="162"/>
      <c r="H18" s="162"/>
      <c r="I18" s="162"/>
      <c r="J18" s="162"/>
      <c r="K18" s="162"/>
      <c r="L18" s="162"/>
      <c r="M18" s="162"/>
      <c r="N18" s="162"/>
      <c r="O18" s="162"/>
      <c r="P18" s="162"/>
      <c r="Q18" s="162"/>
      <c r="R18" s="162"/>
    </row>
    <row r="19" spans="2:18" ht="45.75" customHeight="1">
      <c r="B19" s="66" t="s">
        <v>361</v>
      </c>
      <c r="C19" s="65" t="s">
        <v>362</v>
      </c>
      <c r="D19" s="162" t="s">
        <v>414</v>
      </c>
      <c r="E19" s="162" t="s">
        <v>414</v>
      </c>
      <c r="F19" s="162"/>
      <c r="G19" s="162"/>
      <c r="H19" s="162"/>
      <c r="I19" s="162"/>
      <c r="J19" s="162"/>
      <c r="K19" s="162"/>
      <c r="L19" s="162"/>
      <c r="M19" s="162"/>
      <c r="N19" s="162"/>
      <c r="O19" s="162"/>
      <c r="P19" s="162"/>
      <c r="Q19" s="162"/>
      <c r="R19" s="162"/>
    </row>
    <row r="20" spans="2:18" ht="45" customHeight="1">
      <c r="B20" s="66" t="s">
        <v>363</v>
      </c>
      <c r="C20" s="65" t="s">
        <v>364</v>
      </c>
      <c r="D20" s="162" t="s">
        <v>414</v>
      </c>
      <c r="E20" s="162" t="s">
        <v>414</v>
      </c>
      <c r="F20" s="162"/>
      <c r="G20" s="162"/>
      <c r="H20" s="162"/>
      <c r="I20" s="162"/>
      <c r="J20" s="162"/>
      <c r="K20" s="162"/>
      <c r="L20" s="162"/>
      <c r="M20" s="162"/>
      <c r="N20" s="162"/>
      <c r="O20" s="162"/>
      <c r="P20" s="162"/>
      <c r="Q20" s="162"/>
      <c r="R20" s="162"/>
    </row>
    <row r="21" spans="2:18" ht="30" customHeight="1">
      <c r="B21" s="64" t="s">
        <v>365</v>
      </c>
      <c r="C21" s="63" t="s">
        <v>366</v>
      </c>
      <c r="D21" s="162" t="s">
        <v>1157</v>
      </c>
      <c r="E21" s="162" t="s">
        <v>1157</v>
      </c>
      <c r="F21" s="162"/>
      <c r="G21" s="162"/>
      <c r="H21" s="162"/>
      <c r="I21" s="162"/>
      <c r="J21" s="162"/>
      <c r="K21" s="162"/>
      <c r="L21" s="162"/>
      <c r="M21" s="162"/>
      <c r="N21" s="162"/>
      <c r="O21" s="162"/>
      <c r="P21" s="162"/>
      <c r="Q21" s="162"/>
      <c r="R21" s="162"/>
    </row>
    <row r="22" spans="2:18" ht="30" customHeight="1">
      <c r="B22" s="64" t="s">
        <v>369</v>
      </c>
      <c r="C22" s="63" t="s">
        <v>370</v>
      </c>
      <c r="D22" s="162" t="s">
        <v>1158</v>
      </c>
      <c r="E22" s="162" t="s">
        <v>1158</v>
      </c>
      <c r="F22" s="162"/>
      <c r="G22" s="162"/>
      <c r="H22" s="162"/>
      <c r="I22" s="162"/>
      <c r="J22" s="162"/>
      <c r="K22" s="162"/>
      <c r="L22" s="162"/>
      <c r="M22" s="162"/>
      <c r="N22" s="162"/>
      <c r="O22" s="162"/>
      <c r="P22" s="162"/>
      <c r="Q22" s="162"/>
      <c r="R22" s="162"/>
    </row>
    <row r="23" spans="2:18" ht="30" customHeight="1">
      <c r="B23" s="59" t="s">
        <v>372</v>
      </c>
      <c r="C23" s="62" t="s">
        <v>373</v>
      </c>
      <c r="D23" s="162" t="s">
        <v>374</v>
      </c>
      <c r="E23" s="162" t="s">
        <v>374</v>
      </c>
      <c r="F23" s="162"/>
      <c r="G23" s="162"/>
      <c r="H23" s="162"/>
      <c r="I23" s="162"/>
      <c r="J23" s="162"/>
      <c r="K23" s="162"/>
      <c r="L23" s="162"/>
      <c r="M23" s="162"/>
      <c r="N23" s="162"/>
      <c r="O23" s="162"/>
      <c r="P23" s="162"/>
      <c r="Q23" s="162"/>
      <c r="R23" s="162"/>
    </row>
    <row r="24" spans="2:18" ht="45" customHeight="1">
      <c r="B24" s="59" t="s">
        <v>375</v>
      </c>
      <c r="C24" s="62" t="s">
        <v>376</v>
      </c>
      <c r="D24" s="164">
        <v>2572.04</v>
      </c>
      <c r="E24" s="164">
        <v>546.80999999999995</v>
      </c>
      <c r="F24" s="164"/>
      <c r="G24" s="164"/>
      <c r="H24" s="164"/>
      <c r="I24" s="164"/>
      <c r="J24" s="164"/>
      <c r="K24" s="164"/>
      <c r="L24" s="164"/>
      <c r="M24" s="164"/>
      <c r="N24" s="164"/>
      <c r="O24" s="164"/>
      <c r="P24" s="164"/>
      <c r="Q24" s="164"/>
      <c r="R24" s="164"/>
    </row>
    <row r="25" spans="2:18" ht="45" customHeight="1">
      <c r="B25" s="61" t="s">
        <v>377</v>
      </c>
      <c r="C25" s="60" t="s">
        <v>378</v>
      </c>
      <c r="D25" s="597" t="s">
        <v>1159</v>
      </c>
      <c r="E25" s="598"/>
      <c r="F25" s="162"/>
      <c r="G25" s="162"/>
      <c r="H25" s="162"/>
      <c r="I25" s="162"/>
      <c r="J25" s="162"/>
      <c r="K25" s="162"/>
      <c r="L25" s="162"/>
      <c r="M25" s="162"/>
      <c r="N25" s="162"/>
      <c r="O25" s="162"/>
      <c r="P25" s="162"/>
      <c r="Q25" s="162"/>
      <c r="R25" s="162"/>
    </row>
    <row r="26" spans="2:18" ht="45" customHeight="1">
      <c r="B26" s="61" t="s">
        <v>380</v>
      </c>
      <c r="C26" s="60" t="s">
        <v>381</v>
      </c>
      <c r="D26" s="166" t="s">
        <v>1160</v>
      </c>
      <c r="E26" s="166" t="s">
        <v>1160</v>
      </c>
      <c r="F26" s="164"/>
      <c r="G26" s="162"/>
      <c r="H26" s="162"/>
      <c r="I26" s="162"/>
      <c r="J26" s="162"/>
      <c r="K26" s="162"/>
      <c r="L26" s="162"/>
      <c r="M26" s="162"/>
      <c r="N26" s="162"/>
      <c r="O26" s="162"/>
      <c r="P26" s="162"/>
      <c r="Q26" s="162"/>
      <c r="R26" s="162"/>
    </row>
    <row r="27" spans="2:18" ht="45" customHeight="1">
      <c r="B27" s="61"/>
      <c r="C27" s="167" t="s">
        <v>383</v>
      </c>
      <c r="D27" s="166">
        <f>D28*D24</f>
        <v>2461982.4084000001</v>
      </c>
      <c r="E27" s="166">
        <f>E28*E24</f>
        <v>523412.00009999995</v>
      </c>
      <c r="F27" s="164"/>
      <c r="G27" s="162"/>
      <c r="H27" s="162"/>
      <c r="I27" s="162"/>
      <c r="J27" s="162"/>
      <c r="K27" s="162"/>
      <c r="L27" s="162"/>
      <c r="M27" s="162"/>
      <c r="N27" s="162"/>
      <c r="O27" s="162"/>
      <c r="P27" s="162"/>
      <c r="Q27" s="162"/>
      <c r="R27" s="162"/>
    </row>
    <row r="28" spans="2:18" ht="45" customHeight="1">
      <c r="B28" s="61" t="s">
        <v>384</v>
      </c>
      <c r="C28" s="60" t="s">
        <v>385</v>
      </c>
      <c r="D28" s="166">
        <v>957.21</v>
      </c>
      <c r="E28" s="166">
        <v>957.21</v>
      </c>
      <c r="F28" s="164"/>
      <c r="G28" s="162"/>
      <c r="H28" s="162"/>
      <c r="I28" s="162"/>
      <c r="J28" s="162"/>
      <c r="K28" s="162"/>
      <c r="L28" s="162"/>
      <c r="M28" s="162"/>
      <c r="N28" s="162"/>
      <c r="O28" s="162"/>
      <c r="P28" s="162"/>
      <c r="Q28" s="162"/>
      <c r="R28" s="162"/>
    </row>
    <row r="29" spans="2:18" ht="45" customHeight="1">
      <c r="B29" s="61" t="s">
        <v>387</v>
      </c>
      <c r="C29" s="60" t="s">
        <v>388</v>
      </c>
      <c r="D29" s="166" t="s">
        <v>1161</v>
      </c>
      <c r="E29" s="166" t="s">
        <v>1161</v>
      </c>
      <c r="F29" s="164"/>
      <c r="G29" s="162"/>
      <c r="H29" s="162"/>
      <c r="I29" s="162"/>
      <c r="J29" s="162"/>
      <c r="K29" s="162"/>
      <c r="L29" s="162"/>
      <c r="M29" s="162"/>
      <c r="N29" s="162"/>
      <c r="O29" s="162"/>
      <c r="P29" s="162"/>
      <c r="Q29" s="162"/>
      <c r="R29" s="162"/>
    </row>
    <row r="30" spans="2:18" ht="60" customHeight="1">
      <c r="B30" s="59" t="s">
        <v>390</v>
      </c>
      <c r="C30" s="58" t="s">
        <v>391</v>
      </c>
      <c r="D30" s="162" t="s">
        <v>1162</v>
      </c>
      <c r="E30" s="162" t="s">
        <v>1162</v>
      </c>
      <c r="F30" s="162"/>
      <c r="G30" s="162"/>
      <c r="H30" s="162"/>
      <c r="I30" s="162"/>
      <c r="J30" s="162"/>
      <c r="K30" s="162"/>
      <c r="L30" s="162"/>
      <c r="M30" s="162"/>
      <c r="N30" s="162"/>
      <c r="O30" s="162"/>
      <c r="P30" s="162"/>
      <c r="Q30" s="162"/>
      <c r="R30" s="162"/>
    </row>
    <row r="31" spans="2:18" ht="60" customHeight="1">
      <c r="B31" s="59"/>
      <c r="C31" s="167" t="s">
        <v>393</v>
      </c>
      <c r="D31" s="162"/>
      <c r="E31" s="162"/>
      <c r="F31" s="162"/>
      <c r="G31" s="162"/>
      <c r="H31" s="162"/>
      <c r="I31" s="162"/>
      <c r="J31" s="162"/>
      <c r="K31" s="162"/>
      <c r="L31" s="162"/>
      <c r="M31" s="162"/>
      <c r="N31" s="162"/>
      <c r="O31" s="162"/>
      <c r="P31" s="162"/>
      <c r="Q31" s="162"/>
      <c r="R31" s="162"/>
    </row>
    <row r="32" spans="2:18" ht="60" customHeight="1">
      <c r="B32" s="59" t="s">
        <v>394</v>
      </c>
      <c r="C32" s="58" t="s">
        <v>395</v>
      </c>
      <c r="D32" s="234" t="s">
        <v>1091</v>
      </c>
      <c r="E32" s="234" t="s">
        <v>1091</v>
      </c>
      <c r="F32" s="162"/>
      <c r="G32" s="162"/>
      <c r="H32" s="162"/>
      <c r="I32" s="162"/>
      <c r="J32" s="162"/>
      <c r="K32" s="162"/>
      <c r="L32" s="162"/>
      <c r="M32" s="162"/>
      <c r="N32" s="162"/>
      <c r="O32" s="162"/>
      <c r="P32" s="162"/>
      <c r="Q32" s="162"/>
      <c r="R32" s="162"/>
    </row>
    <row r="33" spans="2:18" ht="30" customHeight="1">
      <c r="B33" s="57" t="s">
        <v>397</v>
      </c>
      <c r="C33" s="56" t="s">
        <v>313</v>
      </c>
      <c r="D33" s="170">
        <v>46035</v>
      </c>
      <c r="E33" s="170">
        <v>46035</v>
      </c>
      <c r="F33" s="170"/>
      <c r="G33" s="170"/>
      <c r="H33" s="170"/>
      <c r="I33" s="170"/>
      <c r="J33" s="162"/>
      <c r="K33" s="162"/>
      <c r="L33" s="162"/>
      <c r="M33" s="162"/>
      <c r="N33" s="162"/>
      <c r="O33" s="162"/>
      <c r="P33" s="162"/>
      <c r="Q33" s="162"/>
      <c r="R33" s="162"/>
    </row>
    <row r="34" spans="2:18" ht="30" customHeight="1">
      <c r="B34" s="55" t="s">
        <v>398</v>
      </c>
      <c r="C34" s="56" t="s">
        <v>315</v>
      </c>
      <c r="D34" s="170" t="s">
        <v>480</v>
      </c>
      <c r="E34" s="170" t="s">
        <v>480</v>
      </c>
      <c r="F34" s="170"/>
      <c r="G34" s="170"/>
      <c r="H34" s="170"/>
      <c r="I34" s="170"/>
      <c r="J34" s="162"/>
      <c r="K34" s="162"/>
      <c r="L34" s="162"/>
      <c r="M34" s="162"/>
      <c r="N34" s="162"/>
      <c r="O34" s="162"/>
      <c r="P34" s="162"/>
      <c r="Q34" s="162"/>
      <c r="R34" s="162"/>
    </row>
    <row r="35" spans="2:18" ht="30" customHeight="1">
      <c r="B35" s="55" t="s">
        <v>399</v>
      </c>
      <c r="C35" s="56" t="s">
        <v>400</v>
      </c>
      <c r="D35" s="162" t="s">
        <v>1163</v>
      </c>
      <c r="E35" s="162" t="s">
        <v>1163</v>
      </c>
      <c r="F35" s="162"/>
      <c r="G35" s="162"/>
      <c r="H35" s="162"/>
      <c r="I35" s="162"/>
      <c r="J35" s="162"/>
      <c r="K35" s="162"/>
      <c r="L35" s="162"/>
      <c r="M35" s="162"/>
      <c r="N35" s="162"/>
      <c r="O35" s="162"/>
      <c r="P35" s="162"/>
      <c r="Q35" s="162"/>
      <c r="R35" s="162"/>
    </row>
    <row r="36" spans="2:18" ht="30" customHeight="1">
      <c r="B36" s="55" t="s">
        <v>402</v>
      </c>
      <c r="C36" s="54" t="s">
        <v>403</v>
      </c>
      <c r="D36" s="172" t="s">
        <v>674</v>
      </c>
      <c r="E36" s="172" t="s">
        <v>674</v>
      </c>
      <c r="F36" s="173"/>
      <c r="G36" s="173"/>
      <c r="H36" s="173"/>
      <c r="I36" s="173"/>
      <c r="J36" s="162"/>
      <c r="K36" s="162"/>
      <c r="L36" s="162"/>
      <c r="M36" s="162"/>
      <c r="N36" s="162"/>
      <c r="O36" s="162"/>
      <c r="P36" s="162"/>
      <c r="Q36" s="162"/>
      <c r="R36" s="162"/>
    </row>
    <row r="37" spans="2:18" ht="45" customHeight="1">
      <c r="B37" s="55" t="s">
        <v>404</v>
      </c>
      <c r="C37" s="54" t="s">
        <v>405</v>
      </c>
      <c r="D37" s="172" t="s">
        <v>1164</v>
      </c>
      <c r="E37" s="172" t="s">
        <v>1164</v>
      </c>
      <c r="F37" s="173"/>
      <c r="G37" s="173"/>
      <c r="H37" s="173"/>
      <c r="I37" s="173"/>
      <c r="J37" s="162"/>
      <c r="K37" s="162"/>
      <c r="L37" s="162"/>
      <c r="M37" s="162"/>
      <c r="N37" s="162"/>
      <c r="O37" s="162"/>
      <c r="P37" s="162"/>
      <c r="Q37" s="162"/>
      <c r="R37" s="162"/>
    </row>
    <row r="38" spans="2:18" ht="30" customHeight="1">
      <c r="B38" s="55" t="s">
        <v>406</v>
      </c>
      <c r="C38" s="54" t="s">
        <v>407</v>
      </c>
      <c r="D38" s="172" t="s">
        <v>414</v>
      </c>
      <c r="E38" s="172" t="s">
        <v>414</v>
      </c>
      <c r="F38" s="173"/>
      <c r="G38" s="173"/>
      <c r="H38" s="173"/>
      <c r="I38" s="173"/>
      <c r="J38" s="162"/>
      <c r="K38" s="162"/>
      <c r="L38" s="162"/>
      <c r="M38" s="162"/>
      <c r="N38" s="162"/>
      <c r="O38" s="162"/>
      <c r="P38" s="162"/>
      <c r="Q38" s="162"/>
      <c r="R38" s="162"/>
    </row>
    <row r="39" spans="2:18" ht="30" customHeight="1">
      <c r="B39" s="55" t="s">
        <v>408</v>
      </c>
      <c r="C39" s="54" t="s">
        <v>409</v>
      </c>
      <c r="D39" s="162" t="s">
        <v>1163</v>
      </c>
      <c r="E39" s="162" t="s">
        <v>1163</v>
      </c>
      <c r="F39" s="174"/>
      <c r="G39" s="173"/>
      <c r="H39" s="173"/>
      <c r="I39" s="173"/>
      <c r="J39" s="162"/>
      <c r="K39" s="162"/>
      <c r="L39" s="162"/>
      <c r="M39" s="162"/>
      <c r="N39" s="162"/>
      <c r="O39" s="162"/>
      <c r="P39" s="162"/>
      <c r="Q39" s="162"/>
      <c r="R39" s="162"/>
    </row>
    <row r="40" spans="2:18" ht="45" customHeight="1">
      <c r="B40" s="55" t="s">
        <v>411</v>
      </c>
      <c r="C40" s="54" t="s">
        <v>314</v>
      </c>
      <c r="D40" s="172" t="s">
        <v>1165</v>
      </c>
      <c r="E40" s="172" t="s">
        <v>1165</v>
      </c>
      <c r="F40" s="173"/>
      <c r="G40" s="173"/>
      <c r="H40" s="173"/>
      <c r="I40" s="173"/>
      <c r="J40" s="162"/>
      <c r="K40" s="162"/>
      <c r="L40" s="162"/>
      <c r="M40" s="162"/>
      <c r="N40" s="162"/>
      <c r="O40" s="162"/>
      <c r="P40" s="162"/>
      <c r="Q40" s="162"/>
      <c r="R40" s="162"/>
    </row>
    <row r="41" spans="2:18" ht="60" customHeight="1">
      <c r="B41" s="53" t="s">
        <v>412</v>
      </c>
      <c r="C41" s="51" t="s">
        <v>413</v>
      </c>
      <c r="D41" s="172" t="s">
        <v>328</v>
      </c>
      <c r="E41" s="172" t="s">
        <v>328</v>
      </c>
      <c r="F41" s="172"/>
      <c r="G41" s="172"/>
      <c r="H41" s="172"/>
      <c r="I41" s="172"/>
      <c r="J41" s="172"/>
      <c r="K41" s="172"/>
      <c r="L41" s="172"/>
      <c r="M41" s="172"/>
      <c r="N41" s="172"/>
      <c r="O41" s="172"/>
      <c r="P41" s="172"/>
      <c r="Q41" s="172"/>
      <c r="R41" s="172"/>
    </row>
    <row r="42" spans="2:18" ht="75" customHeight="1">
      <c r="B42" s="52" t="s">
        <v>457</v>
      </c>
      <c r="C42" s="51" t="s">
        <v>458</v>
      </c>
      <c r="D42" s="172" t="s">
        <v>328</v>
      </c>
      <c r="E42" s="172" t="s">
        <v>328</v>
      </c>
      <c r="F42" s="174"/>
      <c r="G42" s="174"/>
      <c r="H42" s="174"/>
      <c r="I42" s="174"/>
      <c r="J42" s="174"/>
      <c r="K42" s="174"/>
      <c r="L42" s="174"/>
      <c r="M42" s="174"/>
      <c r="N42" s="174"/>
      <c r="O42" s="174"/>
      <c r="P42" s="174"/>
      <c r="Q42" s="174"/>
      <c r="R42" s="174"/>
    </row>
    <row r="43" spans="2:18" ht="60" customHeight="1">
      <c r="B43" s="50" t="s">
        <v>418</v>
      </c>
      <c r="C43" s="49" t="s">
        <v>419</v>
      </c>
      <c r="D43" s="162" t="s">
        <v>328</v>
      </c>
      <c r="E43" s="162" t="s">
        <v>328</v>
      </c>
      <c r="F43" s="162"/>
      <c r="G43" s="162"/>
      <c r="H43" s="162"/>
      <c r="I43" s="162"/>
      <c r="J43" s="162"/>
      <c r="K43" s="162"/>
      <c r="L43" s="162"/>
      <c r="M43" s="162"/>
      <c r="N43" s="162"/>
      <c r="O43" s="162"/>
      <c r="P43" s="162"/>
      <c r="Q43" s="162"/>
      <c r="R43" s="162"/>
    </row>
    <row r="44" spans="2:18" ht="75" customHeight="1">
      <c r="B44" s="50" t="s">
        <v>420</v>
      </c>
      <c r="C44" s="49" t="s">
        <v>421</v>
      </c>
      <c r="D44" s="162" t="s">
        <v>328</v>
      </c>
      <c r="E44" s="162" t="s">
        <v>328</v>
      </c>
      <c r="F44" s="162"/>
      <c r="G44" s="162"/>
      <c r="H44" s="162"/>
      <c r="I44" s="162"/>
      <c r="J44" s="162"/>
      <c r="K44" s="162"/>
      <c r="L44" s="162"/>
      <c r="M44" s="162"/>
      <c r="N44" s="162"/>
      <c r="O44" s="162"/>
      <c r="P44" s="162"/>
      <c r="Q44" s="162"/>
      <c r="R44" s="162"/>
    </row>
    <row r="45" spans="2:18">
      <c r="B45" s="175"/>
      <c r="C45" s="175"/>
      <c r="D45" s="175"/>
      <c r="E45" s="175"/>
      <c r="F45" s="175"/>
      <c r="G45" s="175"/>
      <c r="H45" s="175"/>
      <c r="I45" s="175"/>
      <c r="J45" s="175"/>
      <c r="K45" s="175"/>
      <c r="L45" s="175"/>
      <c r="M45" s="175"/>
      <c r="N45" s="175"/>
      <c r="O45" s="175"/>
      <c r="P45" s="175"/>
      <c r="Q45" s="175"/>
      <c r="R45" s="175"/>
    </row>
    <row r="46" spans="2:18" ht="45" customHeight="1">
      <c r="B46" s="175"/>
      <c r="C46" s="176" t="s">
        <v>423</v>
      </c>
      <c r="D46" s="162">
        <v>261</v>
      </c>
      <c r="E46" s="162">
        <v>0</v>
      </c>
      <c r="F46" s="162"/>
      <c r="G46" s="162"/>
      <c r="H46" s="162"/>
      <c r="I46" s="162"/>
      <c r="J46" s="162"/>
      <c r="K46" s="162"/>
      <c r="L46" s="162"/>
      <c r="M46" s="162"/>
      <c r="N46" s="162"/>
      <c r="O46" s="162"/>
      <c r="P46" s="162"/>
      <c r="Q46" s="162"/>
      <c r="R46" s="162"/>
    </row>
    <row r="47" spans="2:18" ht="30" customHeight="1">
      <c r="B47" s="175"/>
      <c r="C47" s="177" t="s">
        <v>424</v>
      </c>
      <c r="D47" s="162">
        <v>6</v>
      </c>
      <c r="E47" s="162">
        <v>0</v>
      </c>
      <c r="F47" s="162"/>
      <c r="G47" s="162"/>
      <c r="H47" s="162"/>
      <c r="I47" s="162"/>
      <c r="J47" s="162"/>
      <c r="K47" s="162"/>
      <c r="L47" s="162"/>
      <c r="M47" s="162"/>
      <c r="N47" s="162"/>
      <c r="O47" s="162"/>
      <c r="P47" s="162"/>
      <c r="Q47" s="162"/>
      <c r="R47" s="162"/>
    </row>
    <row r="48" spans="2:18" ht="15" customHeight="1">
      <c r="B48" s="175"/>
      <c r="C48" s="177" t="s">
        <v>425</v>
      </c>
      <c r="D48" s="162">
        <f>D46-D47</f>
        <v>255</v>
      </c>
      <c r="E48" s="162">
        <v>0</v>
      </c>
      <c r="F48" s="162"/>
      <c r="G48" s="162"/>
      <c r="H48" s="162"/>
      <c r="I48" s="162"/>
      <c r="J48" s="162"/>
      <c r="K48" s="162"/>
      <c r="L48" s="162"/>
      <c r="M48" s="162"/>
      <c r="N48" s="162"/>
      <c r="O48" s="162"/>
      <c r="P48" s="162"/>
      <c r="Q48" s="162"/>
      <c r="R48" s="162"/>
    </row>
    <row r="49" spans="2:18" ht="3" customHeight="1">
      <c r="B49" s="175"/>
      <c r="C49" s="178"/>
      <c r="D49" s="179"/>
      <c r="E49" s="179"/>
      <c r="F49" s="179"/>
      <c r="G49" s="179"/>
      <c r="H49" s="179"/>
      <c r="I49" s="179"/>
      <c r="J49" s="179"/>
      <c r="K49" s="179"/>
      <c r="L49" s="179"/>
      <c r="M49" s="179"/>
      <c r="N49" s="179"/>
      <c r="O49" s="179"/>
      <c r="P49" s="179"/>
      <c r="Q49" s="179"/>
      <c r="R49" s="179"/>
    </row>
    <row r="50" spans="2:18" ht="30" customHeight="1">
      <c r="B50" s="175"/>
      <c r="C50" s="176" t="s">
        <v>426</v>
      </c>
      <c r="D50" s="162">
        <v>206</v>
      </c>
      <c r="E50" s="162">
        <f>48+12</f>
        <v>60</v>
      </c>
      <c r="F50" s="162"/>
      <c r="G50" s="162"/>
      <c r="H50" s="162"/>
      <c r="I50" s="162"/>
      <c r="J50" s="162"/>
      <c r="K50" s="162"/>
      <c r="L50" s="162"/>
      <c r="M50" s="162"/>
      <c r="N50" s="162"/>
      <c r="O50" s="162"/>
      <c r="P50" s="162"/>
      <c r="Q50" s="162"/>
      <c r="R50" s="162"/>
    </row>
    <row r="51" spans="2:18" ht="30" customHeight="1">
      <c r="B51" s="175"/>
      <c r="C51" s="177" t="s">
        <v>424</v>
      </c>
      <c r="D51" s="162">
        <v>4</v>
      </c>
      <c r="E51" s="162">
        <v>0</v>
      </c>
      <c r="F51" s="162"/>
      <c r="G51" s="162"/>
      <c r="H51" s="162"/>
      <c r="I51" s="162"/>
      <c r="J51" s="162"/>
      <c r="K51" s="162"/>
      <c r="L51" s="162"/>
      <c r="M51" s="162"/>
      <c r="N51" s="162"/>
      <c r="O51" s="162"/>
      <c r="P51" s="162"/>
      <c r="Q51" s="162"/>
      <c r="R51" s="162"/>
    </row>
    <row r="52" spans="2:18" ht="15" customHeight="1">
      <c r="B52" s="175"/>
      <c r="C52" s="177" t="s">
        <v>425</v>
      </c>
      <c r="D52" s="162">
        <f>D50-D51</f>
        <v>202</v>
      </c>
      <c r="E52" s="162">
        <v>0</v>
      </c>
      <c r="F52" s="162"/>
      <c r="G52" s="162"/>
      <c r="H52" s="162"/>
      <c r="I52" s="162"/>
      <c r="J52" s="162"/>
      <c r="K52" s="162"/>
      <c r="L52" s="162"/>
      <c r="M52" s="162"/>
      <c r="N52" s="162"/>
      <c r="O52" s="162"/>
      <c r="P52" s="162"/>
      <c r="Q52" s="162"/>
      <c r="R52" s="162"/>
    </row>
    <row r="53" spans="2:18" ht="6" customHeight="1">
      <c r="B53" s="175"/>
      <c r="C53" s="180"/>
      <c r="D53" s="179"/>
      <c r="E53" s="179"/>
      <c r="F53" s="179"/>
      <c r="G53" s="179"/>
      <c r="H53" s="179"/>
      <c r="I53" s="179"/>
      <c r="J53" s="179"/>
      <c r="K53" s="179"/>
      <c r="L53" s="179"/>
      <c r="M53" s="179"/>
      <c r="N53" s="179"/>
      <c r="O53" s="179"/>
      <c r="P53" s="179"/>
      <c r="Q53" s="179"/>
      <c r="R53" s="179"/>
    </row>
    <row r="54" spans="2:18" ht="33" customHeight="1">
      <c r="B54" s="175"/>
      <c r="C54" s="76" t="s">
        <v>427</v>
      </c>
      <c r="D54" s="179" t="s">
        <v>328</v>
      </c>
      <c r="E54" s="179">
        <v>0</v>
      </c>
      <c r="F54" s="179"/>
      <c r="G54" s="179"/>
      <c r="H54" s="179"/>
      <c r="I54" s="179"/>
      <c r="J54" s="179"/>
      <c r="K54" s="179"/>
      <c r="L54" s="179"/>
      <c r="M54" s="179"/>
      <c r="N54" s="179"/>
      <c r="O54" s="179"/>
      <c r="P54" s="179"/>
      <c r="Q54" s="179"/>
      <c r="R54" s="179"/>
    </row>
    <row r="55" spans="2:18" ht="30" customHeight="1">
      <c r="B55" s="175"/>
      <c r="C55" s="176" t="s">
        <v>428</v>
      </c>
      <c r="D55" s="162" t="s">
        <v>1166</v>
      </c>
      <c r="E55" s="162" t="s">
        <v>1167</v>
      </c>
      <c r="F55" s="162"/>
      <c r="G55" s="162"/>
      <c r="H55" s="162"/>
      <c r="I55" s="162"/>
      <c r="J55" s="162"/>
      <c r="K55" s="162"/>
      <c r="L55" s="162"/>
      <c r="M55" s="162"/>
      <c r="N55" s="162"/>
      <c r="O55" s="162"/>
      <c r="P55" s="162"/>
      <c r="Q55" s="162"/>
      <c r="R55" s="162"/>
    </row>
    <row r="56" spans="2:18" ht="30" customHeight="1">
      <c r="B56" s="175"/>
      <c r="C56" s="176" t="s">
        <v>429</v>
      </c>
      <c r="D56" s="162" t="s">
        <v>1168</v>
      </c>
      <c r="E56" s="162" t="s">
        <v>1167</v>
      </c>
      <c r="F56" s="162"/>
      <c r="G56" s="162"/>
      <c r="H56" s="162"/>
      <c r="I56" s="162"/>
      <c r="J56" s="162"/>
      <c r="K56" s="162"/>
      <c r="L56" s="162"/>
      <c r="M56" s="162"/>
      <c r="N56" s="162"/>
      <c r="O56" s="162"/>
      <c r="P56" s="162"/>
      <c r="Q56" s="162"/>
      <c r="R56" s="162"/>
    </row>
    <row r="57" spans="2:18" ht="56">
      <c r="C57" s="181" t="s">
        <v>430</v>
      </c>
      <c r="D57" s="541" t="s">
        <v>1169</v>
      </c>
      <c r="E57" s="151" t="s">
        <v>1167</v>
      </c>
    </row>
    <row r="58" spans="2:18" ht="56">
      <c r="C58" s="181" t="s">
        <v>431</v>
      </c>
      <c r="D58" s="541" t="s">
        <v>1169</v>
      </c>
      <c r="E58" s="151" t="s">
        <v>1167</v>
      </c>
    </row>
    <row r="59" spans="2:18">
      <c r="C59" s="182"/>
    </row>
    <row r="60" spans="2:18" ht="15">
      <c r="D60" s="139" t="s">
        <v>432</v>
      </c>
    </row>
    <row r="61" spans="2:18">
      <c r="D61" s="183" t="s">
        <v>433</v>
      </c>
    </row>
    <row r="62" spans="2:18">
      <c r="D62" s="184" t="s">
        <v>434</v>
      </c>
    </row>
    <row r="63" spans="2:18">
      <c r="D63" s="184" t="s">
        <v>435</v>
      </c>
    </row>
    <row r="64" spans="2:18">
      <c r="D64" s="184" t="s">
        <v>436</v>
      </c>
    </row>
    <row r="65" spans="4:4">
      <c r="D65" s="184" t="s">
        <v>437</v>
      </c>
    </row>
    <row r="66" spans="4:4">
      <c r="D66" s="184" t="s">
        <v>438</v>
      </c>
    </row>
    <row r="68" spans="4:4" ht="15">
      <c r="D68" s="185" t="s">
        <v>439</v>
      </c>
    </row>
  </sheetData>
  <mergeCells count="3">
    <mergeCell ref="C6:D6"/>
    <mergeCell ref="C7:D7"/>
    <mergeCell ref="D25:E25"/>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B25:C26 B27 B28:C29">
    <cfRule type="expression" dxfId="78" priority="3">
      <formula>#REF!="Owned"</formula>
    </cfRule>
  </conditionalFormatting>
  <conditionalFormatting sqref="C28:C30 C32">
    <cfRule type="expression" dxfId="77" priority="1">
      <formula>#REF!="Owned"</formula>
    </cfRule>
  </conditionalFormatting>
  <dataValidations count="1">
    <dataValidation type="list" allowBlank="1" showInputMessage="1" showErrorMessage="1" sqref="E6" xr:uid="{48686671-3551-494E-B429-B9B62BE2C703}">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FFA8-252A-47D1-B91D-9EEB8946AB01}">
  <sheetPr codeName="Feuil33">
    <tabColor rgb="FF00B050"/>
    <pageSetUpPr fitToPage="1"/>
  </sheetPr>
  <dimension ref="B2:R68"/>
  <sheetViews>
    <sheetView zoomScale="78" zoomScaleNormal="70" workbookViewId="0">
      <selection activeCell="E4" sqref="E4"/>
    </sheetView>
  </sheetViews>
  <sheetFormatPr baseColWidth="10" defaultColWidth="9.1640625" defaultRowHeight="36.5" customHeight="1"/>
  <cols>
    <col min="1" max="1" width="19.5" style="1" customWidth="1"/>
    <col min="2" max="2" width="24.1640625" style="1" customWidth="1"/>
    <col min="3" max="3" width="25.5" style="1" customWidth="1"/>
    <col min="4" max="18" width="22.83203125" style="1" customWidth="1"/>
    <col min="19" max="16384" width="9.1640625" style="1"/>
  </cols>
  <sheetData>
    <row r="2" spans="2:18" ht="36.5" customHeight="1">
      <c r="C2" s="506" t="s">
        <v>323</v>
      </c>
      <c r="D2" s="100">
        <v>45932</v>
      </c>
      <c r="E2" s="315"/>
      <c r="F2" s="3"/>
      <c r="G2" s="3"/>
      <c r="H2" s="3"/>
      <c r="I2" s="4"/>
    </row>
    <row r="4" spans="2:18" ht="36.5" customHeight="1">
      <c r="C4" s="316" t="s">
        <v>324</v>
      </c>
      <c r="D4" s="82" t="s">
        <v>147</v>
      </c>
      <c r="E4" s="82" t="s">
        <v>147</v>
      </c>
      <c r="I4" s="5"/>
    </row>
    <row r="6" spans="2:18" ht="36.5" customHeight="1">
      <c r="B6" s="1" t="s">
        <v>326</v>
      </c>
      <c r="C6" s="589" t="s">
        <v>327</v>
      </c>
      <c r="D6" s="591"/>
      <c r="E6" s="6" t="s">
        <v>414</v>
      </c>
      <c r="F6" s="101"/>
      <c r="G6" s="101"/>
      <c r="H6" s="101"/>
    </row>
    <row r="7" spans="2:18" ht="36.5" customHeight="1">
      <c r="B7" s="1" t="s">
        <v>326</v>
      </c>
      <c r="C7" s="589" t="s">
        <v>329</v>
      </c>
      <c r="D7" s="591"/>
      <c r="E7" s="6">
        <v>2</v>
      </c>
      <c r="F7" s="101"/>
      <c r="G7" s="101"/>
      <c r="H7" s="101"/>
    </row>
    <row r="8" spans="2:18" ht="36.5" customHeight="1">
      <c r="C8" s="113"/>
      <c r="D8" s="113"/>
      <c r="E8" s="42"/>
      <c r="F8" s="101"/>
      <c r="G8" s="101"/>
      <c r="H8" s="101"/>
    </row>
    <row r="9" spans="2:18" ht="36.5" customHeight="1">
      <c r="C9" s="318" t="s">
        <v>441</v>
      </c>
      <c r="D9" s="67"/>
      <c r="E9" s="67"/>
      <c r="F9" s="67"/>
      <c r="G9" s="67"/>
      <c r="H9" s="67"/>
      <c r="I9" s="67"/>
      <c r="J9" s="67"/>
      <c r="K9" s="67"/>
      <c r="L9" s="67"/>
      <c r="M9" s="67"/>
      <c r="N9" s="67"/>
      <c r="O9" s="67"/>
      <c r="P9" s="67"/>
      <c r="Q9" s="67"/>
    </row>
    <row r="10" spans="2:18" ht="36.5" customHeight="1">
      <c r="C10" s="104" t="s">
        <v>331</v>
      </c>
      <c r="D10" s="319" t="s">
        <v>1170</v>
      </c>
      <c r="E10" s="114" t="s">
        <v>1171</v>
      </c>
      <c r="F10" s="114" t="s">
        <v>1172</v>
      </c>
      <c r="G10" s="114" t="s">
        <v>335</v>
      </c>
      <c r="H10" s="114" t="s">
        <v>336</v>
      </c>
      <c r="I10" s="114" t="s">
        <v>337</v>
      </c>
      <c r="J10" s="114" t="s">
        <v>338</v>
      </c>
      <c r="K10" s="114" t="s">
        <v>339</v>
      </c>
      <c r="L10" s="114" t="s">
        <v>340</v>
      </c>
      <c r="M10" s="114" t="s">
        <v>341</v>
      </c>
      <c r="N10" s="114" t="s">
        <v>342</v>
      </c>
      <c r="O10" s="114" t="s">
        <v>343</v>
      </c>
      <c r="P10" s="114" t="s">
        <v>344</v>
      </c>
      <c r="Q10" s="114" t="s">
        <v>345</v>
      </c>
      <c r="R10" s="114" t="s">
        <v>346</v>
      </c>
    </row>
    <row r="11" spans="2:18" ht="36.5" customHeight="1">
      <c r="C11" s="104" t="s">
        <v>299</v>
      </c>
      <c r="D11" s="84" t="s">
        <v>1173</v>
      </c>
      <c r="E11" s="84" t="s">
        <v>1174</v>
      </c>
      <c r="F11" s="84"/>
      <c r="G11" s="84"/>
      <c r="H11" s="84"/>
      <c r="I11" s="84"/>
      <c r="J11" s="84"/>
      <c r="K11" s="84"/>
      <c r="L11" s="84"/>
      <c r="M11" s="84"/>
      <c r="N11" s="84"/>
      <c r="O11" s="84"/>
      <c r="P11" s="84"/>
      <c r="Q11" s="84"/>
      <c r="R11" s="84"/>
    </row>
    <row r="12" spans="2:18" ht="36.5" customHeight="1">
      <c r="C12" s="68"/>
      <c r="D12" s="320"/>
      <c r="E12" s="321"/>
      <c r="F12" s="321"/>
      <c r="G12" s="321"/>
      <c r="H12" s="321"/>
      <c r="I12" s="321"/>
      <c r="J12" s="322"/>
      <c r="K12" s="322"/>
      <c r="L12" s="322"/>
      <c r="M12" s="322"/>
      <c r="N12" s="322"/>
      <c r="O12" s="322"/>
      <c r="P12" s="322"/>
      <c r="Q12" s="322"/>
      <c r="R12" s="322"/>
    </row>
    <row r="13" spans="2:18" ht="36.5" customHeight="1">
      <c r="B13" s="7" t="s">
        <v>348</v>
      </c>
      <c r="C13" s="8" t="s">
        <v>349</v>
      </c>
      <c r="D13" s="118" t="s">
        <v>1175</v>
      </c>
      <c r="E13" s="118" t="s">
        <v>1175</v>
      </c>
      <c r="F13" s="118"/>
      <c r="G13" s="118"/>
      <c r="H13" s="118"/>
      <c r="I13" s="118"/>
      <c r="J13" s="118"/>
      <c r="K13" s="118"/>
      <c r="L13" s="118"/>
      <c r="M13" s="118"/>
      <c r="N13" s="118"/>
      <c r="O13" s="118"/>
      <c r="P13" s="118"/>
      <c r="Q13" s="118"/>
      <c r="R13" s="118"/>
    </row>
    <row r="14" spans="2:18" ht="36.5" customHeight="1">
      <c r="B14" s="7" t="s">
        <v>352</v>
      </c>
      <c r="C14" s="8" t="s">
        <v>297</v>
      </c>
      <c r="D14" s="85" t="s">
        <v>149</v>
      </c>
      <c r="E14" s="85" t="s">
        <v>151</v>
      </c>
      <c r="F14" s="85"/>
      <c r="G14" s="85"/>
      <c r="H14" s="85"/>
      <c r="I14" s="85"/>
      <c r="J14" s="85"/>
      <c r="K14" s="85"/>
      <c r="L14" s="85"/>
      <c r="M14" s="85"/>
      <c r="N14" s="85"/>
      <c r="O14" s="85"/>
      <c r="P14" s="85"/>
      <c r="Q14" s="85"/>
      <c r="R14" s="85"/>
    </row>
    <row r="15" spans="2:18" ht="36.5" customHeight="1">
      <c r="B15" s="7" t="s">
        <v>353</v>
      </c>
      <c r="C15" s="8" t="s">
        <v>354</v>
      </c>
      <c r="D15" s="85" t="s">
        <v>150</v>
      </c>
      <c r="E15" s="85" t="s">
        <v>152</v>
      </c>
      <c r="F15" s="85"/>
      <c r="G15" s="85"/>
      <c r="H15" s="85"/>
      <c r="I15" s="85"/>
      <c r="J15" s="85"/>
      <c r="K15" s="85"/>
      <c r="L15" s="85"/>
      <c r="M15" s="85"/>
      <c r="N15" s="85"/>
      <c r="O15" s="85"/>
      <c r="P15" s="85"/>
      <c r="Q15" s="85"/>
      <c r="R15" s="85"/>
    </row>
    <row r="16" spans="2:18" ht="36.5" customHeight="1">
      <c r="B16" s="7" t="s">
        <v>355</v>
      </c>
      <c r="C16" s="8" t="s">
        <v>356</v>
      </c>
      <c r="D16" s="85" t="s">
        <v>1176</v>
      </c>
      <c r="E16" s="85" t="s">
        <v>1177</v>
      </c>
      <c r="F16" s="85"/>
      <c r="G16" s="85"/>
      <c r="H16" s="85"/>
      <c r="I16" s="85"/>
      <c r="J16" s="85"/>
      <c r="K16" s="85"/>
      <c r="L16" s="85"/>
      <c r="M16" s="85"/>
      <c r="N16" s="85"/>
      <c r="O16" s="85"/>
      <c r="P16" s="85"/>
      <c r="Q16" s="85"/>
      <c r="R16" s="85"/>
    </row>
    <row r="17" spans="2:18" ht="36.5" customHeight="1">
      <c r="B17" s="7" t="s">
        <v>357</v>
      </c>
      <c r="C17" s="8" t="s">
        <v>294</v>
      </c>
      <c r="D17" s="85" t="s">
        <v>148</v>
      </c>
      <c r="E17" s="85" t="s">
        <v>148</v>
      </c>
      <c r="F17" s="85"/>
      <c r="G17" s="85"/>
      <c r="H17" s="85"/>
      <c r="I17" s="85"/>
      <c r="J17" s="85"/>
      <c r="K17" s="85"/>
      <c r="L17" s="85"/>
      <c r="M17" s="85"/>
      <c r="N17" s="85"/>
      <c r="O17" s="85"/>
      <c r="P17" s="85"/>
      <c r="Q17" s="85"/>
      <c r="R17" s="85"/>
    </row>
    <row r="18" spans="2:18" ht="36.5" customHeight="1">
      <c r="B18" s="9" t="s">
        <v>358</v>
      </c>
      <c r="C18" s="10" t="s">
        <v>359</v>
      </c>
      <c r="D18" s="85" t="s">
        <v>360</v>
      </c>
      <c r="E18" s="85" t="s">
        <v>360</v>
      </c>
      <c r="F18" s="85"/>
      <c r="G18" s="85"/>
      <c r="H18" s="85"/>
      <c r="I18" s="85"/>
      <c r="J18" s="85"/>
      <c r="K18" s="85"/>
      <c r="L18" s="85"/>
      <c r="M18" s="85"/>
      <c r="N18" s="85"/>
      <c r="O18" s="85"/>
      <c r="P18" s="85"/>
      <c r="Q18" s="85"/>
      <c r="R18" s="85"/>
    </row>
    <row r="19" spans="2:18" ht="36.5" customHeight="1">
      <c r="B19" s="9" t="s">
        <v>361</v>
      </c>
      <c r="C19" s="10" t="s">
        <v>362</v>
      </c>
      <c r="D19" s="85" t="s">
        <v>328</v>
      </c>
      <c r="E19" s="85" t="s">
        <v>328</v>
      </c>
      <c r="F19" s="85"/>
      <c r="G19" s="85"/>
      <c r="H19" s="85"/>
      <c r="I19" s="85"/>
      <c r="J19" s="85"/>
      <c r="K19" s="85"/>
      <c r="L19" s="85"/>
      <c r="M19" s="85"/>
      <c r="N19" s="85"/>
      <c r="O19" s="85"/>
      <c r="P19" s="85"/>
      <c r="Q19" s="85"/>
      <c r="R19" s="85"/>
    </row>
    <row r="20" spans="2:18" ht="53.5" customHeight="1">
      <c r="B20" s="9" t="s">
        <v>363</v>
      </c>
      <c r="C20" s="10" t="s">
        <v>364</v>
      </c>
      <c r="D20" s="85" t="s">
        <v>328</v>
      </c>
      <c r="E20" s="85" t="s">
        <v>328</v>
      </c>
      <c r="F20" s="85"/>
      <c r="G20" s="85"/>
      <c r="H20" s="85"/>
      <c r="I20" s="85"/>
      <c r="J20" s="85"/>
      <c r="K20" s="85"/>
      <c r="L20" s="85"/>
      <c r="M20" s="85"/>
      <c r="N20" s="85"/>
      <c r="O20" s="85"/>
      <c r="P20" s="85"/>
      <c r="Q20" s="85"/>
      <c r="R20" s="85"/>
    </row>
    <row r="21" spans="2:18" ht="58" customHeight="1">
      <c r="B21" s="11" t="s">
        <v>365</v>
      </c>
      <c r="C21" s="12" t="s">
        <v>366</v>
      </c>
      <c r="D21" s="85" t="s">
        <v>1178</v>
      </c>
      <c r="E21" s="85" t="s">
        <v>1179</v>
      </c>
      <c r="F21" s="85"/>
      <c r="G21" s="85"/>
      <c r="H21" s="85"/>
      <c r="I21" s="85"/>
      <c r="J21" s="85"/>
      <c r="K21" s="85"/>
      <c r="L21" s="85"/>
      <c r="M21" s="85"/>
      <c r="N21" s="85"/>
      <c r="O21" s="85"/>
      <c r="P21" s="85"/>
      <c r="Q21" s="85"/>
      <c r="R21" s="85"/>
    </row>
    <row r="22" spans="2:18" ht="28">
      <c r="B22" s="11" t="s">
        <v>369</v>
      </c>
      <c r="C22" s="12" t="s">
        <v>370</v>
      </c>
      <c r="D22" s="85" t="s">
        <v>1180</v>
      </c>
      <c r="E22" s="85" t="s">
        <v>1181</v>
      </c>
      <c r="F22" s="85"/>
      <c r="G22" s="85"/>
      <c r="H22" s="85"/>
      <c r="I22" s="85"/>
      <c r="J22" s="85"/>
      <c r="K22" s="85"/>
      <c r="L22" s="85"/>
      <c r="M22" s="85"/>
      <c r="N22" s="85"/>
      <c r="O22" s="85"/>
      <c r="P22" s="85"/>
      <c r="Q22" s="85"/>
      <c r="R22" s="85"/>
    </row>
    <row r="23" spans="2:18" ht="36.5" customHeight="1">
      <c r="B23" s="13"/>
      <c r="C23" s="87" t="s">
        <v>374</v>
      </c>
      <c r="D23" s="131" t="s">
        <v>374</v>
      </c>
      <c r="E23" s="131" t="s">
        <v>374</v>
      </c>
      <c r="F23" s="131"/>
      <c r="G23" s="131"/>
      <c r="H23" s="131"/>
      <c r="I23" s="131"/>
      <c r="J23" s="131"/>
      <c r="K23" s="131"/>
      <c r="L23" s="131"/>
      <c r="M23" s="131"/>
      <c r="N23" s="131"/>
      <c r="O23" s="131"/>
      <c r="P23" s="131"/>
      <c r="Q23" s="131"/>
      <c r="R23" s="131"/>
    </row>
    <row r="24" spans="2:18" ht="36.5" customHeight="1">
      <c r="B24" s="13" t="s">
        <v>375</v>
      </c>
      <c r="C24" s="14" t="s">
        <v>376</v>
      </c>
      <c r="D24" s="88">
        <v>2357.52</v>
      </c>
      <c r="E24" s="88" t="s">
        <v>1182</v>
      </c>
      <c r="F24" s="88"/>
      <c r="G24" s="88"/>
      <c r="H24" s="88"/>
      <c r="I24" s="88"/>
      <c r="J24" s="88"/>
      <c r="K24" s="88"/>
      <c r="L24" s="88"/>
      <c r="M24" s="88"/>
      <c r="N24" s="88"/>
      <c r="O24" s="88"/>
      <c r="P24" s="88"/>
      <c r="Q24" s="88"/>
      <c r="R24" s="88"/>
    </row>
    <row r="25" spans="2:18" ht="36.5" customHeight="1">
      <c r="B25" s="15" t="s">
        <v>377</v>
      </c>
      <c r="C25" s="16" t="s">
        <v>378</v>
      </c>
      <c r="D25" s="119">
        <v>40</v>
      </c>
      <c r="E25" s="119">
        <v>10</v>
      </c>
      <c r="F25" s="85"/>
      <c r="G25" s="85"/>
      <c r="H25" s="85"/>
      <c r="I25" s="85"/>
      <c r="J25" s="85"/>
      <c r="K25" s="85"/>
      <c r="L25" s="85"/>
      <c r="M25" s="85"/>
      <c r="N25" s="85"/>
      <c r="O25" s="85"/>
      <c r="P25" s="85"/>
      <c r="Q25" s="85"/>
      <c r="R25" s="85"/>
    </row>
    <row r="26" spans="2:18" ht="36.5" customHeight="1">
      <c r="B26" s="15" t="s">
        <v>380</v>
      </c>
      <c r="C26" s="16" t="s">
        <v>381</v>
      </c>
      <c r="D26" s="89" t="s">
        <v>1183</v>
      </c>
      <c r="E26" s="89" t="s">
        <v>1183</v>
      </c>
      <c r="F26" s="88"/>
      <c r="G26" s="85"/>
      <c r="H26" s="85"/>
      <c r="I26" s="85"/>
      <c r="J26" s="85"/>
      <c r="K26" s="85"/>
      <c r="L26" s="85"/>
      <c r="M26" s="85"/>
      <c r="N26" s="85"/>
      <c r="O26" s="85"/>
      <c r="P26" s="85"/>
      <c r="Q26" s="85"/>
      <c r="R26" s="85"/>
    </row>
    <row r="27" spans="2:18" ht="36.5" customHeight="1">
      <c r="B27" s="323" t="s">
        <v>383</v>
      </c>
      <c r="C27" s="324" t="s">
        <v>383</v>
      </c>
      <c r="D27" s="89"/>
      <c r="E27" s="89"/>
      <c r="F27" s="88"/>
      <c r="G27" s="85"/>
      <c r="H27" s="85"/>
      <c r="I27" s="85"/>
      <c r="J27" s="85"/>
      <c r="K27" s="85"/>
      <c r="L27" s="85"/>
      <c r="M27" s="85"/>
      <c r="N27" s="85"/>
      <c r="O27" s="85"/>
      <c r="P27" s="85"/>
      <c r="Q27" s="85"/>
      <c r="R27" s="85"/>
    </row>
    <row r="28" spans="2:18" ht="36.5" customHeight="1">
      <c r="B28" s="15" t="s">
        <v>384</v>
      </c>
      <c r="C28" s="16" t="s">
        <v>450</v>
      </c>
      <c r="D28" s="347">
        <v>1222.02</v>
      </c>
      <c r="E28" s="347" t="s">
        <v>1184</v>
      </c>
      <c r="F28" s="88"/>
      <c r="G28" s="85"/>
      <c r="H28" s="85"/>
      <c r="I28" s="85"/>
      <c r="J28" s="85"/>
      <c r="K28" s="85"/>
      <c r="L28" s="85"/>
      <c r="M28" s="85"/>
      <c r="N28" s="85"/>
      <c r="O28" s="85"/>
      <c r="P28" s="85"/>
      <c r="Q28" s="85"/>
      <c r="R28" s="85"/>
    </row>
    <row r="29" spans="2:18" ht="124" customHeight="1">
      <c r="B29" s="15" t="s">
        <v>387</v>
      </c>
      <c r="C29" s="16" t="s">
        <v>388</v>
      </c>
      <c r="D29" s="89" t="s">
        <v>1185</v>
      </c>
      <c r="E29" s="335" t="s">
        <v>1186</v>
      </c>
      <c r="F29" s="88"/>
      <c r="G29" s="85"/>
      <c r="H29" s="85"/>
      <c r="I29" s="85"/>
      <c r="J29" s="85"/>
      <c r="K29" s="85"/>
      <c r="L29" s="85"/>
      <c r="M29" s="85"/>
      <c r="N29" s="85"/>
      <c r="O29" s="85"/>
      <c r="P29" s="85"/>
      <c r="Q29" s="85"/>
      <c r="R29" s="85"/>
    </row>
    <row r="30" spans="2:18" ht="50" customHeight="1">
      <c r="B30" s="13" t="s">
        <v>390</v>
      </c>
      <c r="C30" s="17" t="s">
        <v>453</v>
      </c>
      <c r="D30" s="88">
        <v>535420.5</v>
      </c>
      <c r="E30" s="366"/>
      <c r="F30" s="85"/>
      <c r="G30" s="85"/>
      <c r="H30" s="85"/>
      <c r="I30" s="85"/>
      <c r="J30" s="85"/>
      <c r="K30" s="85"/>
      <c r="L30" s="85"/>
      <c r="M30" s="85"/>
      <c r="N30" s="85"/>
      <c r="O30" s="85"/>
      <c r="P30" s="85"/>
      <c r="Q30" s="85"/>
      <c r="R30" s="85"/>
    </row>
    <row r="31" spans="2:18" ht="36.5" customHeight="1">
      <c r="B31" s="326"/>
      <c r="C31" s="327" t="s">
        <v>393</v>
      </c>
      <c r="D31" s="88"/>
      <c r="E31" s="366">
        <v>176465.6</v>
      </c>
      <c r="F31" s="85"/>
      <c r="G31" s="85"/>
      <c r="H31" s="85"/>
      <c r="I31" s="85"/>
      <c r="J31" s="85"/>
      <c r="K31" s="85"/>
      <c r="L31" s="85"/>
      <c r="M31" s="85"/>
      <c r="N31" s="85"/>
      <c r="O31" s="85"/>
      <c r="P31" s="85"/>
      <c r="Q31" s="85"/>
      <c r="R31" s="85"/>
    </row>
    <row r="32" spans="2:18" ht="36.5" customHeight="1">
      <c r="B32" s="13" t="s">
        <v>394</v>
      </c>
      <c r="C32" s="17" t="s">
        <v>395</v>
      </c>
      <c r="D32" s="85"/>
      <c r="E32" s="85" t="s">
        <v>410</v>
      </c>
      <c r="F32" s="85"/>
      <c r="G32" s="85"/>
      <c r="H32" s="85"/>
      <c r="I32" s="85"/>
      <c r="J32" s="85"/>
      <c r="K32" s="85"/>
      <c r="L32" s="85"/>
      <c r="M32" s="85"/>
      <c r="N32" s="85"/>
      <c r="O32" s="85"/>
      <c r="P32" s="85"/>
      <c r="Q32" s="85"/>
      <c r="R32" s="85"/>
    </row>
    <row r="33" spans="2:18" ht="36.5" customHeight="1">
      <c r="B33" s="18" t="s">
        <v>397</v>
      </c>
      <c r="C33" s="19" t="s">
        <v>313</v>
      </c>
      <c r="D33" s="91">
        <v>43864</v>
      </c>
      <c r="E33" s="367">
        <v>45566</v>
      </c>
      <c r="F33" s="91"/>
      <c r="G33" s="91"/>
      <c r="H33" s="91"/>
      <c r="I33" s="91"/>
      <c r="J33" s="85"/>
      <c r="K33" s="85"/>
      <c r="L33" s="85"/>
      <c r="M33" s="85"/>
      <c r="N33" s="85"/>
      <c r="O33" s="85"/>
      <c r="P33" s="85"/>
      <c r="Q33" s="85"/>
      <c r="R33" s="85"/>
    </row>
    <row r="34" spans="2:18" ht="36.5" customHeight="1">
      <c r="B34" s="20" t="s">
        <v>398</v>
      </c>
      <c r="C34" s="19" t="s">
        <v>315</v>
      </c>
      <c r="D34" s="91">
        <v>46721</v>
      </c>
      <c r="E34" s="91" t="s">
        <v>1187</v>
      </c>
      <c r="F34" s="91"/>
      <c r="G34" s="91"/>
      <c r="H34" s="91"/>
      <c r="I34" s="91"/>
      <c r="J34" s="85"/>
      <c r="K34" s="85"/>
      <c r="L34" s="85"/>
      <c r="M34" s="85"/>
      <c r="N34" s="85"/>
      <c r="O34" s="85"/>
      <c r="P34" s="85"/>
      <c r="Q34" s="85"/>
      <c r="R34" s="85"/>
    </row>
    <row r="35" spans="2:18" ht="36.5" customHeight="1">
      <c r="B35" s="20" t="s">
        <v>399</v>
      </c>
      <c r="C35" s="19" t="s">
        <v>400</v>
      </c>
      <c r="D35" s="91" t="s">
        <v>410</v>
      </c>
      <c r="E35" s="85"/>
      <c r="F35" s="85"/>
      <c r="G35" s="85"/>
      <c r="H35" s="85"/>
      <c r="I35" s="85"/>
      <c r="J35" s="85"/>
      <c r="K35" s="85"/>
      <c r="L35" s="85"/>
      <c r="M35" s="85"/>
      <c r="N35" s="85"/>
      <c r="O35" s="85"/>
      <c r="P35" s="85"/>
      <c r="Q35" s="85"/>
      <c r="R35" s="85"/>
    </row>
    <row r="36" spans="2:18" ht="36.5" customHeight="1">
      <c r="B36" s="20" t="s">
        <v>402</v>
      </c>
      <c r="C36" s="21" t="s">
        <v>403</v>
      </c>
      <c r="D36" s="92" t="s">
        <v>680</v>
      </c>
      <c r="E36" s="92"/>
      <c r="F36" s="93"/>
      <c r="G36" s="93"/>
      <c r="H36" s="93"/>
      <c r="I36" s="93"/>
      <c r="J36" s="85"/>
      <c r="K36" s="85"/>
      <c r="L36" s="85"/>
      <c r="M36" s="85"/>
      <c r="N36" s="85"/>
      <c r="O36" s="85"/>
      <c r="P36" s="85"/>
      <c r="Q36" s="85"/>
      <c r="R36" s="85"/>
    </row>
    <row r="37" spans="2:18" ht="36.5" customHeight="1">
      <c r="B37" s="20" t="s">
        <v>404</v>
      </c>
      <c r="C37" s="21" t="s">
        <v>405</v>
      </c>
      <c r="D37" s="92"/>
      <c r="E37" s="92"/>
      <c r="F37" s="93"/>
      <c r="G37" s="93"/>
      <c r="H37" s="93"/>
      <c r="I37" s="93"/>
      <c r="J37" s="85"/>
      <c r="K37" s="85"/>
      <c r="L37" s="85"/>
      <c r="M37" s="85"/>
      <c r="N37" s="85"/>
      <c r="O37" s="85"/>
      <c r="P37" s="85"/>
      <c r="Q37" s="85"/>
      <c r="R37" s="85"/>
    </row>
    <row r="38" spans="2:18" ht="36.5" customHeight="1">
      <c r="B38" s="20" t="s">
        <v>406</v>
      </c>
      <c r="C38" s="21" t="s">
        <v>407</v>
      </c>
      <c r="D38" s="92" t="s">
        <v>328</v>
      </c>
      <c r="E38" s="92" t="s">
        <v>328</v>
      </c>
      <c r="F38" s="93"/>
      <c r="G38" s="93"/>
      <c r="H38" s="93"/>
      <c r="I38" s="93"/>
      <c r="J38" s="85"/>
      <c r="K38" s="85"/>
      <c r="L38" s="85"/>
      <c r="M38" s="85"/>
      <c r="N38" s="85"/>
      <c r="O38" s="85"/>
      <c r="P38" s="85"/>
      <c r="Q38" s="85"/>
      <c r="R38" s="85"/>
    </row>
    <row r="39" spans="2:18" ht="36.5" customHeight="1">
      <c r="B39" s="20" t="s">
        <v>408</v>
      </c>
      <c r="C39" s="21" t="s">
        <v>409</v>
      </c>
      <c r="D39" s="136" t="s">
        <v>410</v>
      </c>
      <c r="E39" s="136" t="s">
        <v>410</v>
      </c>
      <c r="F39" s="95"/>
      <c r="G39" s="93"/>
      <c r="H39" s="93"/>
      <c r="I39" s="93"/>
      <c r="J39" s="85"/>
      <c r="K39" s="85"/>
      <c r="L39" s="85"/>
      <c r="M39" s="85"/>
      <c r="N39" s="85"/>
      <c r="O39" s="85"/>
      <c r="P39" s="85"/>
      <c r="Q39" s="85"/>
      <c r="R39" s="85"/>
    </row>
    <row r="40" spans="2:18" ht="36.5" customHeight="1">
      <c r="B40" s="20" t="s">
        <v>411</v>
      </c>
      <c r="C40" s="21" t="s">
        <v>314</v>
      </c>
      <c r="D40" s="92">
        <v>46721</v>
      </c>
      <c r="E40" s="93">
        <v>47483</v>
      </c>
      <c r="F40" s="93"/>
      <c r="G40" s="93"/>
      <c r="H40" s="93"/>
      <c r="I40" s="93"/>
      <c r="J40" s="85"/>
      <c r="K40" s="85"/>
      <c r="L40" s="85"/>
      <c r="M40" s="85"/>
      <c r="N40" s="85"/>
      <c r="O40" s="85"/>
      <c r="P40" s="85"/>
      <c r="Q40" s="85"/>
      <c r="R40" s="85"/>
    </row>
    <row r="41" spans="2:18" ht="36.5" customHeight="1">
      <c r="B41" s="22" t="s">
        <v>412</v>
      </c>
      <c r="C41" s="23" t="s">
        <v>413</v>
      </c>
      <c r="D41" s="92" t="s">
        <v>1188</v>
      </c>
      <c r="E41" s="92" t="s">
        <v>328</v>
      </c>
      <c r="F41" s="92"/>
      <c r="G41" s="92"/>
      <c r="H41" s="92"/>
      <c r="I41" s="92"/>
      <c r="J41" s="92"/>
      <c r="K41" s="92"/>
      <c r="L41" s="92"/>
      <c r="M41" s="92"/>
      <c r="N41" s="92"/>
      <c r="O41" s="92"/>
      <c r="P41" s="92"/>
      <c r="Q41" s="92"/>
      <c r="R41" s="92"/>
    </row>
    <row r="42" spans="2:18" ht="36.5" customHeight="1">
      <c r="B42" s="24" t="s">
        <v>457</v>
      </c>
      <c r="C42" s="23" t="s">
        <v>458</v>
      </c>
      <c r="D42" s="95" t="s">
        <v>1189</v>
      </c>
      <c r="E42" s="95"/>
      <c r="F42" s="95"/>
      <c r="G42" s="95"/>
      <c r="H42" s="95"/>
      <c r="I42" s="95"/>
      <c r="J42" s="95"/>
      <c r="K42" s="95"/>
      <c r="L42" s="95"/>
      <c r="M42" s="95"/>
      <c r="N42" s="95"/>
      <c r="O42" s="95"/>
      <c r="P42" s="95"/>
      <c r="Q42" s="95"/>
      <c r="R42" s="95"/>
    </row>
    <row r="43" spans="2:18" ht="36.5" customHeight="1">
      <c r="B43" s="25" t="s">
        <v>418</v>
      </c>
      <c r="C43" s="26" t="s">
        <v>419</v>
      </c>
      <c r="D43" s="85" t="s">
        <v>680</v>
      </c>
      <c r="E43" s="368" t="s">
        <v>680</v>
      </c>
      <c r="F43" s="85"/>
      <c r="G43" s="85"/>
      <c r="H43" s="85"/>
      <c r="I43" s="85"/>
      <c r="J43" s="85"/>
      <c r="K43" s="85"/>
      <c r="L43" s="85"/>
      <c r="M43" s="85"/>
      <c r="N43" s="85"/>
      <c r="O43" s="85"/>
      <c r="P43" s="85"/>
      <c r="Q43" s="85"/>
      <c r="R43" s="85"/>
    </row>
    <row r="44" spans="2:18" ht="36.5" customHeight="1">
      <c r="B44" s="25" t="s">
        <v>420</v>
      </c>
      <c r="C44" s="26" t="s">
        <v>421</v>
      </c>
      <c r="D44" s="369" t="s">
        <v>1190</v>
      </c>
      <c r="E44" s="368" t="s">
        <v>680</v>
      </c>
      <c r="F44" s="85"/>
      <c r="G44" s="85"/>
      <c r="H44" s="85"/>
      <c r="I44" s="85"/>
      <c r="J44" s="85"/>
      <c r="K44" s="85"/>
      <c r="L44" s="85"/>
      <c r="M44" s="85"/>
      <c r="N44" s="85"/>
      <c r="O44" s="85"/>
      <c r="P44" s="85"/>
      <c r="Q44" s="85"/>
      <c r="R44" s="85"/>
    </row>
    <row r="45" spans="2:18" ht="36.5" customHeight="1">
      <c r="B45" s="27"/>
      <c r="C45" s="27"/>
      <c r="D45" s="27"/>
      <c r="E45" s="27"/>
      <c r="F45" s="27"/>
      <c r="G45" s="27"/>
      <c r="H45" s="27"/>
      <c r="I45" s="27"/>
      <c r="J45" s="27"/>
      <c r="K45" s="27"/>
      <c r="L45" s="27"/>
      <c r="M45" s="27"/>
      <c r="N45" s="27"/>
      <c r="O45" s="27"/>
      <c r="P45" s="27"/>
      <c r="Q45" s="27"/>
      <c r="R45" s="27"/>
    </row>
    <row r="46" spans="2:18" ht="36.5" customHeight="1">
      <c r="B46" s="27"/>
      <c r="C46" s="28" t="s">
        <v>423</v>
      </c>
      <c r="D46" s="85">
        <v>343</v>
      </c>
      <c r="E46" s="369"/>
      <c r="F46" s="85"/>
      <c r="G46" s="85"/>
      <c r="H46" s="85"/>
      <c r="I46" s="85"/>
      <c r="J46" s="85"/>
      <c r="K46" s="85"/>
      <c r="L46" s="85"/>
      <c r="M46" s="85"/>
      <c r="N46" s="85"/>
      <c r="O46" s="85"/>
      <c r="P46" s="85"/>
      <c r="Q46" s="85"/>
      <c r="R46" s="85"/>
    </row>
    <row r="47" spans="2:18" ht="36.5" customHeight="1">
      <c r="B47" s="27"/>
      <c r="C47" s="29" t="s">
        <v>424</v>
      </c>
      <c r="D47" s="85">
        <v>107</v>
      </c>
      <c r="E47" s="369"/>
      <c r="F47" s="85"/>
      <c r="G47" s="85"/>
      <c r="H47" s="85"/>
      <c r="I47" s="85"/>
      <c r="J47" s="85"/>
      <c r="K47" s="85"/>
      <c r="L47" s="85"/>
      <c r="M47" s="85"/>
      <c r="N47" s="85"/>
      <c r="O47" s="85"/>
      <c r="P47" s="85"/>
      <c r="Q47" s="85"/>
      <c r="R47" s="85"/>
    </row>
    <row r="48" spans="2:18" ht="36.5" customHeight="1">
      <c r="B48" s="27"/>
      <c r="C48" s="29" t="s">
        <v>425</v>
      </c>
      <c r="D48" s="85">
        <v>236</v>
      </c>
      <c r="E48" s="369"/>
      <c r="F48" s="85"/>
      <c r="G48" s="85"/>
      <c r="H48" s="85"/>
      <c r="I48" s="85"/>
      <c r="J48" s="85"/>
      <c r="K48" s="85"/>
      <c r="L48" s="85"/>
      <c r="M48" s="85"/>
      <c r="N48" s="85"/>
      <c r="O48" s="85"/>
      <c r="P48" s="85"/>
      <c r="Q48" s="85"/>
      <c r="R48" s="85"/>
    </row>
    <row r="49" spans="2:18" ht="10" customHeight="1">
      <c r="B49" s="27"/>
      <c r="C49" s="30"/>
      <c r="D49" s="96"/>
      <c r="E49" s="96"/>
      <c r="F49" s="96"/>
      <c r="G49" s="96"/>
      <c r="H49" s="96"/>
      <c r="I49" s="96"/>
      <c r="J49" s="96"/>
      <c r="K49" s="96"/>
      <c r="L49" s="96"/>
      <c r="M49" s="96"/>
      <c r="N49" s="96"/>
      <c r="O49" s="96"/>
      <c r="P49" s="96"/>
      <c r="Q49" s="96"/>
      <c r="R49" s="96"/>
    </row>
    <row r="50" spans="2:18" ht="36.5" customHeight="1">
      <c r="B50" s="27"/>
      <c r="C50" s="28" t="s">
        <v>426</v>
      </c>
      <c r="D50" s="85">
        <v>141</v>
      </c>
      <c r="E50" s="85"/>
      <c r="F50" s="85"/>
      <c r="G50" s="85"/>
      <c r="H50" s="85"/>
      <c r="I50" s="85"/>
      <c r="J50" s="85"/>
      <c r="K50" s="85"/>
      <c r="L50" s="85"/>
      <c r="M50" s="85"/>
      <c r="N50" s="85"/>
      <c r="O50" s="85"/>
      <c r="P50" s="85"/>
      <c r="Q50" s="85"/>
      <c r="R50" s="85"/>
    </row>
    <row r="51" spans="2:18" ht="33.5" customHeight="1">
      <c r="B51" s="27"/>
      <c r="C51" s="29" t="s">
        <v>424</v>
      </c>
      <c r="D51" s="85">
        <v>63</v>
      </c>
      <c r="E51" s="85"/>
      <c r="F51" s="85"/>
      <c r="G51" s="85"/>
      <c r="H51" s="85"/>
      <c r="I51" s="85"/>
      <c r="J51" s="85"/>
      <c r="K51" s="85"/>
      <c r="L51" s="85"/>
      <c r="M51" s="85"/>
      <c r="N51" s="85"/>
      <c r="O51" s="85"/>
      <c r="P51" s="85"/>
      <c r="Q51" s="85"/>
      <c r="R51" s="85"/>
    </row>
    <row r="52" spans="2:18" ht="36.5" customHeight="1">
      <c r="B52" s="27"/>
      <c r="C52" s="29" t="s">
        <v>425</v>
      </c>
      <c r="D52" s="85">
        <v>78</v>
      </c>
      <c r="E52" s="85"/>
      <c r="F52" s="85"/>
      <c r="G52" s="85"/>
      <c r="H52" s="85"/>
      <c r="I52" s="85"/>
      <c r="J52" s="85"/>
      <c r="K52" s="85"/>
      <c r="L52" s="85"/>
      <c r="M52" s="85"/>
      <c r="N52" s="85"/>
      <c r="O52" s="85"/>
      <c r="P52" s="85"/>
      <c r="Q52" s="85"/>
      <c r="R52" s="85"/>
    </row>
    <row r="53" spans="2:18" ht="12" customHeight="1">
      <c r="B53" s="27"/>
      <c r="C53" s="31"/>
      <c r="D53" s="96"/>
      <c r="E53" s="96"/>
      <c r="F53" s="96"/>
      <c r="G53" s="96"/>
      <c r="H53" s="96"/>
      <c r="I53" s="96"/>
      <c r="J53" s="96"/>
      <c r="K53" s="96"/>
      <c r="L53" s="96"/>
      <c r="M53" s="96"/>
      <c r="N53" s="96"/>
      <c r="O53" s="96"/>
      <c r="P53" s="96"/>
      <c r="Q53" s="96"/>
      <c r="R53" s="96"/>
    </row>
    <row r="54" spans="2:18" ht="29" customHeight="1">
      <c r="B54" s="27"/>
      <c r="C54" s="28" t="s">
        <v>427</v>
      </c>
      <c r="D54" s="85"/>
      <c r="E54" s="85"/>
      <c r="F54" s="85"/>
      <c r="G54" s="85"/>
      <c r="H54" s="85"/>
      <c r="I54" s="85"/>
      <c r="J54" s="85"/>
      <c r="K54" s="85"/>
      <c r="L54" s="85"/>
      <c r="M54" s="85"/>
      <c r="N54" s="85"/>
      <c r="O54" s="85"/>
      <c r="P54" s="85"/>
      <c r="Q54" s="85"/>
      <c r="R54" s="85"/>
    </row>
    <row r="55" spans="2:18" ht="36.5" customHeight="1">
      <c r="B55" s="27"/>
      <c r="C55" s="28" t="s">
        <v>428</v>
      </c>
      <c r="D55" s="85">
        <v>3</v>
      </c>
      <c r="E55" s="85">
        <v>3</v>
      </c>
      <c r="F55" s="85"/>
      <c r="G55" s="85"/>
      <c r="H55" s="85"/>
      <c r="I55" s="85"/>
      <c r="J55" s="85"/>
      <c r="K55" s="85"/>
      <c r="L55" s="85"/>
      <c r="M55" s="85"/>
      <c r="N55" s="85"/>
      <c r="O55" s="85"/>
      <c r="P55" s="85"/>
      <c r="Q55" s="85"/>
      <c r="R55" s="85"/>
    </row>
    <row r="56" spans="2:18" ht="33.5" customHeight="1">
      <c r="B56" s="27"/>
      <c r="C56" s="330" t="s">
        <v>429</v>
      </c>
      <c r="D56" s="95">
        <v>3</v>
      </c>
      <c r="E56" s="95">
        <v>3</v>
      </c>
      <c r="F56" s="95"/>
      <c r="G56" s="95"/>
      <c r="H56" s="95"/>
      <c r="I56" s="95"/>
      <c r="J56" s="95"/>
      <c r="K56" s="95"/>
      <c r="L56" s="95"/>
      <c r="M56" s="95"/>
      <c r="N56" s="95"/>
      <c r="O56" s="95"/>
      <c r="P56" s="95"/>
      <c r="Q56" s="95"/>
      <c r="R56" s="95"/>
    </row>
    <row r="57" spans="2:18" ht="56" customHeight="1">
      <c r="C57" s="331" t="s">
        <v>430</v>
      </c>
      <c r="D57" s="71"/>
      <c r="E57" s="71"/>
      <c r="F57" s="71"/>
      <c r="G57" s="71"/>
      <c r="H57" s="71"/>
      <c r="I57" s="71"/>
      <c r="J57" s="71"/>
      <c r="K57" s="71"/>
      <c r="L57" s="71"/>
      <c r="M57" s="71"/>
      <c r="N57" s="71"/>
      <c r="O57" s="71"/>
      <c r="P57" s="71"/>
      <c r="Q57" s="71"/>
      <c r="R57" s="71"/>
    </row>
    <row r="58" spans="2:18" ht="57" customHeight="1">
      <c r="C58" s="331" t="s">
        <v>431</v>
      </c>
      <c r="D58" s="71"/>
      <c r="E58" s="71"/>
      <c r="F58" s="71"/>
      <c r="G58" s="71"/>
      <c r="H58" s="71"/>
      <c r="I58" s="71"/>
      <c r="J58" s="71"/>
      <c r="K58" s="71"/>
      <c r="L58" s="71"/>
      <c r="M58" s="71"/>
      <c r="N58" s="71"/>
      <c r="O58" s="71"/>
      <c r="P58" s="71"/>
      <c r="Q58" s="71"/>
      <c r="R58" s="71"/>
    </row>
    <row r="60" spans="2:18" ht="17" customHeight="1">
      <c r="D60" s="1" t="s">
        <v>432</v>
      </c>
    </row>
    <row r="61" spans="2:18" ht="17" customHeight="1">
      <c r="D61" s="97" t="s">
        <v>433</v>
      </c>
    </row>
    <row r="62" spans="2:18" ht="17" customHeight="1">
      <c r="D62" s="98" t="s">
        <v>434</v>
      </c>
    </row>
    <row r="63" spans="2:18" ht="17" customHeight="1">
      <c r="D63" s="98" t="s">
        <v>435</v>
      </c>
    </row>
    <row r="64" spans="2:18" ht="17" customHeight="1">
      <c r="D64" s="98" t="s">
        <v>436</v>
      </c>
    </row>
    <row r="65" spans="4:4" ht="17" customHeight="1">
      <c r="D65" s="98" t="s">
        <v>437</v>
      </c>
    </row>
    <row r="66" spans="4:4" ht="17" customHeight="1">
      <c r="D66" s="98" t="s">
        <v>438</v>
      </c>
    </row>
    <row r="67" spans="4:4" ht="17" customHeight="1"/>
    <row r="68" spans="4:4" ht="17" customHeight="1">
      <c r="D68" s="99" t="s">
        <v>1191</v>
      </c>
    </row>
  </sheetData>
  <mergeCells count="2">
    <mergeCell ref="C6:D6"/>
    <mergeCell ref="C7:D7"/>
  </mergeCells>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76" priority="3">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2 B30">
    <cfRule type="colorScale" priority="6">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75" priority="5">
      <formula>#REF!="Owned"</formula>
    </cfRule>
  </conditionalFormatting>
  <conditionalFormatting sqref="C27:C32">
    <cfRule type="expression" dxfId="74" priority="1">
      <formula>#REF!="Owned"</formula>
    </cfRule>
  </conditionalFormatting>
  <dataValidations count="1">
    <dataValidation type="list" allowBlank="1" showInputMessage="1" showErrorMessage="1" sqref="E6" xr:uid="{E78B9597-4C54-4E70-844C-05FF2E5C6A8F}">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F72A-9174-4C5A-B4B6-076C34193004}">
  <sheetPr codeName="Feuil34">
    <tabColor rgb="FF00B050"/>
    <pageSetUpPr fitToPage="1"/>
  </sheetPr>
  <dimension ref="B2:R68"/>
  <sheetViews>
    <sheetView topLeftCell="A31" zoomScale="85" zoomScaleNormal="85" workbookViewId="0">
      <selection activeCell="E27" sqref="E27"/>
    </sheetView>
  </sheetViews>
  <sheetFormatPr baseColWidth="10" defaultColWidth="9.1640625" defaultRowHeight="36.5" customHeight="1"/>
  <cols>
    <col min="1" max="1" width="19.5" style="1" customWidth="1"/>
    <col min="2" max="2" width="24.1640625" style="1" customWidth="1"/>
    <col min="3" max="3" width="25.5" style="1" customWidth="1"/>
    <col min="4" max="18" width="22.83203125" style="1" customWidth="1"/>
    <col min="19" max="16384" width="9.1640625" style="1"/>
  </cols>
  <sheetData>
    <row r="2" spans="2:18" ht="36.5" customHeight="1">
      <c r="C2" s="506" t="s">
        <v>323</v>
      </c>
      <c r="D2" s="100">
        <v>46063</v>
      </c>
      <c r="E2" s="315"/>
      <c r="F2" s="3"/>
      <c r="G2" s="3"/>
      <c r="H2" s="3"/>
      <c r="I2" s="4"/>
    </row>
    <row r="4" spans="2:18" ht="36.5" customHeight="1">
      <c r="C4" s="316" t="s">
        <v>324</v>
      </c>
      <c r="D4" s="82" t="s">
        <v>145</v>
      </c>
      <c r="I4" s="5"/>
    </row>
    <row r="6" spans="2:18" ht="36.5" customHeight="1">
      <c r="B6" s="1" t="s">
        <v>326</v>
      </c>
      <c r="C6" s="589" t="s">
        <v>327</v>
      </c>
      <c r="D6" s="591"/>
      <c r="E6" s="6" t="s">
        <v>328</v>
      </c>
      <c r="F6" s="101"/>
      <c r="G6" s="101"/>
      <c r="H6" s="101"/>
    </row>
    <row r="7" spans="2:18" ht="36.5" customHeight="1">
      <c r="B7" s="1" t="s">
        <v>326</v>
      </c>
      <c r="C7" s="589" t="s">
        <v>329</v>
      </c>
      <c r="D7" s="591"/>
      <c r="E7" s="6">
        <v>1</v>
      </c>
      <c r="F7" s="101"/>
      <c r="G7" s="101"/>
      <c r="H7" s="101"/>
    </row>
    <row r="8" spans="2:18" ht="36.5" customHeight="1">
      <c r="C8" s="113"/>
      <c r="D8" s="113"/>
      <c r="E8" s="42"/>
      <c r="F8" s="101"/>
      <c r="G8" s="101"/>
      <c r="H8" s="101"/>
    </row>
    <row r="9" spans="2:18" ht="36.5" customHeight="1">
      <c r="C9" s="318" t="s">
        <v>441</v>
      </c>
      <c r="D9" s="370" t="s">
        <v>1192</v>
      </c>
      <c r="E9" s="67"/>
      <c r="F9" s="67"/>
      <c r="G9" s="67"/>
      <c r="H9" s="67"/>
      <c r="I9" s="67"/>
      <c r="J9" s="67"/>
      <c r="K9" s="67"/>
      <c r="L9" s="67"/>
      <c r="M9" s="67"/>
      <c r="N9" s="67"/>
      <c r="O9" s="67"/>
      <c r="P9" s="67"/>
      <c r="Q9" s="67"/>
      <c r="R9" s="71"/>
    </row>
    <row r="10" spans="2:18" ht="36.5" customHeight="1">
      <c r="C10" s="104" t="s">
        <v>331</v>
      </c>
      <c r="D10" s="319" t="s">
        <v>1193</v>
      </c>
      <c r="E10" s="114" t="s">
        <v>504</v>
      </c>
      <c r="F10" s="114" t="s">
        <v>334</v>
      </c>
      <c r="G10" s="114" t="s">
        <v>335</v>
      </c>
      <c r="H10" s="114" t="s">
        <v>336</v>
      </c>
      <c r="I10" s="114" t="s">
        <v>337</v>
      </c>
      <c r="J10" s="114" t="s">
        <v>338</v>
      </c>
      <c r="K10" s="114" t="s">
        <v>339</v>
      </c>
      <c r="L10" s="114" t="s">
        <v>340</v>
      </c>
      <c r="M10" s="114" t="s">
        <v>341</v>
      </c>
      <c r="N10" s="114" t="s">
        <v>342</v>
      </c>
      <c r="O10" s="114" t="s">
        <v>343</v>
      </c>
      <c r="P10" s="114" t="s">
        <v>344</v>
      </c>
      <c r="Q10" s="114" t="s">
        <v>345</v>
      </c>
      <c r="R10" s="114" t="s">
        <v>346</v>
      </c>
    </row>
    <row r="11" spans="2:18" ht="36.5" customHeight="1">
      <c r="C11" s="70" t="s">
        <v>299</v>
      </c>
      <c r="D11" s="371" t="s">
        <v>1194</v>
      </c>
      <c r="E11" s="328"/>
      <c r="F11" s="328"/>
      <c r="G11" s="328"/>
      <c r="H11" s="328"/>
      <c r="I11" s="328"/>
      <c r="J11" s="372"/>
      <c r="K11" s="372"/>
      <c r="L11" s="372"/>
      <c r="M11" s="372"/>
      <c r="N11" s="372"/>
      <c r="O11" s="372"/>
      <c r="P11" s="372"/>
      <c r="Q11" s="372"/>
      <c r="R11" s="372"/>
    </row>
    <row r="12" spans="2:18" ht="36.5" customHeight="1">
      <c r="C12" s="70"/>
      <c r="D12" s="473"/>
      <c r="E12" s="474"/>
      <c r="F12" s="474"/>
      <c r="G12" s="474"/>
      <c r="H12" s="474"/>
      <c r="I12" s="474"/>
      <c r="J12" s="475"/>
      <c r="K12" s="475"/>
      <c r="L12" s="475"/>
      <c r="M12" s="475"/>
      <c r="N12" s="475"/>
      <c r="O12" s="475"/>
      <c r="P12" s="475"/>
      <c r="Q12" s="475"/>
      <c r="R12" s="475"/>
    </row>
    <row r="13" spans="2:18" ht="36.75" customHeight="1">
      <c r="B13" s="7" t="s">
        <v>348</v>
      </c>
      <c r="C13" s="8" t="s">
        <v>349</v>
      </c>
      <c r="D13" s="118"/>
      <c r="E13" s="118"/>
      <c r="F13" s="118"/>
      <c r="G13" s="118"/>
      <c r="H13" s="118"/>
      <c r="I13" s="118"/>
      <c r="J13" s="118"/>
      <c r="K13" s="118"/>
      <c r="L13" s="118"/>
      <c r="M13" s="118"/>
      <c r="N13" s="118"/>
      <c r="O13" s="118"/>
      <c r="P13" s="118"/>
      <c r="Q13" s="118"/>
      <c r="R13" s="118"/>
    </row>
    <row r="14" spans="2:18" ht="36.5" customHeight="1">
      <c r="B14" s="7" t="s">
        <v>352</v>
      </c>
      <c r="C14" s="8" t="s">
        <v>297</v>
      </c>
      <c r="D14" s="85" t="s">
        <v>146</v>
      </c>
      <c r="E14" s="85"/>
      <c r="F14" s="85"/>
      <c r="G14" s="85"/>
      <c r="H14" s="85"/>
      <c r="I14" s="85"/>
      <c r="J14" s="85"/>
      <c r="K14" s="85"/>
      <c r="L14" s="85"/>
      <c r="M14" s="85"/>
      <c r="N14" s="85"/>
      <c r="O14" s="85"/>
      <c r="P14" s="85"/>
      <c r="Q14" s="85"/>
      <c r="R14" s="85"/>
    </row>
    <row r="15" spans="2:18" ht="36.5" customHeight="1">
      <c r="B15" s="7" t="s">
        <v>353</v>
      </c>
      <c r="C15" s="8" t="s">
        <v>354</v>
      </c>
      <c r="D15" s="85"/>
      <c r="E15" s="85"/>
      <c r="F15" s="85"/>
      <c r="G15" s="85"/>
      <c r="H15" s="85"/>
      <c r="I15" s="85"/>
      <c r="J15" s="85"/>
      <c r="K15" s="85"/>
      <c r="L15" s="85"/>
      <c r="M15" s="85"/>
      <c r="N15" s="85"/>
      <c r="O15" s="85"/>
      <c r="P15" s="85"/>
      <c r="Q15" s="85"/>
      <c r="R15" s="85"/>
    </row>
    <row r="16" spans="2:18" ht="36.5" customHeight="1">
      <c r="B16" s="7" t="s">
        <v>355</v>
      </c>
      <c r="C16" s="8" t="s">
        <v>356</v>
      </c>
      <c r="D16" s="85"/>
      <c r="E16" s="85"/>
      <c r="F16" s="85"/>
      <c r="G16" s="85"/>
      <c r="H16" s="85"/>
      <c r="I16" s="85"/>
      <c r="J16" s="85"/>
      <c r="K16" s="85"/>
      <c r="L16" s="85"/>
      <c r="M16" s="85"/>
      <c r="N16" s="85"/>
      <c r="O16" s="85"/>
      <c r="P16" s="85"/>
      <c r="Q16" s="85"/>
      <c r="R16" s="85"/>
    </row>
    <row r="17" spans="2:18" ht="36.5" customHeight="1">
      <c r="B17" s="7" t="s">
        <v>357</v>
      </c>
      <c r="C17" s="8" t="s">
        <v>294</v>
      </c>
      <c r="D17" s="85" t="s">
        <v>145</v>
      </c>
      <c r="E17" s="85"/>
      <c r="F17" s="85"/>
      <c r="G17" s="85"/>
      <c r="H17" s="85"/>
      <c r="I17" s="85"/>
      <c r="J17" s="85"/>
      <c r="K17" s="85"/>
      <c r="L17" s="85"/>
      <c r="M17" s="85"/>
      <c r="N17" s="85"/>
      <c r="O17" s="85"/>
      <c r="P17" s="85"/>
      <c r="Q17" s="85"/>
      <c r="R17" s="85"/>
    </row>
    <row r="18" spans="2:18" ht="36.5" customHeight="1">
      <c r="B18" s="9" t="s">
        <v>358</v>
      </c>
      <c r="C18" s="10" t="s">
        <v>359</v>
      </c>
      <c r="D18" s="85" t="s">
        <v>360</v>
      </c>
      <c r="E18" s="85"/>
      <c r="F18" s="85"/>
      <c r="G18" s="85"/>
      <c r="H18" s="85"/>
      <c r="I18" s="85"/>
      <c r="J18" s="85"/>
      <c r="K18" s="85"/>
      <c r="L18" s="85"/>
      <c r="M18" s="85"/>
      <c r="N18" s="85"/>
      <c r="O18" s="85"/>
      <c r="P18" s="85"/>
      <c r="Q18" s="85"/>
      <c r="R18" s="85"/>
    </row>
    <row r="19" spans="2:18" ht="36.5" customHeight="1">
      <c r="B19" s="9" t="s">
        <v>361</v>
      </c>
      <c r="C19" s="10" t="s">
        <v>362</v>
      </c>
      <c r="D19" s="85" t="s">
        <v>328</v>
      </c>
      <c r="E19" s="85"/>
      <c r="F19" s="85"/>
      <c r="G19" s="85"/>
      <c r="H19" s="85"/>
      <c r="I19" s="85"/>
      <c r="J19" s="85"/>
      <c r="K19" s="85"/>
      <c r="L19" s="85"/>
      <c r="M19" s="85"/>
      <c r="N19" s="85"/>
      <c r="O19" s="85"/>
      <c r="P19" s="85"/>
      <c r="Q19" s="85"/>
      <c r="R19" s="85"/>
    </row>
    <row r="20" spans="2:18" ht="36.5" customHeight="1">
      <c r="B20" s="9" t="s">
        <v>363</v>
      </c>
      <c r="C20" s="10" t="s">
        <v>364</v>
      </c>
      <c r="D20" s="85" t="s">
        <v>410</v>
      </c>
      <c r="E20" s="85"/>
      <c r="F20" s="85"/>
      <c r="G20" s="85"/>
      <c r="H20" s="85"/>
      <c r="I20" s="85"/>
      <c r="J20" s="85"/>
      <c r="K20" s="85"/>
      <c r="L20" s="85"/>
      <c r="M20" s="85"/>
      <c r="N20" s="85"/>
      <c r="O20" s="85"/>
      <c r="P20" s="85"/>
      <c r="Q20" s="85"/>
      <c r="R20" s="85"/>
    </row>
    <row r="21" spans="2:18" ht="36.5" customHeight="1">
      <c r="B21" s="11" t="s">
        <v>365</v>
      </c>
      <c r="C21" s="12" t="s">
        <v>366</v>
      </c>
      <c r="D21" s="85" t="s">
        <v>1195</v>
      </c>
      <c r="E21" s="85"/>
      <c r="F21" s="85"/>
      <c r="G21" s="85"/>
      <c r="H21" s="85"/>
      <c r="I21" s="85"/>
      <c r="J21" s="85"/>
      <c r="K21" s="85"/>
      <c r="L21" s="85"/>
      <c r="M21" s="85"/>
      <c r="N21" s="85"/>
      <c r="O21" s="85"/>
      <c r="P21" s="85"/>
      <c r="Q21" s="85"/>
      <c r="R21" s="85"/>
    </row>
    <row r="22" spans="2:18" ht="36.5" customHeight="1">
      <c r="B22" s="11" t="s">
        <v>369</v>
      </c>
      <c r="C22" s="12" t="s">
        <v>370</v>
      </c>
      <c r="D22" s="85"/>
      <c r="E22" s="85"/>
      <c r="F22" s="85"/>
      <c r="G22" s="85"/>
      <c r="H22" s="85"/>
      <c r="I22" s="85"/>
      <c r="J22" s="85"/>
      <c r="K22" s="85"/>
      <c r="L22" s="85"/>
      <c r="M22" s="85"/>
      <c r="N22" s="85"/>
      <c r="O22" s="85"/>
      <c r="P22" s="85"/>
      <c r="Q22" s="85"/>
      <c r="R22" s="85"/>
    </row>
    <row r="23" spans="2:18" ht="36.5" customHeight="1">
      <c r="B23" s="13"/>
      <c r="C23" s="87" t="s">
        <v>374</v>
      </c>
      <c r="D23" s="131" t="s">
        <v>374</v>
      </c>
      <c r="E23" s="131"/>
      <c r="F23" s="131"/>
      <c r="G23" s="131"/>
      <c r="H23" s="131"/>
      <c r="I23" s="131"/>
      <c r="J23" s="131"/>
      <c r="K23" s="131"/>
      <c r="L23" s="131"/>
      <c r="M23" s="131"/>
      <c r="N23" s="131"/>
      <c r="O23" s="131"/>
      <c r="P23" s="131"/>
      <c r="Q23" s="131"/>
      <c r="R23" s="131"/>
    </row>
    <row r="24" spans="2:18" ht="36.5" customHeight="1">
      <c r="B24" s="13" t="s">
        <v>375</v>
      </c>
      <c r="C24" s="14" t="s">
        <v>376</v>
      </c>
      <c r="D24" s="88">
        <v>1251</v>
      </c>
      <c r="E24" s="88"/>
      <c r="F24" s="88"/>
      <c r="G24" s="88"/>
      <c r="H24" s="88"/>
      <c r="I24" s="88"/>
      <c r="J24" s="88"/>
      <c r="K24" s="88"/>
      <c r="L24" s="88"/>
      <c r="M24" s="88"/>
      <c r="N24" s="88"/>
      <c r="O24" s="88"/>
      <c r="P24" s="88"/>
      <c r="Q24" s="88"/>
      <c r="R24" s="88"/>
    </row>
    <row r="25" spans="2:18" ht="36.5" customHeight="1">
      <c r="B25" s="15" t="s">
        <v>377</v>
      </c>
      <c r="C25" s="16" t="s">
        <v>378</v>
      </c>
      <c r="D25" s="119">
        <v>10</v>
      </c>
      <c r="E25" s="119"/>
      <c r="F25" s="85"/>
      <c r="G25" s="85"/>
      <c r="H25" s="85"/>
      <c r="I25" s="85"/>
      <c r="J25" s="85"/>
      <c r="K25" s="85"/>
      <c r="L25" s="85"/>
      <c r="M25" s="85"/>
      <c r="N25" s="85"/>
      <c r="O25" s="85"/>
      <c r="P25" s="85"/>
      <c r="Q25" s="85"/>
      <c r="R25" s="85"/>
    </row>
    <row r="26" spans="2:18" ht="36.5" customHeight="1">
      <c r="B26" s="15" t="s">
        <v>380</v>
      </c>
      <c r="C26" s="16" t="s">
        <v>381</v>
      </c>
      <c r="D26" s="89" t="s">
        <v>449</v>
      </c>
      <c r="E26" s="89"/>
      <c r="F26" s="88"/>
      <c r="G26" s="85"/>
      <c r="H26" s="85"/>
      <c r="I26" s="85"/>
      <c r="J26" s="85"/>
      <c r="K26" s="85"/>
      <c r="L26" s="85"/>
      <c r="M26" s="85"/>
      <c r="N26" s="85"/>
      <c r="O26" s="85"/>
      <c r="P26" s="85"/>
      <c r="Q26" s="85"/>
      <c r="R26" s="85"/>
    </row>
    <row r="27" spans="2:18" ht="36.5" customHeight="1">
      <c r="B27" s="323" t="s">
        <v>383</v>
      </c>
      <c r="C27" s="324" t="s">
        <v>383</v>
      </c>
      <c r="D27" s="89">
        <f>D28*D24</f>
        <v>175640.39999999997</v>
      </c>
      <c r="E27" s="89"/>
      <c r="F27" s="88"/>
      <c r="G27" s="85"/>
      <c r="H27" s="85"/>
      <c r="I27" s="85"/>
      <c r="J27" s="85"/>
      <c r="K27" s="85"/>
      <c r="L27" s="85"/>
      <c r="M27" s="85"/>
      <c r="N27" s="85"/>
      <c r="O27" s="85"/>
      <c r="P27" s="85"/>
      <c r="Q27" s="85"/>
      <c r="R27" s="85"/>
    </row>
    <row r="28" spans="2:18" ht="36.5" customHeight="1">
      <c r="B28" s="15" t="s">
        <v>384</v>
      </c>
      <c r="C28" s="16" t="s">
        <v>385</v>
      </c>
      <c r="D28" s="373">
        <f>11.7*12</f>
        <v>140.39999999999998</v>
      </c>
      <c r="E28" s="89"/>
      <c r="F28" s="88"/>
      <c r="G28" s="85"/>
      <c r="H28" s="85"/>
      <c r="I28" s="85"/>
      <c r="J28" s="85"/>
      <c r="K28" s="85"/>
      <c r="L28" s="85"/>
      <c r="M28" s="85"/>
      <c r="N28" s="85"/>
      <c r="O28" s="85"/>
      <c r="P28" s="85"/>
      <c r="Q28" s="85"/>
      <c r="R28" s="85"/>
    </row>
    <row r="29" spans="2:18" ht="36.5" customHeight="1">
      <c r="B29" s="15" t="s">
        <v>387</v>
      </c>
      <c r="C29" s="16" t="s">
        <v>388</v>
      </c>
      <c r="D29" s="121"/>
      <c r="E29" s="89"/>
      <c r="F29" s="88"/>
      <c r="G29" s="85"/>
      <c r="H29" s="85"/>
      <c r="I29" s="85"/>
      <c r="J29" s="85"/>
      <c r="K29" s="85"/>
      <c r="L29" s="85"/>
      <c r="M29" s="85"/>
      <c r="N29" s="85"/>
      <c r="O29" s="85"/>
      <c r="P29" s="85"/>
      <c r="Q29" s="85"/>
      <c r="R29" s="85"/>
    </row>
    <row r="30" spans="2:18" ht="36.5" customHeight="1">
      <c r="B30" s="13" t="s">
        <v>390</v>
      </c>
      <c r="C30" s="17" t="s">
        <v>453</v>
      </c>
      <c r="D30" s="373"/>
      <c r="E30" s="85"/>
      <c r="F30" s="85"/>
      <c r="G30" s="85"/>
      <c r="H30" s="85"/>
      <c r="I30" s="85"/>
      <c r="J30" s="85"/>
      <c r="K30" s="85"/>
      <c r="L30" s="85"/>
      <c r="M30" s="85"/>
      <c r="N30" s="85"/>
      <c r="O30" s="85"/>
      <c r="P30" s="85"/>
      <c r="Q30" s="85"/>
      <c r="R30" s="85"/>
    </row>
    <row r="31" spans="2:18" ht="36.5" customHeight="1">
      <c r="B31" s="326"/>
      <c r="C31" s="327" t="s">
        <v>393</v>
      </c>
      <c r="D31" s="89"/>
      <c r="E31" s="85"/>
      <c r="F31" s="85"/>
      <c r="G31" s="85"/>
      <c r="H31" s="85"/>
      <c r="I31" s="85"/>
      <c r="J31" s="85"/>
      <c r="K31" s="85"/>
      <c r="L31" s="85"/>
      <c r="M31" s="85"/>
      <c r="N31" s="85"/>
      <c r="O31" s="85"/>
      <c r="P31" s="85"/>
      <c r="Q31" s="85"/>
      <c r="R31" s="85"/>
    </row>
    <row r="32" spans="2:18" ht="36.5" customHeight="1">
      <c r="B32" s="13" t="s">
        <v>394</v>
      </c>
      <c r="C32" s="17" t="s">
        <v>395</v>
      </c>
      <c r="D32" s="89"/>
      <c r="E32" s="85"/>
      <c r="F32" s="85"/>
      <c r="G32" s="85"/>
      <c r="H32" s="85"/>
      <c r="I32" s="85"/>
      <c r="J32" s="85"/>
      <c r="K32" s="85"/>
      <c r="L32" s="85"/>
      <c r="M32" s="85"/>
      <c r="N32" s="85"/>
      <c r="O32" s="85"/>
      <c r="P32" s="85"/>
      <c r="Q32" s="85"/>
      <c r="R32" s="85"/>
    </row>
    <row r="33" spans="2:18" ht="36.5" customHeight="1">
      <c r="B33" s="18" t="s">
        <v>397</v>
      </c>
      <c r="C33" s="19" t="s">
        <v>313</v>
      </c>
      <c r="D33" s="91">
        <v>45961</v>
      </c>
      <c r="E33" s="91"/>
      <c r="F33" s="91"/>
      <c r="G33" s="91"/>
      <c r="H33" s="91"/>
      <c r="I33" s="91"/>
      <c r="J33" s="85"/>
      <c r="K33" s="85"/>
      <c r="L33" s="85"/>
      <c r="M33" s="85"/>
      <c r="N33" s="85"/>
      <c r="O33" s="85"/>
      <c r="P33" s="85"/>
      <c r="Q33" s="85"/>
      <c r="R33" s="85"/>
    </row>
    <row r="34" spans="2:18" ht="36.5" customHeight="1">
      <c r="B34" s="20" t="s">
        <v>398</v>
      </c>
      <c r="C34" s="19" t="s">
        <v>315</v>
      </c>
      <c r="D34" s="91">
        <v>47787</v>
      </c>
      <c r="E34" s="91"/>
      <c r="F34" s="91"/>
      <c r="G34" s="91"/>
      <c r="H34" s="91"/>
      <c r="I34" s="91"/>
      <c r="J34" s="85"/>
      <c r="K34" s="85"/>
      <c r="L34" s="85"/>
      <c r="M34" s="85"/>
      <c r="N34" s="85"/>
      <c r="O34" s="85"/>
      <c r="P34" s="85"/>
      <c r="Q34" s="85"/>
      <c r="R34" s="85"/>
    </row>
    <row r="35" spans="2:18" ht="36.5" customHeight="1">
      <c r="B35" s="20" t="s">
        <v>399</v>
      </c>
      <c r="C35" s="19" t="s">
        <v>400</v>
      </c>
      <c r="D35" s="91"/>
      <c r="E35" s="85"/>
      <c r="F35" s="85"/>
      <c r="G35" s="85"/>
      <c r="H35" s="85"/>
      <c r="I35" s="85"/>
      <c r="J35" s="85"/>
      <c r="K35" s="85"/>
      <c r="L35" s="85"/>
      <c r="M35" s="85"/>
      <c r="N35" s="85"/>
      <c r="O35" s="85"/>
      <c r="P35" s="85"/>
      <c r="Q35" s="85"/>
      <c r="R35" s="85"/>
    </row>
    <row r="36" spans="2:18" ht="36.5" customHeight="1">
      <c r="B36" s="20" t="s">
        <v>402</v>
      </c>
      <c r="C36" s="21" t="s">
        <v>403</v>
      </c>
      <c r="D36" s="92" t="s">
        <v>674</v>
      </c>
      <c r="E36" s="92"/>
      <c r="F36" s="93"/>
      <c r="G36" s="93"/>
      <c r="H36" s="93"/>
      <c r="I36" s="93"/>
      <c r="J36" s="85"/>
      <c r="K36" s="85"/>
      <c r="L36" s="85"/>
      <c r="M36" s="85"/>
      <c r="N36" s="85"/>
      <c r="O36" s="85"/>
      <c r="P36" s="85"/>
      <c r="Q36" s="85"/>
      <c r="R36" s="85"/>
    </row>
    <row r="37" spans="2:18" ht="36.5" customHeight="1">
      <c r="B37" s="20" t="s">
        <v>404</v>
      </c>
      <c r="C37" s="21" t="s">
        <v>405</v>
      </c>
      <c r="D37" s="92"/>
      <c r="E37" s="92"/>
      <c r="F37" s="93"/>
      <c r="G37" s="93"/>
      <c r="H37" s="93"/>
      <c r="I37" s="93"/>
      <c r="J37" s="85"/>
      <c r="K37" s="85"/>
      <c r="L37" s="85"/>
      <c r="M37" s="85"/>
      <c r="N37" s="85"/>
      <c r="O37" s="85"/>
      <c r="P37" s="85"/>
      <c r="Q37" s="85"/>
      <c r="R37" s="85"/>
    </row>
    <row r="38" spans="2:18" ht="36.5" customHeight="1">
      <c r="B38" s="20" t="s">
        <v>406</v>
      </c>
      <c r="C38" s="21" t="s">
        <v>407</v>
      </c>
      <c r="D38" s="92"/>
      <c r="E38" s="92"/>
      <c r="F38" s="93"/>
      <c r="G38" s="93"/>
      <c r="H38" s="93"/>
      <c r="I38" s="93"/>
      <c r="J38" s="85"/>
      <c r="K38" s="85"/>
      <c r="L38" s="85"/>
      <c r="M38" s="85"/>
      <c r="N38" s="85"/>
      <c r="O38" s="85"/>
      <c r="P38" s="85"/>
      <c r="Q38" s="85"/>
      <c r="R38" s="85"/>
    </row>
    <row r="39" spans="2:18" ht="36.5" customHeight="1">
      <c r="B39" s="20" t="s">
        <v>408</v>
      </c>
      <c r="C39" s="21" t="s">
        <v>409</v>
      </c>
      <c r="D39" s="136"/>
      <c r="E39" s="136"/>
      <c r="F39" s="95"/>
      <c r="G39" s="93"/>
      <c r="H39" s="93"/>
      <c r="I39" s="93"/>
      <c r="J39" s="85"/>
      <c r="K39" s="85"/>
      <c r="L39" s="85"/>
      <c r="M39" s="85"/>
      <c r="N39" s="85"/>
      <c r="O39" s="85"/>
      <c r="P39" s="85"/>
      <c r="Q39" s="85"/>
      <c r="R39" s="85"/>
    </row>
    <row r="40" spans="2:18" ht="36.5" customHeight="1">
      <c r="B40" s="20" t="s">
        <v>411</v>
      </c>
      <c r="C40" s="21" t="s">
        <v>314</v>
      </c>
      <c r="D40" s="92">
        <v>49613</v>
      </c>
      <c r="E40" s="92"/>
      <c r="F40" s="93"/>
      <c r="G40" s="93"/>
      <c r="H40" s="93"/>
      <c r="I40" s="93"/>
      <c r="J40" s="85"/>
      <c r="K40" s="85"/>
      <c r="L40" s="85"/>
      <c r="M40" s="85"/>
      <c r="N40" s="85"/>
      <c r="O40" s="85"/>
      <c r="P40" s="85"/>
      <c r="Q40" s="85"/>
      <c r="R40" s="85"/>
    </row>
    <row r="41" spans="2:18" ht="36.5" customHeight="1">
      <c r="B41" s="22" t="s">
        <v>412</v>
      </c>
      <c r="C41" s="23" t="s">
        <v>413</v>
      </c>
      <c r="D41" s="92"/>
      <c r="E41" s="92"/>
      <c r="F41" s="92"/>
      <c r="G41" s="92"/>
      <c r="H41" s="92"/>
      <c r="I41" s="92"/>
      <c r="J41" s="92"/>
      <c r="K41" s="92"/>
      <c r="L41" s="92"/>
      <c r="M41" s="92"/>
      <c r="N41" s="92"/>
      <c r="O41" s="92"/>
      <c r="P41" s="92"/>
      <c r="Q41" s="92"/>
      <c r="R41" s="92"/>
    </row>
    <row r="42" spans="2:18" ht="36.5" customHeight="1">
      <c r="B42" s="24" t="s">
        <v>457</v>
      </c>
      <c r="C42" s="23" t="s">
        <v>458</v>
      </c>
      <c r="D42" s="95"/>
      <c r="E42" s="95"/>
      <c r="F42" s="95"/>
      <c r="G42" s="95"/>
      <c r="H42" s="95"/>
      <c r="I42" s="95"/>
      <c r="J42" s="95"/>
      <c r="K42" s="95"/>
      <c r="L42" s="95"/>
      <c r="M42" s="95"/>
      <c r="N42" s="95"/>
      <c r="O42" s="95"/>
      <c r="P42" s="95"/>
      <c r="Q42" s="95"/>
      <c r="R42" s="95"/>
    </row>
    <row r="43" spans="2:18" ht="36.5" customHeight="1">
      <c r="B43" s="25" t="s">
        <v>418</v>
      </c>
      <c r="C43" s="26" t="s">
        <v>419</v>
      </c>
      <c r="D43" s="85" t="s">
        <v>414</v>
      </c>
      <c r="E43" s="85"/>
      <c r="F43" s="85"/>
      <c r="G43" s="85"/>
      <c r="H43" s="85"/>
      <c r="I43" s="85"/>
      <c r="J43" s="85"/>
      <c r="K43" s="85"/>
      <c r="L43" s="85"/>
      <c r="M43" s="85"/>
      <c r="N43" s="85"/>
      <c r="O43" s="85"/>
      <c r="P43" s="85"/>
      <c r="Q43" s="85"/>
      <c r="R43" s="85"/>
    </row>
    <row r="44" spans="2:18" ht="36.5" customHeight="1">
      <c r="B44" s="25" t="s">
        <v>420</v>
      </c>
      <c r="C44" s="26" t="s">
        <v>421</v>
      </c>
      <c r="D44" s="85" t="s">
        <v>328</v>
      </c>
      <c r="E44" s="85"/>
      <c r="F44" s="85"/>
      <c r="G44" s="85"/>
      <c r="H44" s="85"/>
      <c r="I44" s="85"/>
      <c r="J44" s="85"/>
      <c r="K44" s="85"/>
      <c r="L44" s="85"/>
      <c r="M44" s="85"/>
      <c r="N44" s="85"/>
      <c r="O44" s="85"/>
      <c r="P44" s="85"/>
      <c r="Q44" s="85"/>
      <c r="R44" s="85"/>
    </row>
    <row r="45" spans="2:18" ht="36.5" customHeight="1">
      <c r="B45" s="27"/>
      <c r="C45" s="27"/>
      <c r="D45" s="27"/>
      <c r="E45" s="27"/>
      <c r="F45" s="27"/>
      <c r="G45" s="27"/>
      <c r="H45" s="27"/>
      <c r="I45" s="27"/>
      <c r="J45" s="27"/>
      <c r="K45" s="27"/>
      <c r="L45" s="27"/>
      <c r="M45" s="27"/>
      <c r="N45" s="27"/>
      <c r="O45" s="27"/>
      <c r="P45" s="27"/>
      <c r="Q45" s="27"/>
      <c r="R45" s="27"/>
    </row>
    <row r="46" spans="2:18" ht="36.5" customHeight="1">
      <c r="B46" s="27"/>
      <c r="C46" s="28" t="s">
        <v>423</v>
      </c>
      <c r="D46" s="85"/>
      <c r="E46" s="85"/>
      <c r="F46" s="85"/>
      <c r="G46" s="85"/>
      <c r="H46" s="85"/>
      <c r="I46" s="85"/>
      <c r="J46" s="85"/>
      <c r="K46" s="85"/>
      <c r="L46" s="85"/>
      <c r="M46" s="85"/>
      <c r="N46" s="85"/>
      <c r="O46" s="85"/>
      <c r="P46" s="85"/>
      <c r="Q46" s="85"/>
      <c r="R46" s="85"/>
    </row>
    <row r="47" spans="2:18" ht="36.5" customHeight="1">
      <c r="B47" s="27"/>
      <c r="C47" s="29" t="s">
        <v>424</v>
      </c>
      <c r="D47" s="85"/>
      <c r="E47" s="85"/>
      <c r="F47" s="85"/>
      <c r="G47" s="85"/>
      <c r="H47" s="85"/>
      <c r="I47" s="85"/>
      <c r="J47" s="85"/>
      <c r="K47" s="85"/>
      <c r="L47" s="85"/>
      <c r="M47" s="85"/>
      <c r="N47" s="85"/>
      <c r="O47" s="85"/>
      <c r="P47" s="85"/>
      <c r="Q47" s="85"/>
      <c r="R47" s="85"/>
    </row>
    <row r="48" spans="2:18" ht="36.5" customHeight="1">
      <c r="B48" s="27"/>
      <c r="C48" s="29" t="s">
        <v>425</v>
      </c>
      <c r="D48" s="85"/>
      <c r="E48" s="85"/>
      <c r="F48" s="85"/>
      <c r="G48" s="85"/>
      <c r="H48" s="85"/>
      <c r="I48" s="85"/>
      <c r="J48" s="85"/>
      <c r="K48" s="85"/>
      <c r="L48" s="85"/>
      <c r="M48" s="85"/>
      <c r="N48" s="85"/>
      <c r="O48" s="85"/>
      <c r="P48" s="85"/>
      <c r="Q48" s="85"/>
      <c r="R48" s="85"/>
    </row>
    <row r="49" spans="2:18" ht="10" customHeight="1">
      <c r="B49" s="27"/>
      <c r="C49" s="30"/>
      <c r="D49" s="96"/>
      <c r="E49" s="96"/>
      <c r="F49" s="96"/>
      <c r="G49" s="96"/>
      <c r="H49" s="96"/>
      <c r="I49" s="96"/>
      <c r="J49" s="96"/>
      <c r="K49" s="96"/>
      <c r="L49" s="96"/>
      <c r="M49" s="96"/>
      <c r="N49" s="96"/>
      <c r="O49" s="96"/>
      <c r="P49" s="96"/>
      <c r="Q49" s="96"/>
      <c r="R49" s="96"/>
    </row>
    <row r="50" spans="2:18" ht="36.5" customHeight="1">
      <c r="B50" s="27"/>
      <c r="C50" s="28" t="s">
        <v>426</v>
      </c>
      <c r="D50" s="85">
        <v>168</v>
      </c>
      <c r="E50" s="85"/>
      <c r="F50" s="85"/>
      <c r="G50" s="85"/>
      <c r="H50" s="85"/>
      <c r="I50" s="85"/>
      <c r="J50" s="85"/>
      <c r="K50" s="85"/>
      <c r="L50" s="85"/>
      <c r="M50" s="85"/>
      <c r="N50" s="85"/>
      <c r="O50" s="85"/>
      <c r="P50" s="85"/>
      <c r="Q50" s="85"/>
      <c r="R50" s="85"/>
    </row>
    <row r="51" spans="2:18" ht="33.5" customHeight="1">
      <c r="B51" s="27"/>
      <c r="C51" s="29" t="s">
        <v>424</v>
      </c>
      <c r="D51" s="85"/>
      <c r="E51" s="85"/>
      <c r="F51" s="85"/>
      <c r="G51" s="85"/>
      <c r="H51" s="85"/>
      <c r="I51" s="85"/>
      <c r="J51" s="85"/>
      <c r="K51" s="85"/>
      <c r="L51" s="85"/>
      <c r="M51" s="85"/>
      <c r="N51" s="85"/>
      <c r="O51" s="85"/>
      <c r="P51" s="85"/>
      <c r="Q51" s="85"/>
      <c r="R51" s="85"/>
    </row>
    <row r="52" spans="2:18" ht="36.5" customHeight="1">
      <c r="B52" s="27"/>
      <c r="C52" s="29" t="s">
        <v>425</v>
      </c>
      <c r="D52" s="85"/>
      <c r="E52" s="85"/>
      <c r="F52" s="85"/>
      <c r="G52" s="85"/>
      <c r="H52" s="85"/>
      <c r="I52" s="85"/>
      <c r="J52" s="85"/>
      <c r="K52" s="85"/>
      <c r="L52" s="85"/>
      <c r="M52" s="85"/>
      <c r="N52" s="85"/>
      <c r="O52" s="85"/>
      <c r="P52" s="85"/>
      <c r="Q52" s="85"/>
      <c r="R52" s="85"/>
    </row>
    <row r="53" spans="2:18" ht="12" customHeight="1">
      <c r="B53" s="27"/>
      <c r="C53" s="31"/>
      <c r="D53" s="96"/>
      <c r="E53" s="96"/>
      <c r="F53" s="96"/>
      <c r="G53" s="96"/>
      <c r="H53" s="96"/>
      <c r="I53" s="96"/>
      <c r="J53" s="96"/>
      <c r="K53" s="96"/>
      <c r="L53" s="96"/>
      <c r="M53" s="96"/>
      <c r="N53" s="96"/>
      <c r="O53" s="96"/>
      <c r="P53" s="96"/>
      <c r="Q53" s="96"/>
      <c r="R53" s="96"/>
    </row>
    <row r="54" spans="2:18" ht="29" customHeight="1">
      <c r="B54" s="27"/>
      <c r="C54" s="28" t="s">
        <v>427</v>
      </c>
      <c r="D54" s="85"/>
      <c r="E54" s="85"/>
      <c r="F54" s="85"/>
      <c r="G54" s="85"/>
      <c r="H54" s="85"/>
      <c r="I54" s="85"/>
      <c r="J54" s="85"/>
      <c r="K54" s="85"/>
      <c r="L54" s="85"/>
      <c r="M54" s="85"/>
      <c r="N54" s="85"/>
      <c r="O54" s="85"/>
      <c r="P54" s="85"/>
      <c r="Q54" s="85"/>
      <c r="R54" s="85"/>
    </row>
    <row r="55" spans="2:18" ht="36.5" customHeight="1">
      <c r="B55" s="27"/>
      <c r="C55" s="28" t="s">
        <v>428</v>
      </c>
      <c r="D55" s="85"/>
      <c r="E55" s="85"/>
      <c r="F55" s="85"/>
      <c r="G55" s="85"/>
      <c r="H55" s="85"/>
      <c r="I55" s="85"/>
      <c r="J55" s="85"/>
      <c r="K55" s="85"/>
      <c r="L55" s="85"/>
      <c r="M55" s="85"/>
      <c r="N55" s="85"/>
      <c r="O55" s="85"/>
      <c r="P55" s="85"/>
      <c r="Q55" s="85"/>
      <c r="R55" s="85"/>
    </row>
    <row r="56" spans="2:18" ht="33.5" customHeight="1">
      <c r="B56" s="27"/>
      <c r="C56" s="330" t="s">
        <v>429</v>
      </c>
      <c r="D56" s="95"/>
      <c r="E56" s="95"/>
      <c r="F56" s="95"/>
      <c r="G56" s="95"/>
      <c r="H56" s="95"/>
      <c r="I56" s="95"/>
      <c r="J56" s="95"/>
      <c r="K56" s="95"/>
      <c r="L56" s="95"/>
      <c r="M56" s="95"/>
      <c r="N56" s="95"/>
      <c r="O56" s="95"/>
      <c r="P56" s="95"/>
      <c r="Q56" s="95"/>
      <c r="R56" s="95"/>
    </row>
    <row r="57" spans="2:18" ht="56" customHeight="1">
      <c r="C57" s="331" t="s">
        <v>430</v>
      </c>
      <c r="D57" s="71"/>
      <c r="E57" s="71"/>
      <c r="F57" s="71"/>
      <c r="G57" s="71"/>
      <c r="H57" s="71"/>
      <c r="I57" s="71"/>
      <c r="J57" s="71"/>
      <c r="K57" s="71"/>
      <c r="L57" s="71"/>
      <c r="M57" s="71"/>
      <c r="N57" s="71"/>
      <c r="O57" s="71"/>
      <c r="P57" s="71"/>
      <c r="Q57" s="71"/>
      <c r="R57" s="71"/>
    </row>
    <row r="58" spans="2:18" ht="57" customHeight="1">
      <c r="C58" s="331" t="s">
        <v>431</v>
      </c>
      <c r="D58" s="71"/>
      <c r="E58" s="71"/>
      <c r="F58" s="71"/>
      <c r="G58" s="71"/>
      <c r="H58" s="71"/>
      <c r="I58" s="71"/>
      <c r="J58" s="71"/>
      <c r="K58" s="71"/>
      <c r="L58" s="71"/>
      <c r="M58" s="71"/>
      <c r="N58" s="71"/>
      <c r="O58" s="71"/>
      <c r="P58" s="71"/>
      <c r="Q58" s="71"/>
      <c r="R58" s="71"/>
    </row>
    <row r="60" spans="2:18" ht="17" customHeight="1">
      <c r="D60" s="1" t="s">
        <v>432</v>
      </c>
    </row>
    <row r="61" spans="2:18" ht="17" customHeight="1">
      <c r="D61" s="97" t="s">
        <v>433</v>
      </c>
    </row>
    <row r="62" spans="2:18" ht="17" customHeight="1">
      <c r="D62" s="98" t="s">
        <v>434</v>
      </c>
    </row>
    <row r="63" spans="2:18" ht="17" customHeight="1">
      <c r="D63" s="98" t="s">
        <v>435</v>
      </c>
    </row>
    <row r="64" spans="2:18" ht="17" customHeight="1">
      <c r="D64" s="98" t="s">
        <v>436</v>
      </c>
    </row>
    <row r="65" spans="4:4" ht="17" customHeight="1">
      <c r="D65" s="98" t="s">
        <v>437</v>
      </c>
    </row>
    <row r="66" spans="4:4" ht="17" customHeight="1">
      <c r="D66" s="98" t="s">
        <v>438</v>
      </c>
    </row>
    <row r="67" spans="4:4" ht="17" customHeight="1"/>
    <row r="68" spans="4:4" ht="17" customHeight="1">
      <c r="D68" s="99" t="s">
        <v>439</v>
      </c>
    </row>
  </sheetData>
  <mergeCells count="2">
    <mergeCell ref="C6:D6"/>
    <mergeCell ref="C7:D7"/>
  </mergeCells>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73" priority="3">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0 B32">
    <cfRule type="colorScale" priority="6">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72" priority="5">
      <formula>#REF!="Owned"</formula>
    </cfRule>
  </conditionalFormatting>
  <conditionalFormatting sqref="C27:C32">
    <cfRule type="expression" dxfId="71" priority="1">
      <formula>#REF!="Owned"</formula>
    </cfRule>
  </conditionalFormatting>
  <dataValidations count="1">
    <dataValidation type="list" allowBlank="1" showInputMessage="1" showErrorMessage="1" sqref="E6" xr:uid="{19964FC1-295A-43E6-8AB3-288BBA79364D}">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BD5CD-5840-4BE1-B128-D987C2B4E576}">
  <sheetPr codeName="Feuil35">
    <tabColor rgb="FF00B050"/>
  </sheetPr>
  <dimension ref="B2:M58"/>
  <sheetViews>
    <sheetView topLeftCell="A7" zoomScale="85" zoomScaleNormal="85" workbookViewId="0">
      <selection activeCell="G16" sqref="G16"/>
    </sheetView>
  </sheetViews>
  <sheetFormatPr baseColWidth="10" defaultColWidth="11.5" defaultRowHeight="13"/>
  <cols>
    <col min="3" max="3" width="19.5" customWidth="1"/>
    <col min="4" max="4" width="22.83203125" customWidth="1"/>
    <col min="5" max="5" width="27.1640625" customWidth="1"/>
    <col min="6" max="13" width="22.83203125" customWidth="1"/>
  </cols>
  <sheetData>
    <row r="2" spans="2:13">
      <c r="C2" s="504" t="s">
        <v>323</v>
      </c>
      <c r="D2" s="397">
        <v>46055</v>
      </c>
      <c r="E2" s="1"/>
      <c r="F2" s="3"/>
      <c r="G2" s="3"/>
      <c r="H2" s="3"/>
      <c r="I2" s="4"/>
      <c r="J2" s="1"/>
      <c r="K2" s="1"/>
      <c r="L2" s="1"/>
      <c r="M2" s="1"/>
    </row>
    <row r="3" spans="2:13">
      <c r="C3" s="1"/>
      <c r="D3" s="1"/>
      <c r="E3" s="1"/>
      <c r="F3" s="1"/>
      <c r="G3" s="1"/>
      <c r="H3" s="1"/>
      <c r="I3" s="1"/>
      <c r="J3" s="1"/>
      <c r="K3" s="1"/>
      <c r="L3" s="1"/>
      <c r="M3" s="1"/>
    </row>
    <row r="4" spans="2:13">
      <c r="C4" s="492" t="s">
        <v>324</v>
      </c>
      <c r="D4" s="82" t="s">
        <v>241</v>
      </c>
      <c r="E4" s="488" t="s">
        <v>256</v>
      </c>
      <c r="I4" s="5"/>
      <c r="J4" s="1"/>
      <c r="K4" s="1"/>
      <c r="L4" s="1"/>
      <c r="M4" s="1"/>
    </row>
    <row r="5" spans="2:13">
      <c r="C5" s="35"/>
      <c r="E5" s="1"/>
      <c r="F5" s="1"/>
      <c r="G5" s="1"/>
      <c r="H5" s="1"/>
      <c r="I5" s="1"/>
      <c r="J5" s="1"/>
      <c r="K5" s="1"/>
      <c r="L5" s="1"/>
      <c r="M5" s="1"/>
    </row>
    <row r="6" spans="2:13" ht="21.75" customHeight="1">
      <c r="C6" s="589" t="s">
        <v>327</v>
      </c>
      <c r="D6" s="591"/>
      <c r="E6" s="6" t="s">
        <v>328</v>
      </c>
      <c r="F6" s="124"/>
      <c r="G6" s="124"/>
      <c r="H6" s="124"/>
      <c r="J6" s="1"/>
      <c r="K6" s="1"/>
      <c r="L6" s="1"/>
      <c r="M6" s="1"/>
    </row>
    <row r="7" spans="2:13" ht="33.75" customHeight="1">
      <c r="C7" s="589" t="s">
        <v>329</v>
      </c>
      <c r="D7" s="591"/>
      <c r="E7" s="6" t="s">
        <v>410</v>
      </c>
      <c r="F7" s="124"/>
      <c r="G7" s="124"/>
      <c r="H7" s="124"/>
      <c r="J7" s="1"/>
      <c r="K7" s="1"/>
      <c r="L7" s="1"/>
      <c r="M7" s="1"/>
    </row>
    <row r="8" spans="2:13">
      <c r="C8" s="68"/>
      <c r="D8" s="68"/>
      <c r="E8" s="68"/>
      <c r="F8" s="68"/>
      <c r="G8" s="68"/>
      <c r="H8" s="68"/>
      <c r="I8" s="42"/>
      <c r="J8" s="1"/>
      <c r="K8" s="1"/>
      <c r="L8" s="1"/>
      <c r="M8" s="1"/>
    </row>
    <row r="9" spans="2:13">
      <c r="C9" s="69" t="s">
        <v>441</v>
      </c>
      <c r="D9" s="71"/>
      <c r="E9" s="74" t="s">
        <v>1196</v>
      </c>
      <c r="F9" s="67"/>
      <c r="G9" s="67"/>
      <c r="H9" s="67"/>
      <c r="I9" s="67"/>
      <c r="J9" s="67"/>
      <c r="K9" s="67"/>
      <c r="L9" s="67"/>
      <c r="M9" s="67"/>
    </row>
    <row r="10" spans="2:13" ht="14">
      <c r="C10" s="70" t="s">
        <v>331</v>
      </c>
      <c r="D10" s="84" t="s">
        <v>1197</v>
      </c>
      <c r="E10" s="417" t="s">
        <v>1198</v>
      </c>
      <c r="F10" s="84" t="s">
        <v>463</v>
      </c>
      <c r="G10" s="84" t="s">
        <v>464</v>
      </c>
      <c r="H10" s="84" t="s">
        <v>465</v>
      </c>
      <c r="I10" s="84" t="s">
        <v>466</v>
      </c>
      <c r="J10" s="84" t="s">
        <v>467</v>
      </c>
      <c r="K10" s="84" t="s">
        <v>468</v>
      </c>
      <c r="L10" s="84" t="s">
        <v>469</v>
      </c>
      <c r="M10" s="84" t="s">
        <v>470</v>
      </c>
    </row>
    <row r="11" spans="2:13" ht="14">
      <c r="C11" s="104" t="s">
        <v>299</v>
      </c>
      <c r="D11" s="84" t="s">
        <v>1199</v>
      </c>
      <c r="E11" s="417" t="s">
        <v>1199</v>
      </c>
      <c r="F11" s="84"/>
      <c r="G11" s="84"/>
      <c r="H11" s="84"/>
      <c r="I11" s="84"/>
      <c r="J11" s="84"/>
      <c r="K11" s="84"/>
      <c r="L11" s="84"/>
      <c r="M11" s="84"/>
    </row>
    <row r="12" spans="2:13">
      <c r="C12" s="32"/>
      <c r="D12" s="132"/>
      <c r="E12" s="420"/>
      <c r="F12" s="44"/>
      <c r="G12" s="44"/>
      <c r="H12" s="45"/>
      <c r="I12" s="46"/>
      <c r="J12" s="44"/>
      <c r="K12" s="47"/>
      <c r="L12" s="48"/>
      <c r="M12" s="44"/>
    </row>
    <row r="13" spans="2:13" ht="48">
      <c r="B13" s="7" t="s">
        <v>348</v>
      </c>
      <c r="C13" s="398" t="s">
        <v>349</v>
      </c>
      <c r="D13" s="85" t="s">
        <v>1200</v>
      </c>
      <c r="E13" s="422" t="s">
        <v>1201</v>
      </c>
      <c r="F13" s="71"/>
      <c r="G13" s="71"/>
      <c r="H13" s="71"/>
      <c r="I13" s="71"/>
      <c r="J13" s="71"/>
      <c r="K13" s="71"/>
      <c r="L13" s="71"/>
      <c r="M13" s="71"/>
    </row>
    <row r="14" spans="2:13" ht="42">
      <c r="B14" s="7" t="s">
        <v>352</v>
      </c>
      <c r="C14" s="398" t="s">
        <v>297</v>
      </c>
      <c r="D14" s="85" t="s">
        <v>250</v>
      </c>
      <c r="E14" s="422" t="s">
        <v>275</v>
      </c>
      <c r="F14" s="71"/>
      <c r="G14" s="71"/>
      <c r="H14" s="71"/>
      <c r="I14" s="71"/>
      <c r="J14" s="71"/>
      <c r="K14" s="71"/>
      <c r="L14" s="71"/>
      <c r="M14" s="71"/>
    </row>
    <row r="15" spans="2:13" ht="36">
      <c r="B15" s="7" t="s">
        <v>353</v>
      </c>
      <c r="C15" s="398" t="s">
        <v>354</v>
      </c>
      <c r="D15" s="85" t="s">
        <v>251</v>
      </c>
      <c r="E15" s="422" t="s">
        <v>276</v>
      </c>
      <c r="F15" s="71"/>
      <c r="G15" s="71"/>
      <c r="H15" s="71"/>
      <c r="I15" s="71"/>
      <c r="J15" s="71"/>
      <c r="K15" s="71"/>
      <c r="L15" s="71"/>
      <c r="M15" s="71"/>
    </row>
    <row r="16" spans="2:13" ht="24">
      <c r="B16" s="7" t="s">
        <v>355</v>
      </c>
      <c r="C16" s="398" t="s">
        <v>356</v>
      </c>
      <c r="D16" s="422">
        <v>55171</v>
      </c>
      <c r="E16" s="422">
        <v>55171</v>
      </c>
      <c r="F16" s="71"/>
      <c r="G16" s="71"/>
      <c r="H16" s="71"/>
      <c r="I16" s="71"/>
      <c r="J16" s="71"/>
      <c r="K16" s="71"/>
      <c r="L16" s="71"/>
      <c r="M16" s="71"/>
    </row>
    <row r="17" spans="2:13" ht="24">
      <c r="B17" s="7" t="s">
        <v>357</v>
      </c>
      <c r="C17" s="398" t="s">
        <v>294</v>
      </c>
      <c r="D17" s="85" t="s">
        <v>249</v>
      </c>
      <c r="E17" s="422" t="s">
        <v>274</v>
      </c>
      <c r="F17" s="71"/>
      <c r="G17" s="71"/>
      <c r="H17" s="71"/>
      <c r="I17" s="71"/>
      <c r="J17" s="71"/>
      <c r="K17" s="71"/>
      <c r="L17" s="71"/>
      <c r="M17" s="71"/>
    </row>
    <row r="18" spans="2:13" ht="14">
      <c r="B18" s="9" t="s">
        <v>358</v>
      </c>
      <c r="C18" s="399" t="s">
        <v>359</v>
      </c>
      <c r="D18" s="85" t="s">
        <v>360</v>
      </c>
      <c r="E18" s="422" t="s">
        <v>1202</v>
      </c>
      <c r="F18" s="71"/>
      <c r="G18" s="71"/>
      <c r="H18" s="71"/>
      <c r="I18" s="71"/>
      <c r="J18" s="71"/>
      <c r="K18" s="71"/>
      <c r="L18" s="71"/>
      <c r="M18" s="71"/>
    </row>
    <row r="19" spans="2:13" ht="42">
      <c r="B19" s="9" t="s">
        <v>361</v>
      </c>
      <c r="C19" s="399" t="s">
        <v>362</v>
      </c>
      <c r="D19" s="85" t="s">
        <v>328</v>
      </c>
      <c r="E19" s="422" t="s">
        <v>414</v>
      </c>
      <c r="F19" s="71"/>
      <c r="G19" s="71"/>
      <c r="H19" s="71"/>
      <c r="I19" s="71"/>
      <c r="J19" s="71"/>
      <c r="K19" s="71"/>
      <c r="L19" s="71"/>
      <c r="M19" s="71"/>
    </row>
    <row r="20" spans="2:13" ht="72">
      <c r="B20" s="9" t="s">
        <v>363</v>
      </c>
      <c r="C20" s="399" t="s">
        <v>364</v>
      </c>
      <c r="D20" s="85" t="s">
        <v>410</v>
      </c>
      <c r="E20" s="422" t="s">
        <v>414</v>
      </c>
      <c r="F20" s="71"/>
      <c r="G20" s="71"/>
      <c r="H20" s="71"/>
      <c r="I20" s="71"/>
      <c r="J20" s="71"/>
      <c r="K20" s="71"/>
      <c r="L20" s="71"/>
      <c r="M20" s="71"/>
    </row>
    <row r="21" spans="2:13" ht="36">
      <c r="B21" s="11" t="s">
        <v>365</v>
      </c>
      <c r="C21" s="400" t="s">
        <v>366</v>
      </c>
      <c r="D21" s="85" t="s">
        <v>951</v>
      </c>
      <c r="E21" s="422" t="s">
        <v>256</v>
      </c>
      <c r="F21" s="71"/>
      <c r="G21" s="71"/>
      <c r="H21" s="71"/>
      <c r="I21" s="71"/>
      <c r="J21" s="71"/>
      <c r="K21" s="71"/>
      <c r="L21" s="71"/>
      <c r="M21" s="71"/>
    </row>
    <row r="22" spans="2:13" ht="42">
      <c r="B22" s="11" t="s">
        <v>369</v>
      </c>
      <c r="C22" s="400" t="s">
        <v>370</v>
      </c>
      <c r="D22" s="85" t="s">
        <v>1203</v>
      </c>
      <c r="E22" s="422" t="s">
        <v>1204</v>
      </c>
      <c r="F22" s="71"/>
      <c r="G22" s="71"/>
      <c r="H22" s="71"/>
      <c r="I22" s="71"/>
      <c r="J22" s="71"/>
      <c r="K22" s="71"/>
      <c r="L22" s="71"/>
      <c r="M22" s="71"/>
    </row>
    <row r="23" spans="2:13" ht="14">
      <c r="B23" s="13" t="s">
        <v>477</v>
      </c>
      <c r="C23" s="401" t="s">
        <v>374</v>
      </c>
      <c r="D23" s="85" t="s">
        <v>374</v>
      </c>
      <c r="E23" s="422" t="s">
        <v>374</v>
      </c>
      <c r="F23" s="71"/>
      <c r="G23" s="71"/>
      <c r="H23" s="71"/>
      <c r="I23" s="71"/>
      <c r="J23" s="71"/>
      <c r="K23" s="71"/>
      <c r="L23" s="71"/>
      <c r="M23" s="71"/>
    </row>
    <row r="24" spans="2:13" ht="60">
      <c r="B24" s="13" t="s">
        <v>375</v>
      </c>
      <c r="C24" s="401" t="s">
        <v>376</v>
      </c>
      <c r="D24" s="453">
        <f>513*75%</f>
        <v>384.75</v>
      </c>
      <c r="E24" s="423">
        <f>513*25%</f>
        <v>128.25</v>
      </c>
      <c r="F24" s="71"/>
      <c r="G24" s="71"/>
      <c r="H24" s="71"/>
      <c r="I24" s="71"/>
      <c r="J24" s="71"/>
      <c r="K24" s="71"/>
      <c r="L24" s="71"/>
      <c r="M24" s="71"/>
    </row>
    <row r="25" spans="2:13" ht="60">
      <c r="B25" s="15" t="s">
        <v>377</v>
      </c>
      <c r="C25" s="402" t="s">
        <v>378</v>
      </c>
      <c r="D25" s="131">
        <v>7</v>
      </c>
      <c r="E25" s="422">
        <v>3</v>
      </c>
      <c r="F25" s="71"/>
      <c r="G25" s="71"/>
      <c r="H25" s="71"/>
      <c r="I25" s="71"/>
      <c r="J25" s="71"/>
      <c r="K25" s="71"/>
      <c r="L25" s="71"/>
      <c r="M25" s="71"/>
    </row>
    <row r="26" spans="2:13" ht="60">
      <c r="B26" s="15" t="s">
        <v>380</v>
      </c>
      <c r="C26" s="402" t="s">
        <v>381</v>
      </c>
      <c r="D26" s="131" t="s">
        <v>1205</v>
      </c>
      <c r="E26" s="422" t="s">
        <v>1205</v>
      </c>
      <c r="F26" s="71"/>
      <c r="G26" s="71"/>
      <c r="H26" s="71"/>
      <c r="I26" s="71"/>
      <c r="J26" s="71"/>
      <c r="K26" s="71"/>
      <c r="L26" s="71"/>
      <c r="M26" s="71"/>
    </row>
    <row r="27" spans="2:13" ht="14">
      <c r="B27" s="40" t="s">
        <v>383</v>
      </c>
      <c r="C27" s="403" t="s">
        <v>383</v>
      </c>
      <c r="D27" s="543">
        <f>554040*75%</f>
        <v>415530</v>
      </c>
      <c r="E27" s="429">
        <f>554040*25%</f>
        <v>138510</v>
      </c>
      <c r="F27" s="71"/>
      <c r="G27" s="71"/>
      <c r="H27" s="71"/>
      <c r="I27" s="71"/>
      <c r="J27" s="71"/>
      <c r="K27" s="71"/>
      <c r="L27" s="71"/>
      <c r="M27" s="71"/>
    </row>
    <row r="28" spans="2:13" ht="60">
      <c r="B28" s="15" t="s">
        <v>384</v>
      </c>
      <c r="C28" s="402" t="s">
        <v>450</v>
      </c>
      <c r="D28" s="394">
        <f>D27/D24</f>
        <v>1080</v>
      </c>
      <c r="E28" s="431">
        <f>E27/E24</f>
        <v>1080</v>
      </c>
      <c r="F28" s="431"/>
      <c r="G28" s="71"/>
      <c r="H28" s="71"/>
      <c r="I28" s="71"/>
      <c r="J28" s="71"/>
      <c r="K28" s="71"/>
      <c r="L28" s="71"/>
      <c r="M28" s="71"/>
    </row>
    <row r="29" spans="2:13" ht="72">
      <c r="B29" s="15" t="s">
        <v>387</v>
      </c>
      <c r="C29" s="402" t="s">
        <v>388</v>
      </c>
      <c r="D29" s="131" t="s">
        <v>410</v>
      </c>
      <c r="E29" s="422" t="s">
        <v>410</v>
      </c>
      <c r="F29" s="71"/>
      <c r="G29" s="71"/>
      <c r="H29" s="71"/>
      <c r="I29" s="71"/>
      <c r="J29" s="71"/>
      <c r="K29" s="71"/>
      <c r="L29" s="71"/>
      <c r="M29" s="71"/>
    </row>
    <row r="30" spans="2:13" ht="72">
      <c r="B30" s="13" t="s">
        <v>390</v>
      </c>
      <c r="C30" s="404" t="s">
        <v>453</v>
      </c>
      <c r="D30" s="433">
        <f>D31/D24</f>
        <v>175.83625730994152</v>
      </c>
      <c r="E30" s="433">
        <f>E31/E24</f>
        <v>175.83625730994152</v>
      </c>
      <c r="F30" s="71"/>
      <c r="G30" s="71"/>
      <c r="H30" s="71"/>
      <c r="I30" s="71"/>
      <c r="J30" s="71"/>
      <c r="K30" s="71"/>
      <c r="L30" s="71"/>
      <c r="M30" s="71"/>
    </row>
    <row r="31" spans="2:13" ht="28">
      <c r="B31" s="13"/>
      <c r="C31" s="405" t="s">
        <v>393</v>
      </c>
      <c r="D31" s="394">
        <f>(55404*75%)+(2175*12)</f>
        <v>67653</v>
      </c>
      <c r="E31" s="394">
        <f>(55404*25%)+(725*12)</f>
        <v>22551</v>
      </c>
      <c r="F31" s="71"/>
      <c r="G31" s="71"/>
      <c r="H31" s="71"/>
      <c r="I31" s="71"/>
      <c r="J31" s="71"/>
      <c r="K31" s="71"/>
      <c r="L31" s="71"/>
      <c r="M31" s="71"/>
    </row>
    <row r="32" spans="2:13" ht="72">
      <c r="B32" s="13" t="s">
        <v>394</v>
      </c>
      <c r="C32" s="404" t="s">
        <v>395</v>
      </c>
      <c r="D32" s="131" t="s">
        <v>1206</v>
      </c>
      <c r="E32" s="131" t="s">
        <v>1206</v>
      </c>
      <c r="F32" s="71"/>
      <c r="G32" s="71"/>
      <c r="H32" s="71"/>
      <c r="I32" s="71"/>
      <c r="J32" s="71"/>
      <c r="K32" s="71"/>
      <c r="L32" s="71"/>
      <c r="M32" s="71"/>
    </row>
    <row r="33" spans="2:13" ht="24">
      <c r="B33" s="18" t="s">
        <v>397</v>
      </c>
      <c r="C33" s="406" t="s">
        <v>313</v>
      </c>
      <c r="D33" s="436">
        <v>45809</v>
      </c>
      <c r="E33" s="436">
        <v>45809</v>
      </c>
      <c r="F33" s="71"/>
      <c r="G33" s="71"/>
      <c r="H33" s="71"/>
      <c r="I33" s="71"/>
      <c r="J33" s="71"/>
      <c r="K33" s="71"/>
      <c r="L33" s="71"/>
      <c r="M33" s="71"/>
    </row>
    <row r="34" spans="2:13" ht="36">
      <c r="B34" s="20" t="s">
        <v>398</v>
      </c>
      <c r="C34" s="406" t="s">
        <v>315</v>
      </c>
      <c r="D34" s="436">
        <v>45809</v>
      </c>
      <c r="E34" s="436">
        <v>45809</v>
      </c>
      <c r="F34" s="71"/>
      <c r="G34" s="71"/>
      <c r="H34" s="71"/>
      <c r="I34" s="71"/>
      <c r="J34" s="71"/>
      <c r="K34" s="71"/>
      <c r="L34" s="71"/>
      <c r="M34" s="71"/>
    </row>
    <row r="35" spans="2:13" ht="36">
      <c r="B35" s="20" t="s">
        <v>399</v>
      </c>
      <c r="C35" s="406" t="s">
        <v>400</v>
      </c>
      <c r="D35" s="131" t="s">
        <v>410</v>
      </c>
      <c r="E35" s="422" t="s">
        <v>410</v>
      </c>
      <c r="F35" s="71"/>
      <c r="G35" s="71"/>
      <c r="H35" s="71"/>
      <c r="I35" s="71"/>
      <c r="J35" s="71"/>
      <c r="K35" s="71"/>
      <c r="L35" s="71"/>
      <c r="M35" s="71"/>
    </row>
    <row r="36" spans="2:13" ht="48">
      <c r="B36" s="20" t="s">
        <v>402</v>
      </c>
      <c r="C36" s="21" t="s">
        <v>403</v>
      </c>
      <c r="D36" s="460" t="s">
        <v>1207</v>
      </c>
      <c r="E36" s="436" t="s">
        <v>414</v>
      </c>
      <c r="F36" s="71"/>
      <c r="G36" s="71"/>
      <c r="H36" s="71"/>
      <c r="I36" s="71"/>
      <c r="J36" s="71"/>
      <c r="K36" s="71"/>
      <c r="L36" s="71"/>
      <c r="M36" s="71"/>
    </row>
    <row r="37" spans="2:13" ht="72">
      <c r="B37" s="20" t="s">
        <v>404</v>
      </c>
      <c r="C37" s="21" t="s">
        <v>405</v>
      </c>
      <c r="D37" s="460" t="s">
        <v>410</v>
      </c>
      <c r="E37" s="436" t="s">
        <v>410</v>
      </c>
      <c r="F37" s="71"/>
      <c r="G37" s="71"/>
      <c r="H37" s="71"/>
      <c r="I37" s="71"/>
      <c r="J37" s="71"/>
      <c r="K37" s="71"/>
      <c r="L37" s="71"/>
      <c r="M37" s="71"/>
    </row>
    <row r="38" spans="2:13" ht="36">
      <c r="B38" s="20" t="s">
        <v>406</v>
      </c>
      <c r="C38" s="21" t="s">
        <v>407</v>
      </c>
      <c r="D38" s="460" t="s">
        <v>328</v>
      </c>
      <c r="E38" s="436" t="s">
        <v>328</v>
      </c>
      <c r="F38" s="71"/>
      <c r="G38" s="71"/>
      <c r="H38" s="71"/>
      <c r="I38" s="71"/>
      <c r="J38" s="71"/>
      <c r="K38" s="71"/>
      <c r="L38" s="71"/>
      <c r="M38" s="71"/>
    </row>
    <row r="39" spans="2:13" ht="36">
      <c r="B39" s="20" t="s">
        <v>408</v>
      </c>
      <c r="C39" s="21" t="s">
        <v>409</v>
      </c>
      <c r="D39" s="460" t="s">
        <v>410</v>
      </c>
      <c r="E39" s="436" t="s">
        <v>328</v>
      </c>
      <c r="F39" s="71"/>
      <c r="G39" s="71"/>
      <c r="H39" s="71"/>
      <c r="I39" s="71"/>
      <c r="J39" s="71"/>
      <c r="K39" s="71"/>
      <c r="L39" s="71"/>
      <c r="M39" s="71"/>
    </row>
    <row r="40" spans="2:13" ht="48">
      <c r="B40" s="20" t="s">
        <v>411</v>
      </c>
      <c r="C40" s="21" t="s">
        <v>314</v>
      </c>
      <c r="D40" s="460">
        <v>46173</v>
      </c>
      <c r="E40" s="436">
        <v>46173</v>
      </c>
      <c r="F40" s="71"/>
      <c r="G40" s="71"/>
      <c r="H40" s="71"/>
      <c r="I40" s="71"/>
      <c r="J40" s="71"/>
      <c r="K40" s="71"/>
      <c r="L40" s="71"/>
      <c r="M40" s="71"/>
    </row>
    <row r="41" spans="2:13" ht="70">
      <c r="B41" s="22" t="s">
        <v>412</v>
      </c>
      <c r="C41" s="23" t="s">
        <v>413</v>
      </c>
      <c r="D41" s="461" t="s">
        <v>1208</v>
      </c>
      <c r="E41" s="438" t="s">
        <v>328</v>
      </c>
      <c r="F41" s="71"/>
      <c r="G41" s="71"/>
      <c r="H41" s="71"/>
      <c r="I41" s="71"/>
      <c r="J41" s="71"/>
      <c r="K41" s="71"/>
      <c r="L41" s="71"/>
      <c r="M41" s="71"/>
    </row>
    <row r="42" spans="2:13" ht="84">
      <c r="B42" s="24" t="s">
        <v>457</v>
      </c>
      <c r="C42" s="23" t="s">
        <v>483</v>
      </c>
      <c r="D42" s="350" t="s">
        <v>1188</v>
      </c>
      <c r="E42" s="422" t="s">
        <v>328</v>
      </c>
      <c r="F42" s="71"/>
      <c r="G42" s="71"/>
      <c r="H42" s="71"/>
      <c r="I42" s="71"/>
      <c r="J42" s="71"/>
      <c r="K42" s="71"/>
      <c r="L42" s="71"/>
      <c r="M42" s="71"/>
    </row>
    <row r="43" spans="2:13" ht="84">
      <c r="B43" s="25" t="s">
        <v>418</v>
      </c>
      <c r="C43" s="407" t="s">
        <v>419</v>
      </c>
      <c r="D43" s="131" t="s">
        <v>328</v>
      </c>
      <c r="E43" s="422" t="s">
        <v>410</v>
      </c>
      <c r="F43" s="71"/>
      <c r="G43" s="71"/>
      <c r="H43" s="71"/>
      <c r="I43" s="71"/>
      <c r="J43" s="71"/>
      <c r="K43" s="71"/>
      <c r="L43" s="71"/>
      <c r="M43" s="71"/>
    </row>
    <row r="44" spans="2:13" ht="132">
      <c r="B44" s="25" t="s">
        <v>420</v>
      </c>
      <c r="C44" s="407" t="s">
        <v>421</v>
      </c>
      <c r="D44" s="131" t="s">
        <v>328</v>
      </c>
      <c r="E44" s="422" t="s">
        <v>328</v>
      </c>
      <c r="F44" s="71"/>
      <c r="G44" s="71"/>
      <c r="H44" s="71"/>
      <c r="I44" s="71"/>
      <c r="J44" s="71"/>
      <c r="K44" s="71"/>
      <c r="L44" s="71"/>
      <c r="M44" s="71"/>
    </row>
    <row r="45" spans="2:13" ht="14">
      <c r="B45" s="27"/>
      <c r="C45" s="27"/>
      <c r="D45" s="388"/>
      <c r="E45" s="72"/>
    </row>
    <row r="46" spans="2:13" ht="28">
      <c r="B46" s="27"/>
      <c r="C46" s="28" t="s">
        <v>484</v>
      </c>
      <c r="D46" s="85">
        <v>16</v>
      </c>
      <c r="E46" s="417">
        <v>22</v>
      </c>
      <c r="F46" s="71"/>
      <c r="G46" s="71"/>
      <c r="H46" s="71"/>
      <c r="I46" s="71"/>
      <c r="J46" s="71"/>
      <c r="K46" s="71"/>
      <c r="L46" s="71"/>
      <c r="M46" s="71"/>
    </row>
    <row r="47" spans="2:13" ht="42">
      <c r="B47" s="27"/>
      <c r="C47" s="29" t="s">
        <v>485</v>
      </c>
      <c r="D47" s="85">
        <v>3</v>
      </c>
      <c r="E47" s="417">
        <v>5</v>
      </c>
      <c r="F47" s="71"/>
      <c r="G47" s="71"/>
      <c r="H47" s="71"/>
      <c r="I47" s="71"/>
      <c r="J47" s="71"/>
      <c r="K47" s="71"/>
      <c r="L47" s="71"/>
      <c r="M47" s="71"/>
    </row>
    <row r="48" spans="2:13" ht="42">
      <c r="B48" s="27"/>
      <c r="C48" s="29" t="s">
        <v>486</v>
      </c>
      <c r="D48" s="85">
        <v>13</v>
      </c>
      <c r="E48" s="417">
        <v>17</v>
      </c>
      <c r="F48" s="71"/>
      <c r="G48" s="71"/>
      <c r="H48" s="71"/>
      <c r="I48" s="71"/>
      <c r="J48" s="71"/>
      <c r="K48" s="71"/>
      <c r="L48" s="71"/>
      <c r="M48" s="71"/>
    </row>
    <row r="49" spans="2:13">
      <c r="B49" s="27"/>
      <c r="C49" s="30"/>
      <c r="D49" s="389"/>
      <c r="E49" s="442"/>
    </row>
    <row r="50" spans="2:13" ht="44">
      <c r="B50" s="27"/>
      <c r="C50" s="28" t="s">
        <v>426</v>
      </c>
      <c r="D50" s="85">
        <v>44</v>
      </c>
      <c r="E50" s="417">
        <v>22</v>
      </c>
      <c r="F50" s="71"/>
      <c r="G50" s="71"/>
      <c r="H50" s="71"/>
      <c r="I50" s="71"/>
      <c r="J50" s="71"/>
      <c r="K50" s="71"/>
      <c r="L50" s="71"/>
      <c r="M50" s="71"/>
    </row>
    <row r="51" spans="2:13" ht="28">
      <c r="B51" s="27"/>
      <c r="C51" s="29" t="s">
        <v>487</v>
      </c>
      <c r="D51" s="85" t="s">
        <v>1209</v>
      </c>
      <c r="E51" s="417">
        <v>5</v>
      </c>
      <c r="F51" s="71"/>
      <c r="G51" s="71"/>
      <c r="H51" s="71"/>
      <c r="I51" s="71"/>
      <c r="J51" s="71"/>
      <c r="K51" s="71"/>
      <c r="L51" s="71"/>
      <c r="M51" s="71"/>
    </row>
    <row r="52" spans="2:13" ht="28">
      <c r="B52" s="27"/>
      <c r="C52" s="29" t="s">
        <v>488</v>
      </c>
      <c r="D52" s="85" t="s">
        <v>1210</v>
      </c>
      <c r="E52" s="417">
        <v>17</v>
      </c>
      <c r="F52" s="71"/>
      <c r="G52" s="71"/>
      <c r="H52" s="71"/>
      <c r="I52" s="71"/>
      <c r="J52" s="71"/>
      <c r="K52" s="71"/>
      <c r="L52" s="71"/>
      <c r="M52" s="71"/>
    </row>
    <row r="53" spans="2:13">
      <c r="B53" s="27"/>
      <c r="C53" s="31"/>
      <c r="D53" s="389"/>
      <c r="E53" s="442"/>
    </row>
    <row r="54" spans="2:13" ht="28">
      <c r="B54" s="27"/>
      <c r="C54" s="28" t="s">
        <v>427</v>
      </c>
      <c r="D54" s="85"/>
      <c r="E54" s="417" t="s">
        <v>328</v>
      </c>
      <c r="F54" s="71"/>
      <c r="G54" s="71"/>
      <c r="H54" s="71"/>
      <c r="I54" s="71"/>
      <c r="J54" s="71"/>
      <c r="K54" s="71"/>
      <c r="L54" s="71"/>
      <c r="M54" s="71"/>
    </row>
    <row r="55" spans="2:13" ht="42">
      <c r="B55" s="27"/>
      <c r="C55" s="28" t="s">
        <v>489</v>
      </c>
      <c r="D55" s="85"/>
      <c r="E55" s="417">
        <v>3</v>
      </c>
      <c r="F55" s="71"/>
      <c r="G55" s="71"/>
      <c r="H55" s="71"/>
      <c r="I55" s="71"/>
      <c r="J55" s="71"/>
      <c r="K55" s="71"/>
      <c r="L55" s="71"/>
      <c r="M55" s="71"/>
    </row>
    <row r="56" spans="2:13" ht="42">
      <c r="B56" s="27"/>
      <c r="C56" s="28" t="s">
        <v>490</v>
      </c>
      <c r="D56" s="85"/>
      <c r="E56" s="417">
        <v>3</v>
      </c>
      <c r="F56" s="71"/>
      <c r="G56" s="71"/>
      <c r="H56" s="71"/>
      <c r="I56" s="71"/>
      <c r="J56" s="71"/>
      <c r="K56" s="71"/>
      <c r="L56" s="71"/>
      <c r="M56" s="71"/>
    </row>
    <row r="57" spans="2:13" ht="56">
      <c r="B57" s="27"/>
      <c r="C57" s="28" t="s">
        <v>430</v>
      </c>
      <c r="D57" s="85"/>
      <c r="E57" s="75"/>
      <c r="F57" s="71"/>
      <c r="G57" s="71"/>
      <c r="H57" s="71"/>
      <c r="I57" s="71"/>
      <c r="J57" s="71"/>
      <c r="K57" s="71"/>
      <c r="L57" s="71"/>
      <c r="M57" s="71"/>
    </row>
    <row r="58" spans="2:13" ht="70">
      <c r="B58" s="27"/>
      <c r="C58" s="28" t="s">
        <v>431</v>
      </c>
      <c r="D58" s="85"/>
      <c r="E58" s="75"/>
      <c r="F58" s="71"/>
      <c r="G58" s="71"/>
      <c r="H58" s="71"/>
      <c r="I58" s="71"/>
      <c r="J58" s="71"/>
      <c r="K58" s="71"/>
      <c r="L58" s="71"/>
      <c r="M58" s="71"/>
    </row>
  </sheetData>
  <mergeCells count="2">
    <mergeCell ref="C6:D6"/>
    <mergeCell ref="C7:D7"/>
  </mergeCells>
  <phoneticPr fontId="8" type="noConversion"/>
  <conditionalFormatting sqref="B13:B17">
    <cfRule type="colorScale" priority="12">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70" priority="2">
      <formula>#REF!="Owned"</formula>
    </cfRule>
  </conditionalFormatting>
  <conditionalFormatting sqref="B28:B29 B26">
    <cfRule type="colorScale" priority="9">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B25:C26">
    <cfRule type="expression" dxfId="69" priority="4">
      <formula>#REF!="Owned"</formula>
    </cfRule>
  </conditionalFormatting>
  <conditionalFormatting sqref="C27:C32">
    <cfRule type="expression" dxfId="68" priority="1">
      <formula>#REF!="Owned"</formula>
    </cfRule>
  </conditionalFormatting>
  <dataValidations count="1">
    <dataValidation type="list" allowBlank="1" showInputMessage="1" showErrorMessage="1" sqref="E6" xr:uid="{26748A66-FE0C-4B86-8B68-9D8F7BC82C03}">
      <formula1>"Yes, No"</formula1>
    </dataValidation>
  </dataValidation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75C08-C6E7-44AE-9602-5AF59999320A}">
  <sheetPr codeName="Feuil36">
    <tabColor rgb="FF00B050"/>
    <pageSetUpPr fitToPage="1"/>
  </sheetPr>
  <dimension ref="B2:R68"/>
  <sheetViews>
    <sheetView topLeftCell="A19" zoomScale="70" zoomScaleNormal="70" workbookViewId="0">
      <selection activeCell="G25" sqref="G25"/>
    </sheetView>
  </sheetViews>
  <sheetFormatPr baseColWidth="10" defaultColWidth="9.1640625" defaultRowHeight="36.5" customHeight="1"/>
  <cols>
    <col min="1" max="1" width="19.5" style="1" customWidth="1"/>
    <col min="2" max="2" width="24.1640625" style="1" customWidth="1"/>
    <col min="3" max="3" width="25.5" style="1" customWidth="1"/>
    <col min="4" max="4" width="70" style="1" customWidth="1"/>
    <col min="5" max="18" width="22.83203125" style="1" customWidth="1"/>
    <col min="19" max="16384" width="9.1640625" style="1"/>
  </cols>
  <sheetData>
    <row r="2" spans="2:18" ht="36.5" customHeight="1">
      <c r="C2" s="506" t="s">
        <v>323</v>
      </c>
      <c r="D2" s="100">
        <v>45925</v>
      </c>
      <c r="E2" s="315"/>
      <c r="F2" s="3"/>
      <c r="G2" s="3"/>
      <c r="H2" s="3"/>
      <c r="I2" s="4"/>
    </row>
    <row r="4" spans="2:18" ht="36.5" customHeight="1">
      <c r="C4" s="316" t="s">
        <v>324</v>
      </c>
      <c r="D4" s="82" t="s">
        <v>9</v>
      </c>
      <c r="I4" s="5"/>
    </row>
    <row r="6" spans="2:18" ht="36.5" customHeight="1">
      <c r="B6" s="1" t="s">
        <v>326</v>
      </c>
      <c r="C6" s="589" t="s">
        <v>327</v>
      </c>
      <c r="D6" s="591"/>
      <c r="E6" s="6" t="s">
        <v>328</v>
      </c>
      <c r="F6" s="101"/>
      <c r="G6" s="101"/>
      <c r="H6" s="101"/>
    </row>
    <row r="7" spans="2:18" ht="36.5" customHeight="1">
      <c r="B7" s="1" t="s">
        <v>326</v>
      </c>
      <c r="C7" s="589" t="s">
        <v>329</v>
      </c>
      <c r="D7" s="591"/>
      <c r="E7" s="6">
        <v>1</v>
      </c>
      <c r="F7" s="101"/>
      <c r="G7" s="101"/>
      <c r="H7" s="101"/>
    </row>
    <row r="8" spans="2:18" ht="36.5" customHeight="1">
      <c r="C8" s="113"/>
      <c r="D8" s="113"/>
      <c r="E8" s="42"/>
      <c r="F8" s="101"/>
      <c r="G8" s="101"/>
      <c r="H8" s="101"/>
    </row>
    <row r="9" spans="2:18" ht="36.5" customHeight="1">
      <c r="C9" s="318" t="s">
        <v>441</v>
      </c>
      <c r="D9" s="67"/>
      <c r="E9" s="67"/>
      <c r="F9" s="67"/>
      <c r="G9" s="67"/>
      <c r="H9" s="67"/>
      <c r="I9" s="67"/>
      <c r="J9" s="67"/>
      <c r="K9" s="67"/>
      <c r="L9" s="67"/>
      <c r="M9" s="67"/>
      <c r="N9" s="67"/>
      <c r="O9" s="67"/>
      <c r="P9" s="67"/>
      <c r="Q9" s="67"/>
    </row>
    <row r="10" spans="2:18" ht="36.5" customHeight="1">
      <c r="C10" s="104" t="s">
        <v>331</v>
      </c>
      <c r="D10" s="319" t="s">
        <v>1211</v>
      </c>
      <c r="E10" s="114" t="s">
        <v>504</v>
      </c>
      <c r="F10" s="114" t="s">
        <v>334</v>
      </c>
      <c r="G10" s="114" t="s">
        <v>335</v>
      </c>
      <c r="H10" s="114" t="s">
        <v>336</v>
      </c>
      <c r="I10" s="114" t="s">
        <v>337</v>
      </c>
      <c r="J10" s="114" t="s">
        <v>338</v>
      </c>
      <c r="K10" s="114" t="s">
        <v>339</v>
      </c>
      <c r="L10" s="114" t="s">
        <v>340</v>
      </c>
      <c r="M10" s="114" t="s">
        <v>341</v>
      </c>
      <c r="N10" s="114" t="s">
        <v>342</v>
      </c>
      <c r="O10" s="114" t="s">
        <v>343</v>
      </c>
      <c r="P10" s="114" t="s">
        <v>344</v>
      </c>
      <c r="Q10" s="114" t="s">
        <v>345</v>
      </c>
      <c r="R10" s="114" t="s">
        <v>346</v>
      </c>
    </row>
    <row r="11" spans="2:18" ht="36.5" customHeight="1">
      <c r="C11" s="104" t="s">
        <v>299</v>
      </c>
      <c r="D11" s="84" t="s">
        <v>1212</v>
      </c>
      <c r="E11" s="84"/>
      <c r="F11" s="84"/>
      <c r="G11" s="84"/>
      <c r="H11" s="84"/>
      <c r="I11" s="84"/>
      <c r="J11" s="84"/>
      <c r="K11" s="84"/>
      <c r="L11" s="84"/>
      <c r="M11" s="84"/>
      <c r="N11" s="84"/>
      <c r="O11" s="84"/>
      <c r="P11" s="84"/>
      <c r="Q11" s="84"/>
      <c r="R11" s="84"/>
    </row>
    <row r="12" spans="2:18" ht="36.5" customHeight="1">
      <c r="C12" s="68"/>
      <c r="D12" s="320"/>
      <c r="E12" s="321"/>
      <c r="F12" s="321"/>
      <c r="G12" s="321"/>
      <c r="H12" s="321"/>
      <c r="I12" s="321"/>
      <c r="J12" s="322"/>
      <c r="K12" s="322"/>
      <c r="L12" s="322"/>
      <c r="M12" s="322"/>
      <c r="N12" s="322"/>
      <c r="O12" s="322"/>
      <c r="P12" s="322"/>
      <c r="Q12" s="322"/>
      <c r="R12" s="322"/>
    </row>
    <row r="13" spans="2:18" ht="36.5" customHeight="1">
      <c r="B13" s="7" t="s">
        <v>348</v>
      </c>
      <c r="C13" s="8" t="s">
        <v>349</v>
      </c>
      <c r="D13" s="118" t="s">
        <v>886</v>
      </c>
      <c r="E13" s="118"/>
      <c r="F13" s="118"/>
      <c r="G13" s="118"/>
      <c r="H13" s="118"/>
      <c r="I13" s="118"/>
      <c r="J13" s="118"/>
      <c r="K13" s="118"/>
      <c r="L13" s="118"/>
      <c r="M13" s="118"/>
      <c r="N13" s="118"/>
      <c r="O13" s="118"/>
      <c r="P13" s="118"/>
      <c r="Q13" s="118"/>
      <c r="R13" s="118"/>
    </row>
    <row r="14" spans="2:18" ht="36.5" customHeight="1">
      <c r="B14" s="7" t="s">
        <v>352</v>
      </c>
      <c r="C14" s="8" t="s">
        <v>297</v>
      </c>
      <c r="D14" s="131" t="s">
        <v>20</v>
      </c>
      <c r="E14" s="85"/>
      <c r="F14" s="85"/>
      <c r="G14" s="85"/>
      <c r="H14" s="85"/>
      <c r="I14" s="85"/>
      <c r="J14" s="85"/>
      <c r="K14" s="85"/>
      <c r="L14" s="85"/>
      <c r="M14" s="85"/>
      <c r="N14" s="85"/>
      <c r="O14" s="85"/>
      <c r="P14" s="85"/>
      <c r="Q14" s="85"/>
      <c r="R14" s="85"/>
    </row>
    <row r="15" spans="2:18" ht="36.5" customHeight="1">
      <c r="B15" s="7" t="s">
        <v>353</v>
      </c>
      <c r="C15" s="8" t="s">
        <v>354</v>
      </c>
      <c r="D15" s="85" t="s">
        <v>21</v>
      </c>
      <c r="E15" s="85"/>
      <c r="F15" s="85"/>
      <c r="G15" s="85"/>
      <c r="H15" s="85"/>
      <c r="I15" s="85"/>
      <c r="J15" s="85"/>
      <c r="K15" s="85"/>
      <c r="L15" s="85"/>
      <c r="M15" s="85"/>
      <c r="N15" s="85"/>
      <c r="O15" s="85"/>
      <c r="P15" s="85"/>
      <c r="Q15" s="85"/>
      <c r="R15" s="85"/>
    </row>
    <row r="16" spans="2:18" ht="36.5" customHeight="1">
      <c r="B16" s="7" t="s">
        <v>355</v>
      </c>
      <c r="C16" s="8" t="s">
        <v>356</v>
      </c>
      <c r="D16" s="85">
        <v>20339</v>
      </c>
      <c r="E16" s="85"/>
      <c r="F16" s="85"/>
      <c r="G16" s="85"/>
      <c r="H16" s="85"/>
      <c r="I16" s="85"/>
      <c r="J16" s="85"/>
      <c r="K16" s="85"/>
      <c r="L16" s="85"/>
      <c r="M16" s="85"/>
      <c r="N16" s="85"/>
      <c r="O16" s="85"/>
      <c r="P16" s="85"/>
      <c r="Q16" s="85"/>
      <c r="R16" s="85"/>
    </row>
    <row r="17" spans="2:18" ht="36.5" customHeight="1">
      <c r="B17" s="7" t="s">
        <v>357</v>
      </c>
      <c r="C17" s="8" t="s">
        <v>294</v>
      </c>
      <c r="D17" s="85" t="s">
        <v>19</v>
      </c>
      <c r="E17" s="85"/>
      <c r="F17" s="85"/>
      <c r="G17" s="85"/>
      <c r="H17" s="85"/>
      <c r="I17" s="85"/>
      <c r="J17" s="85"/>
      <c r="K17" s="85"/>
      <c r="L17" s="85"/>
      <c r="M17" s="85"/>
      <c r="N17" s="85"/>
      <c r="O17" s="85"/>
      <c r="P17" s="85"/>
      <c r="Q17" s="85"/>
      <c r="R17" s="85"/>
    </row>
    <row r="18" spans="2:18" ht="36.5" customHeight="1">
      <c r="B18" s="9" t="s">
        <v>358</v>
      </c>
      <c r="C18" s="10" t="s">
        <v>359</v>
      </c>
      <c r="D18" s="85" t="s">
        <v>360</v>
      </c>
      <c r="E18" s="85"/>
      <c r="F18" s="85"/>
      <c r="G18" s="85"/>
      <c r="H18" s="85"/>
      <c r="I18" s="85"/>
      <c r="J18" s="85"/>
      <c r="K18" s="85"/>
      <c r="L18" s="85"/>
      <c r="M18" s="85"/>
      <c r="N18" s="85"/>
      <c r="O18" s="85"/>
      <c r="P18" s="85"/>
      <c r="Q18" s="85"/>
      <c r="R18" s="85"/>
    </row>
    <row r="19" spans="2:18" ht="36.5" customHeight="1">
      <c r="B19" s="9" t="s">
        <v>361</v>
      </c>
      <c r="C19" s="10" t="s">
        <v>362</v>
      </c>
      <c r="D19" s="85" t="s">
        <v>328</v>
      </c>
      <c r="E19" s="85"/>
      <c r="F19" s="85"/>
      <c r="G19" s="85"/>
      <c r="H19" s="85"/>
      <c r="I19" s="85"/>
      <c r="J19" s="85"/>
      <c r="K19" s="85"/>
      <c r="L19" s="85"/>
      <c r="M19" s="85"/>
      <c r="N19" s="85"/>
      <c r="O19" s="85"/>
      <c r="P19" s="85"/>
      <c r="Q19" s="85"/>
      <c r="R19" s="85"/>
    </row>
    <row r="20" spans="2:18" ht="36.5" customHeight="1">
      <c r="B20" s="9" t="s">
        <v>363</v>
      </c>
      <c r="C20" s="10" t="s">
        <v>364</v>
      </c>
      <c r="D20" s="85" t="s">
        <v>328</v>
      </c>
      <c r="E20" s="85"/>
      <c r="F20" s="85"/>
      <c r="G20" s="85"/>
      <c r="H20" s="85"/>
      <c r="I20" s="85"/>
      <c r="J20" s="85"/>
      <c r="K20" s="85"/>
      <c r="L20" s="85"/>
      <c r="M20" s="85"/>
      <c r="N20" s="85"/>
      <c r="O20" s="85"/>
      <c r="P20" s="85"/>
      <c r="Q20" s="85"/>
      <c r="R20" s="85"/>
    </row>
    <row r="21" spans="2:18" ht="36.5" customHeight="1">
      <c r="B21" s="11" t="s">
        <v>365</v>
      </c>
      <c r="C21" s="12" t="s">
        <v>366</v>
      </c>
      <c r="D21" s="85" t="s">
        <v>1213</v>
      </c>
      <c r="E21" s="85"/>
      <c r="F21" s="85"/>
      <c r="G21" s="85"/>
      <c r="H21" s="85"/>
      <c r="I21" s="85"/>
      <c r="J21" s="85"/>
      <c r="K21" s="85"/>
      <c r="L21" s="85"/>
      <c r="M21" s="85"/>
      <c r="N21" s="85"/>
      <c r="O21" s="85"/>
      <c r="P21" s="85"/>
      <c r="Q21" s="85"/>
      <c r="R21" s="85"/>
    </row>
    <row r="22" spans="2:18" ht="36.5" customHeight="1">
      <c r="B22" s="11" t="s">
        <v>369</v>
      </c>
      <c r="C22" s="12" t="s">
        <v>370</v>
      </c>
      <c r="D22" s="85" t="s">
        <v>1214</v>
      </c>
      <c r="E22" s="85"/>
      <c r="F22" s="85"/>
      <c r="G22" s="85"/>
      <c r="H22" s="85"/>
      <c r="I22" s="85"/>
      <c r="J22" s="85"/>
      <c r="K22" s="85"/>
      <c r="L22" s="85"/>
      <c r="M22" s="85"/>
      <c r="N22" s="85"/>
      <c r="O22" s="85"/>
      <c r="P22" s="85"/>
      <c r="Q22" s="85"/>
      <c r="R22" s="85"/>
    </row>
    <row r="23" spans="2:18" ht="36.5" customHeight="1">
      <c r="B23" s="13"/>
      <c r="C23" s="87" t="s">
        <v>374</v>
      </c>
      <c r="D23" s="131" t="s">
        <v>374</v>
      </c>
      <c r="E23" s="131"/>
      <c r="F23" s="131"/>
      <c r="G23" s="131"/>
      <c r="H23" s="131"/>
      <c r="I23" s="131"/>
      <c r="J23" s="131"/>
      <c r="K23" s="131"/>
      <c r="L23" s="131"/>
      <c r="M23" s="131"/>
      <c r="N23" s="131"/>
      <c r="O23" s="131"/>
      <c r="P23" s="131"/>
      <c r="Q23" s="131"/>
      <c r="R23" s="131"/>
    </row>
    <row r="24" spans="2:18" ht="36.5" customHeight="1">
      <c r="B24" s="13" t="s">
        <v>375</v>
      </c>
      <c r="C24" s="14" t="s">
        <v>376</v>
      </c>
      <c r="D24" s="88">
        <v>2343.77</v>
      </c>
      <c r="E24" s="88"/>
      <c r="F24" s="88"/>
      <c r="G24" s="88"/>
      <c r="H24" s="88"/>
      <c r="I24" s="88"/>
      <c r="J24" s="88"/>
      <c r="K24" s="88"/>
      <c r="L24" s="88"/>
      <c r="M24" s="88"/>
      <c r="N24" s="88"/>
      <c r="O24" s="88"/>
      <c r="P24" s="88"/>
      <c r="Q24" s="88"/>
      <c r="R24" s="88"/>
    </row>
    <row r="25" spans="2:18" ht="36.5" customHeight="1">
      <c r="B25" s="15" t="s">
        <v>377</v>
      </c>
      <c r="C25" s="16" t="s">
        <v>378</v>
      </c>
      <c r="D25" s="119">
        <v>26</v>
      </c>
      <c r="E25" s="119"/>
      <c r="F25" s="85"/>
      <c r="G25" s="85"/>
      <c r="H25" s="85"/>
      <c r="I25" s="85"/>
      <c r="J25" s="85"/>
      <c r="K25" s="85"/>
      <c r="L25" s="85"/>
      <c r="M25" s="85"/>
      <c r="N25" s="85"/>
      <c r="O25" s="85"/>
      <c r="P25" s="85"/>
      <c r="Q25" s="85"/>
      <c r="R25" s="85"/>
    </row>
    <row r="26" spans="2:18" ht="36.5" customHeight="1">
      <c r="B26" s="15" t="s">
        <v>380</v>
      </c>
      <c r="C26" s="16" t="s">
        <v>381</v>
      </c>
      <c r="D26" s="89" t="s">
        <v>449</v>
      </c>
      <c r="E26" s="89"/>
      <c r="F26" s="88"/>
      <c r="G26" s="85"/>
      <c r="H26" s="85"/>
      <c r="I26" s="85"/>
      <c r="J26" s="85"/>
      <c r="K26" s="85"/>
      <c r="L26" s="85"/>
      <c r="M26" s="85"/>
      <c r="N26" s="85"/>
      <c r="O26" s="85"/>
      <c r="P26" s="85"/>
      <c r="Q26" s="85"/>
      <c r="R26" s="85"/>
    </row>
    <row r="27" spans="2:18" ht="36.5" customHeight="1">
      <c r="B27" s="323" t="s">
        <v>383</v>
      </c>
      <c r="C27" s="324" t="s">
        <v>383</v>
      </c>
      <c r="D27" s="89">
        <v>41553</v>
      </c>
      <c r="E27" s="89"/>
      <c r="F27" s="88"/>
      <c r="G27" s="85"/>
      <c r="H27" s="85"/>
      <c r="I27" s="85"/>
      <c r="J27" s="85"/>
      <c r="K27" s="85"/>
      <c r="L27" s="85"/>
      <c r="M27" s="85"/>
      <c r="N27" s="85"/>
      <c r="O27" s="85"/>
      <c r="P27" s="85"/>
      <c r="Q27" s="85"/>
      <c r="R27" s="85"/>
    </row>
    <row r="28" spans="2:18" ht="36.5" customHeight="1">
      <c r="B28" s="15" t="s">
        <v>384</v>
      </c>
      <c r="C28" s="16" t="s">
        <v>450</v>
      </c>
      <c r="D28" s="120">
        <f>13.98*12</f>
        <v>167.76</v>
      </c>
      <c r="E28" s="89"/>
      <c r="F28" s="88"/>
      <c r="G28" s="85"/>
      <c r="H28" s="85"/>
      <c r="I28" s="85"/>
      <c r="J28" s="85"/>
      <c r="K28" s="85"/>
      <c r="L28" s="85"/>
      <c r="M28" s="85"/>
      <c r="N28" s="85"/>
      <c r="O28" s="85"/>
      <c r="P28" s="85"/>
      <c r="Q28" s="85"/>
      <c r="R28" s="85"/>
    </row>
    <row r="29" spans="2:18" ht="56">
      <c r="B29" s="15" t="s">
        <v>387</v>
      </c>
      <c r="C29" s="16" t="s">
        <v>388</v>
      </c>
      <c r="D29" s="127" t="s">
        <v>1215</v>
      </c>
      <c r="E29" s="89"/>
      <c r="F29" s="88"/>
      <c r="G29" s="85"/>
      <c r="H29" s="85"/>
      <c r="I29" s="85"/>
      <c r="J29" s="85"/>
      <c r="K29" s="85"/>
      <c r="L29" s="85"/>
      <c r="M29" s="85"/>
      <c r="N29" s="85"/>
      <c r="O29" s="85"/>
      <c r="P29" s="85"/>
      <c r="Q29" s="85"/>
      <c r="R29" s="85"/>
    </row>
    <row r="30" spans="2:18" ht="36.5" customHeight="1">
      <c r="B30" s="13" t="s">
        <v>390</v>
      </c>
      <c r="C30" s="17" t="s">
        <v>453</v>
      </c>
      <c r="D30" s="85">
        <f>5.83*12</f>
        <v>69.960000000000008</v>
      </c>
      <c r="E30" s="85"/>
      <c r="F30" s="85"/>
      <c r="G30" s="85"/>
      <c r="H30" s="85"/>
      <c r="I30" s="85"/>
      <c r="J30" s="85"/>
      <c r="K30" s="85"/>
      <c r="L30" s="85"/>
      <c r="M30" s="85"/>
      <c r="N30" s="85"/>
      <c r="O30" s="85"/>
      <c r="P30" s="85"/>
      <c r="Q30" s="85"/>
      <c r="R30" s="85"/>
    </row>
    <row r="31" spans="2:18" ht="36.5" customHeight="1">
      <c r="B31" s="326"/>
      <c r="C31" s="327" t="s">
        <v>393</v>
      </c>
      <c r="D31" s="85"/>
      <c r="E31" s="85"/>
      <c r="F31" s="85"/>
      <c r="G31" s="85"/>
      <c r="H31" s="85"/>
      <c r="I31" s="85"/>
      <c r="J31" s="85"/>
      <c r="K31" s="85"/>
      <c r="L31" s="85"/>
      <c r="M31" s="85"/>
      <c r="N31" s="85"/>
      <c r="O31" s="85"/>
      <c r="P31" s="85"/>
      <c r="Q31" s="85"/>
      <c r="R31" s="85"/>
    </row>
    <row r="32" spans="2:18" ht="36.5" customHeight="1">
      <c r="B32" s="13" t="s">
        <v>394</v>
      </c>
      <c r="C32" s="17" t="s">
        <v>1216</v>
      </c>
      <c r="D32" s="374">
        <v>0.21629999999999999</v>
      </c>
      <c r="E32" s="85"/>
      <c r="F32" s="85"/>
      <c r="G32" s="85"/>
      <c r="H32" s="85"/>
      <c r="I32" s="85"/>
      <c r="J32" s="85"/>
      <c r="K32" s="85"/>
      <c r="L32" s="85"/>
      <c r="M32" s="85"/>
      <c r="N32" s="85"/>
      <c r="O32" s="85"/>
      <c r="P32" s="85"/>
      <c r="Q32" s="85"/>
      <c r="R32" s="85"/>
    </row>
    <row r="33" spans="2:18" ht="36.5" customHeight="1">
      <c r="B33" s="18" t="s">
        <v>397</v>
      </c>
      <c r="C33" s="19" t="s">
        <v>313</v>
      </c>
      <c r="D33" s="91">
        <v>43831</v>
      </c>
      <c r="E33" s="91"/>
      <c r="F33" s="91"/>
      <c r="G33" s="91"/>
      <c r="H33" s="91"/>
      <c r="I33" s="91"/>
      <c r="J33" s="85"/>
      <c r="K33" s="85"/>
      <c r="L33" s="85"/>
      <c r="M33" s="85"/>
      <c r="N33" s="85"/>
      <c r="O33" s="85"/>
      <c r="P33" s="85"/>
      <c r="Q33" s="85"/>
      <c r="R33" s="85"/>
    </row>
    <row r="34" spans="2:18" ht="36.5" customHeight="1">
      <c r="B34" s="20" t="s">
        <v>398</v>
      </c>
      <c r="C34" s="19" t="s">
        <v>315</v>
      </c>
      <c r="D34" s="91">
        <v>45657</v>
      </c>
      <c r="E34" s="91"/>
      <c r="F34" s="91"/>
      <c r="G34" s="91"/>
      <c r="H34" s="91"/>
      <c r="I34" s="91"/>
      <c r="J34" s="85"/>
      <c r="K34" s="85"/>
      <c r="L34" s="85"/>
      <c r="M34" s="85"/>
      <c r="N34" s="85"/>
      <c r="O34" s="85"/>
      <c r="P34" s="85"/>
      <c r="Q34" s="85"/>
      <c r="R34" s="85"/>
    </row>
    <row r="35" spans="2:18" ht="36.5" customHeight="1">
      <c r="B35" s="20" t="s">
        <v>399</v>
      </c>
      <c r="C35" s="19" t="s">
        <v>400</v>
      </c>
      <c r="D35" s="91">
        <v>45627</v>
      </c>
      <c r="E35" s="85"/>
      <c r="F35" s="85"/>
      <c r="G35" s="85"/>
      <c r="H35" s="85"/>
      <c r="I35" s="85"/>
      <c r="J35" s="85"/>
      <c r="K35" s="85"/>
      <c r="L35" s="85"/>
      <c r="M35" s="85"/>
      <c r="N35" s="85"/>
      <c r="O35" s="85"/>
      <c r="P35" s="85"/>
      <c r="Q35" s="85"/>
      <c r="R35" s="85"/>
    </row>
    <row r="36" spans="2:18" ht="36.5" customHeight="1">
      <c r="B36" s="20" t="s">
        <v>402</v>
      </c>
      <c r="C36" s="21" t="s">
        <v>403</v>
      </c>
      <c r="D36" s="92" t="s">
        <v>1217</v>
      </c>
      <c r="E36" s="92"/>
      <c r="F36" s="93"/>
      <c r="G36" s="93"/>
      <c r="H36" s="93"/>
      <c r="I36" s="93"/>
      <c r="J36" s="85"/>
      <c r="K36" s="85"/>
      <c r="L36" s="85"/>
      <c r="M36" s="85"/>
      <c r="N36" s="85"/>
      <c r="O36" s="85"/>
      <c r="P36" s="85"/>
      <c r="Q36" s="85"/>
      <c r="R36" s="85"/>
    </row>
    <row r="37" spans="2:18" ht="36.5" customHeight="1">
      <c r="B37" s="20" t="s">
        <v>404</v>
      </c>
      <c r="C37" s="21" t="s">
        <v>405</v>
      </c>
      <c r="D37" s="92" t="s">
        <v>1218</v>
      </c>
      <c r="E37" s="92"/>
      <c r="F37" s="93"/>
      <c r="G37" s="93"/>
      <c r="H37" s="93"/>
      <c r="I37" s="93"/>
      <c r="J37" s="85"/>
      <c r="K37" s="85"/>
      <c r="L37" s="85"/>
      <c r="M37" s="85"/>
      <c r="N37" s="85"/>
      <c r="O37" s="85"/>
      <c r="P37" s="85"/>
      <c r="Q37" s="85"/>
      <c r="R37" s="85"/>
    </row>
    <row r="38" spans="2:18" ht="36.5" customHeight="1">
      <c r="B38" s="20" t="s">
        <v>406</v>
      </c>
      <c r="C38" s="21" t="s">
        <v>407</v>
      </c>
      <c r="D38" s="92" t="s">
        <v>328</v>
      </c>
      <c r="E38" s="92"/>
      <c r="F38" s="93"/>
      <c r="G38" s="93"/>
      <c r="H38" s="93"/>
      <c r="I38" s="93"/>
      <c r="J38" s="85"/>
      <c r="K38" s="85"/>
      <c r="L38" s="85"/>
      <c r="M38" s="85"/>
      <c r="N38" s="85"/>
      <c r="O38" s="85"/>
      <c r="P38" s="85"/>
      <c r="Q38" s="85"/>
      <c r="R38" s="85"/>
    </row>
    <row r="39" spans="2:18" ht="36.5" customHeight="1">
      <c r="B39" s="20" t="s">
        <v>408</v>
      </c>
      <c r="C39" s="21" t="s">
        <v>409</v>
      </c>
      <c r="D39" s="136" t="s">
        <v>636</v>
      </c>
      <c r="E39" s="136"/>
      <c r="F39" s="95"/>
      <c r="G39" s="93"/>
      <c r="H39" s="93"/>
      <c r="I39" s="93"/>
      <c r="J39" s="85"/>
      <c r="K39" s="85"/>
      <c r="L39" s="85"/>
      <c r="M39" s="85"/>
      <c r="N39" s="85"/>
      <c r="O39" s="85"/>
      <c r="P39" s="85"/>
      <c r="Q39" s="85"/>
      <c r="R39" s="85"/>
    </row>
    <row r="40" spans="2:18" ht="36.5" customHeight="1">
      <c r="B40" s="20" t="s">
        <v>411</v>
      </c>
      <c r="C40" s="21" t="s">
        <v>314</v>
      </c>
      <c r="D40" s="91">
        <v>47483</v>
      </c>
      <c r="E40" s="92"/>
      <c r="F40" s="93"/>
      <c r="G40" s="93"/>
      <c r="H40" s="93"/>
      <c r="I40" s="93"/>
      <c r="J40" s="85"/>
      <c r="K40" s="85"/>
      <c r="L40" s="85"/>
      <c r="M40" s="85"/>
      <c r="N40" s="85"/>
      <c r="O40" s="85"/>
      <c r="P40" s="85"/>
      <c r="Q40" s="85"/>
      <c r="R40" s="85"/>
    </row>
    <row r="41" spans="2:18" ht="36.5" customHeight="1">
      <c r="B41" s="22" t="s">
        <v>412</v>
      </c>
      <c r="C41" s="23" t="s">
        <v>413</v>
      </c>
      <c r="D41" s="92" t="s">
        <v>414</v>
      </c>
      <c r="E41" s="92"/>
      <c r="F41" s="92"/>
      <c r="G41" s="92"/>
      <c r="H41" s="92"/>
      <c r="I41" s="92"/>
      <c r="J41" s="92"/>
      <c r="K41" s="92"/>
      <c r="L41" s="92"/>
      <c r="M41" s="92"/>
      <c r="N41" s="92"/>
      <c r="O41" s="92"/>
      <c r="P41" s="92"/>
      <c r="Q41" s="92"/>
      <c r="R41" s="92"/>
    </row>
    <row r="42" spans="2:18" ht="36.5" customHeight="1">
      <c r="B42" s="24" t="s">
        <v>457</v>
      </c>
      <c r="C42" s="23" t="s">
        <v>458</v>
      </c>
      <c r="D42" s="95" t="s">
        <v>328</v>
      </c>
      <c r="E42" s="95"/>
      <c r="F42" s="95"/>
      <c r="G42" s="95"/>
      <c r="H42" s="95"/>
      <c r="I42" s="95"/>
      <c r="J42" s="95"/>
      <c r="K42" s="95"/>
      <c r="L42" s="95"/>
      <c r="M42" s="95"/>
      <c r="N42" s="95"/>
      <c r="O42" s="95"/>
      <c r="P42" s="95"/>
      <c r="Q42" s="95"/>
      <c r="R42" s="95"/>
    </row>
    <row r="43" spans="2:18" ht="36.5" customHeight="1">
      <c r="B43" s="25" t="s">
        <v>418</v>
      </c>
      <c r="C43" s="26" t="s">
        <v>419</v>
      </c>
      <c r="D43" s="85" t="s">
        <v>1219</v>
      </c>
      <c r="E43" s="85"/>
      <c r="F43" s="85"/>
      <c r="G43" s="85"/>
      <c r="H43" s="85"/>
      <c r="I43" s="85"/>
      <c r="J43" s="85"/>
      <c r="K43" s="85"/>
      <c r="L43" s="85"/>
      <c r="M43" s="85"/>
      <c r="N43" s="85"/>
      <c r="O43" s="85"/>
      <c r="P43" s="85"/>
      <c r="Q43" s="85"/>
      <c r="R43" s="85"/>
    </row>
    <row r="44" spans="2:18" ht="36.5" customHeight="1">
      <c r="B44" s="25" t="s">
        <v>420</v>
      </c>
      <c r="C44" s="26" t="s">
        <v>421</v>
      </c>
      <c r="D44" s="85" t="s">
        <v>1220</v>
      </c>
      <c r="E44" s="85"/>
      <c r="F44" s="85"/>
      <c r="G44" s="85"/>
      <c r="H44" s="85"/>
      <c r="I44" s="85"/>
      <c r="J44" s="85"/>
      <c r="K44" s="85"/>
      <c r="L44" s="85"/>
      <c r="M44" s="85"/>
      <c r="N44" s="85"/>
      <c r="O44" s="85"/>
      <c r="P44" s="85"/>
      <c r="Q44" s="85"/>
      <c r="R44" s="85"/>
    </row>
    <row r="45" spans="2:18" ht="36.5" customHeight="1">
      <c r="B45" s="27"/>
      <c r="C45" s="27"/>
      <c r="D45" s="27"/>
      <c r="E45" s="27"/>
      <c r="F45" s="27"/>
      <c r="G45" s="27"/>
      <c r="H45" s="27"/>
      <c r="I45" s="27"/>
      <c r="J45" s="27"/>
      <c r="K45" s="27"/>
      <c r="L45" s="27"/>
      <c r="M45" s="27"/>
      <c r="N45" s="27"/>
      <c r="O45" s="27"/>
      <c r="P45" s="27"/>
      <c r="Q45" s="27"/>
      <c r="R45" s="27"/>
    </row>
    <row r="46" spans="2:18" ht="36.5" customHeight="1">
      <c r="B46" s="27"/>
      <c r="C46" s="28" t="s">
        <v>423</v>
      </c>
      <c r="D46" s="375">
        <v>200</v>
      </c>
      <c r="E46" s="85"/>
      <c r="F46" s="85"/>
      <c r="G46" s="85"/>
      <c r="H46" s="85"/>
      <c r="I46" s="85"/>
      <c r="J46" s="85"/>
      <c r="K46" s="85"/>
      <c r="L46" s="85"/>
      <c r="M46" s="85"/>
      <c r="N46" s="85"/>
      <c r="O46" s="85"/>
      <c r="P46" s="85"/>
      <c r="Q46" s="85"/>
      <c r="R46" s="85"/>
    </row>
    <row r="47" spans="2:18" ht="36.5" customHeight="1">
      <c r="B47" s="27"/>
      <c r="C47" s="29" t="s">
        <v>424</v>
      </c>
      <c r="D47" s="376"/>
      <c r="E47" s="85"/>
      <c r="F47" s="85"/>
      <c r="G47" s="85"/>
      <c r="H47" s="85"/>
      <c r="I47" s="85"/>
      <c r="J47" s="85"/>
      <c r="K47" s="85"/>
      <c r="L47" s="85"/>
      <c r="M47" s="85"/>
      <c r="N47" s="85"/>
      <c r="O47" s="85"/>
      <c r="P47" s="85"/>
      <c r="Q47" s="85"/>
      <c r="R47" s="85"/>
    </row>
    <row r="48" spans="2:18" ht="36.5" customHeight="1">
      <c r="B48" s="27"/>
      <c r="C48" s="29" t="s">
        <v>425</v>
      </c>
      <c r="D48" s="376"/>
      <c r="E48" s="85"/>
      <c r="F48" s="85"/>
      <c r="G48" s="85"/>
      <c r="H48" s="85"/>
      <c r="I48" s="85"/>
      <c r="J48" s="85"/>
      <c r="K48" s="85"/>
      <c r="L48" s="85"/>
      <c r="M48" s="85"/>
      <c r="N48" s="85"/>
      <c r="O48" s="85"/>
      <c r="P48" s="85"/>
      <c r="Q48" s="85"/>
      <c r="R48" s="85"/>
    </row>
    <row r="49" spans="2:18" ht="10" customHeight="1">
      <c r="B49" s="27"/>
      <c r="C49" s="30"/>
      <c r="D49" s="377"/>
      <c r="E49" s="96"/>
      <c r="F49" s="96"/>
      <c r="G49" s="96"/>
      <c r="H49" s="96"/>
      <c r="I49" s="96"/>
      <c r="J49" s="96"/>
      <c r="K49" s="96"/>
      <c r="L49" s="96"/>
      <c r="M49" s="96"/>
      <c r="N49" s="96"/>
      <c r="O49" s="96"/>
      <c r="P49" s="96"/>
      <c r="Q49" s="96"/>
      <c r="R49" s="96"/>
    </row>
    <row r="50" spans="2:18" ht="36.5" customHeight="1">
      <c r="B50" s="27"/>
      <c r="C50" s="28" t="s">
        <v>426</v>
      </c>
      <c r="D50" s="375" t="s">
        <v>1221</v>
      </c>
      <c r="E50" s="85"/>
      <c r="F50" s="85"/>
      <c r="G50" s="85"/>
      <c r="H50" s="85"/>
      <c r="I50" s="85"/>
      <c r="J50" s="85"/>
      <c r="K50" s="85"/>
      <c r="L50" s="85"/>
      <c r="M50" s="85"/>
      <c r="N50" s="85"/>
      <c r="O50" s="85"/>
      <c r="P50" s="85"/>
      <c r="Q50" s="85"/>
      <c r="R50" s="85"/>
    </row>
    <row r="51" spans="2:18" ht="33.5" customHeight="1">
      <c r="B51" s="27"/>
      <c r="C51" s="29" t="s">
        <v>1222</v>
      </c>
      <c r="D51" s="378">
        <v>16</v>
      </c>
      <c r="E51" s="85"/>
      <c r="F51" s="85"/>
      <c r="G51" s="85"/>
      <c r="H51" s="85"/>
      <c r="I51" s="85"/>
      <c r="J51" s="85"/>
      <c r="K51" s="85"/>
      <c r="L51" s="85"/>
      <c r="M51" s="85"/>
      <c r="N51" s="85"/>
      <c r="O51" s="85"/>
      <c r="P51" s="85"/>
      <c r="Q51" s="85"/>
      <c r="R51" s="85"/>
    </row>
    <row r="52" spans="2:18" ht="36.5" customHeight="1">
      <c r="B52" s="27"/>
      <c r="C52" s="29" t="s">
        <v>1223</v>
      </c>
      <c r="D52" s="131">
        <v>250</v>
      </c>
      <c r="E52" s="85"/>
      <c r="F52" s="85"/>
      <c r="G52" s="85"/>
      <c r="H52" s="85"/>
      <c r="I52" s="85"/>
      <c r="J52" s="85"/>
      <c r="K52" s="85"/>
      <c r="L52" s="85"/>
      <c r="M52" s="85"/>
      <c r="N52" s="85"/>
      <c r="O52" s="85"/>
      <c r="P52" s="85"/>
      <c r="Q52" s="85"/>
      <c r="R52" s="85"/>
    </row>
    <row r="53" spans="2:18" ht="12" customHeight="1">
      <c r="B53" s="27"/>
      <c r="C53" s="31"/>
      <c r="D53" s="379"/>
      <c r="E53" s="96"/>
      <c r="F53" s="96"/>
      <c r="G53" s="96"/>
      <c r="H53" s="96"/>
      <c r="I53" s="96"/>
      <c r="J53" s="96"/>
      <c r="K53" s="96"/>
      <c r="L53" s="96"/>
      <c r="M53" s="96"/>
      <c r="N53" s="96"/>
      <c r="O53" s="96"/>
      <c r="P53" s="96"/>
      <c r="Q53" s="96"/>
      <c r="R53" s="96"/>
    </row>
    <row r="54" spans="2:18" ht="29" customHeight="1">
      <c r="B54" s="27"/>
      <c r="C54" s="28" t="s">
        <v>427</v>
      </c>
      <c r="D54" s="131"/>
      <c r="E54" s="131"/>
      <c r="F54" s="131"/>
      <c r="G54" s="131"/>
      <c r="H54" s="131"/>
      <c r="I54" s="131"/>
      <c r="J54" s="131"/>
      <c r="K54" s="131"/>
      <c r="L54" s="131"/>
      <c r="M54" s="131"/>
      <c r="N54" s="131"/>
      <c r="O54" s="131"/>
      <c r="P54" s="131"/>
      <c r="Q54" s="131"/>
      <c r="R54" s="131"/>
    </row>
    <row r="55" spans="2:18" ht="36.5" customHeight="1">
      <c r="B55" s="27"/>
      <c r="C55" s="28" t="s">
        <v>428</v>
      </c>
      <c r="D55" s="380">
        <v>0.4</v>
      </c>
      <c r="E55" s="85"/>
      <c r="F55" s="85"/>
      <c r="G55" s="85"/>
      <c r="H55" s="85"/>
      <c r="I55" s="85"/>
      <c r="J55" s="85"/>
      <c r="K55" s="85"/>
      <c r="L55" s="85"/>
      <c r="M55" s="85"/>
      <c r="N55" s="85"/>
      <c r="O55" s="85"/>
      <c r="P55" s="85"/>
      <c r="Q55" s="85"/>
      <c r="R55" s="85"/>
    </row>
    <row r="56" spans="2:18" ht="33.5" customHeight="1">
      <c r="B56" s="27"/>
      <c r="C56" s="330" t="s">
        <v>429</v>
      </c>
      <c r="D56" s="350">
        <v>2</v>
      </c>
      <c r="E56" s="95"/>
      <c r="F56" s="95"/>
      <c r="G56" s="95"/>
      <c r="H56" s="95"/>
      <c r="I56" s="95"/>
      <c r="J56" s="95"/>
      <c r="K56" s="95"/>
      <c r="L56" s="95"/>
      <c r="M56" s="95"/>
      <c r="N56" s="95"/>
      <c r="O56" s="95"/>
      <c r="P56" s="95"/>
      <c r="Q56" s="95"/>
      <c r="R56" s="95"/>
    </row>
    <row r="57" spans="2:18" ht="56" customHeight="1">
      <c r="C57" s="331" t="s">
        <v>430</v>
      </c>
      <c r="D57" s="71"/>
      <c r="E57" s="71"/>
      <c r="F57" s="71"/>
      <c r="G57" s="71"/>
      <c r="H57" s="71"/>
      <c r="I57" s="71"/>
      <c r="J57" s="71"/>
      <c r="K57" s="71"/>
      <c r="L57" s="71"/>
      <c r="M57" s="71"/>
      <c r="N57" s="71"/>
      <c r="O57" s="71"/>
      <c r="P57" s="71"/>
      <c r="Q57" s="71"/>
      <c r="R57" s="71"/>
    </row>
    <row r="58" spans="2:18" ht="57" customHeight="1">
      <c r="C58" s="331" t="s">
        <v>431</v>
      </c>
      <c r="D58" s="71"/>
      <c r="E58" s="71"/>
      <c r="F58" s="71"/>
      <c r="G58" s="71"/>
      <c r="H58" s="71"/>
      <c r="I58" s="71"/>
      <c r="J58" s="71"/>
      <c r="K58" s="71"/>
      <c r="L58" s="71"/>
      <c r="M58" s="71"/>
      <c r="N58" s="71"/>
      <c r="O58" s="71"/>
      <c r="P58" s="71"/>
      <c r="Q58" s="71"/>
      <c r="R58" s="71"/>
    </row>
    <row r="60" spans="2:18" ht="17" customHeight="1">
      <c r="D60" s="1" t="s">
        <v>432</v>
      </c>
    </row>
    <row r="61" spans="2:18" ht="17" customHeight="1">
      <c r="D61" s="97" t="s">
        <v>433</v>
      </c>
    </row>
    <row r="62" spans="2:18" ht="17" customHeight="1">
      <c r="D62" s="98" t="s">
        <v>434</v>
      </c>
    </row>
    <row r="63" spans="2:18" ht="17" customHeight="1">
      <c r="D63" s="98" t="s">
        <v>435</v>
      </c>
    </row>
    <row r="64" spans="2:18" ht="17" customHeight="1">
      <c r="D64" s="98" t="s">
        <v>436</v>
      </c>
    </row>
    <row r="65" spans="4:4" ht="17" customHeight="1">
      <c r="D65" s="98" t="s">
        <v>437</v>
      </c>
    </row>
    <row r="66" spans="4:4" ht="17" customHeight="1">
      <c r="D66" s="98" t="s">
        <v>438</v>
      </c>
    </row>
    <row r="67" spans="4:4" ht="17" customHeight="1"/>
    <row r="68" spans="4:4" ht="17" customHeight="1">
      <c r="D68" s="99" t="s">
        <v>439</v>
      </c>
    </row>
  </sheetData>
  <mergeCells count="2">
    <mergeCell ref="C6:D6"/>
    <mergeCell ref="C7:D7"/>
  </mergeCells>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67" priority="3">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2 B30">
    <cfRule type="colorScale" priority="6">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66" priority="5">
      <formula>#REF!="Owned"</formula>
    </cfRule>
  </conditionalFormatting>
  <conditionalFormatting sqref="C27:C32">
    <cfRule type="expression" dxfId="65" priority="1">
      <formula>#REF!="Owned"</formula>
    </cfRule>
  </conditionalFormatting>
  <dataValidations count="1">
    <dataValidation type="list" allowBlank="1" showInputMessage="1" showErrorMessage="1" sqref="E6" xr:uid="{1A99330A-DF9B-4B4D-AE69-9BF01E7CCEDF}">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6FD03-968C-4A46-B4F1-0C8E43582FBB}">
  <sheetPr codeName="Feuil37">
    <tabColor rgb="FF00B050"/>
  </sheetPr>
  <dimension ref="B2:M58"/>
  <sheetViews>
    <sheetView topLeftCell="C2" zoomScale="70" zoomScaleNormal="70" workbookViewId="0">
      <selection activeCell="D24" sqref="D24"/>
    </sheetView>
  </sheetViews>
  <sheetFormatPr baseColWidth="10" defaultColWidth="11.5" defaultRowHeight="13"/>
  <cols>
    <col min="3" max="13" width="22.83203125" customWidth="1"/>
  </cols>
  <sheetData>
    <row r="2" spans="2:13">
      <c r="C2" s="504" t="s">
        <v>323</v>
      </c>
      <c r="D2" s="502">
        <v>46077</v>
      </c>
      <c r="E2" s="1"/>
      <c r="F2" s="3"/>
      <c r="G2" s="3"/>
      <c r="H2" s="3"/>
      <c r="I2" s="4"/>
      <c r="J2" s="1"/>
      <c r="K2" s="1"/>
      <c r="L2" s="1"/>
      <c r="M2" s="1"/>
    </row>
    <row r="3" spans="2:13">
      <c r="C3" s="1"/>
      <c r="D3" s="1"/>
      <c r="E3" s="1"/>
      <c r="F3" s="1"/>
      <c r="G3" s="1"/>
      <c r="H3" s="1"/>
      <c r="I3" s="1"/>
      <c r="J3" s="1"/>
      <c r="K3" s="1"/>
      <c r="L3" s="1"/>
      <c r="M3" s="1"/>
    </row>
    <row r="4" spans="2:13">
      <c r="C4" s="33" t="s">
        <v>324</v>
      </c>
      <c r="D4" s="258" t="s">
        <v>256</v>
      </c>
      <c r="E4" s="258" t="s">
        <v>256</v>
      </c>
      <c r="I4" s="5"/>
      <c r="J4" s="1"/>
      <c r="K4" s="1"/>
      <c r="L4" s="1"/>
      <c r="M4" s="1"/>
    </row>
    <row r="5" spans="2:13">
      <c r="C5" s="35"/>
      <c r="E5" s="1"/>
      <c r="F5" s="1"/>
      <c r="G5" s="1"/>
      <c r="H5" s="1"/>
      <c r="I5" s="1"/>
      <c r="J5" s="1"/>
      <c r="K5" s="1"/>
      <c r="L5" s="1"/>
      <c r="M5" s="1"/>
    </row>
    <row r="6" spans="2:13">
      <c r="C6" s="589" t="s">
        <v>327</v>
      </c>
      <c r="D6" s="591"/>
      <c r="E6" s="6" t="s">
        <v>414</v>
      </c>
      <c r="F6" s="124"/>
      <c r="G6" s="124"/>
      <c r="H6" s="124"/>
      <c r="J6" s="1"/>
      <c r="K6" s="1"/>
      <c r="L6" s="1"/>
      <c r="M6" s="1"/>
    </row>
    <row r="7" spans="2:13">
      <c r="C7" s="589" t="s">
        <v>329</v>
      </c>
      <c r="D7" s="591"/>
      <c r="E7" s="6">
        <v>23</v>
      </c>
      <c r="F7" s="124"/>
      <c r="G7" s="124"/>
      <c r="H7" s="124"/>
      <c r="J7" s="1"/>
      <c r="K7" s="1"/>
      <c r="L7" s="1"/>
      <c r="M7" s="1"/>
    </row>
    <row r="8" spans="2:13">
      <c r="C8" s="68"/>
      <c r="D8" s="68"/>
      <c r="E8" s="68"/>
      <c r="F8" s="68"/>
      <c r="G8" s="68"/>
      <c r="H8" s="68"/>
      <c r="I8" s="42"/>
      <c r="J8" s="1"/>
      <c r="K8" s="1"/>
      <c r="L8" s="1"/>
      <c r="M8" s="1"/>
    </row>
    <row r="9" spans="2:13">
      <c r="C9" s="69" t="s">
        <v>441</v>
      </c>
      <c r="D9" s="74" t="s">
        <v>1224</v>
      </c>
      <c r="E9" s="74" t="s">
        <v>1224</v>
      </c>
      <c r="F9" s="67"/>
      <c r="G9" s="67"/>
      <c r="H9" s="67"/>
      <c r="I9" s="67"/>
      <c r="J9" s="67"/>
      <c r="K9" s="67"/>
      <c r="L9" s="67"/>
      <c r="M9" s="67"/>
    </row>
    <row r="10" spans="2:13" ht="14">
      <c r="C10" s="70" t="s">
        <v>331</v>
      </c>
      <c r="D10" s="417" t="s">
        <v>1225</v>
      </c>
      <c r="E10" s="417" t="s">
        <v>1226</v>
      </c>
      <c r="F10" s="84" t="s">
        <v>463</v>
      </c>
      <c r="G10" s="84" t="s">
        <v>464</v>
      </c>
      <c r="H10" s="84" t="s">
        <v>465</v>
      </c>
      <c r="I10" s="84" t="s">
        <v>466</v>
      </c>
      <c r="J10" s="84" t="s">
        <v>467</v>
      </c>
      <c r="K10" s="84" t="s">
        <v>468</v>
      </c>
      <c r="L10" s="84" t="s">
        <v>469</v>
      </c>
      <c r="M10" s="84" t="s">
        <v>470</v>
      </c>
    </row>
    <row r="11" spans="2:13" ht="14">
      <c r="C11" s="104" t="s">
        <v>299</v>
      </c>
      <c r="D11" s="417" t="s">
        <v>1227</v>
      </c>
      <c r="E11" s="417" t="s">
        <v>1228</v>
      </c>
      <c r="F11" s="84"/>
      <c r="G11" s="84"/>
      <c r="H11" s="84"/>
      <c r="I11" s="84"/>
      <c r="J11" s="84"/>
      <c r="K11" s="84"/>
      <c r="L11" s="84"/>
      <c r="M11" s="84"/>
    </row>
    <row r="12" spans="2:13" ht="14">
      <c r="C12" s="32"/>
      <c r="D12" s="418" t="s">
        <v>1229</v>
      </c>
      <c r="E12" s="418" t="s">
        <v>1230</v>
      </c>
      <c r="F12" s="44"/>
      <c r="G12" s="44"/>
      <c r="H12" s="45"/>
      <c r="I12" s="46"/>
      <c r="J12" s="44"/>
      <c r="K12" s="47"/>
      <c r="L12" s="48"/>
      <c r="M12" s="44"/>
    </row>
    <row r="13" spans="2:13" ht="48">
      <c r="B13" s="7" t="s">
        <v>348</v>
      </c>
      <c r="C13" s="398" t="s">
        <v>349</v>
      </c>
      <c r="D13" s="422" t="s">
        <v>1231</v>
      </c>
      <c r="E13" s="422" t="s">
        <v>1232</v>
      </c>
      <c r="F13" s="71"/>
      <c r="G13" s="71"/>
      <c r="H13" s="71"/>
      <c r="I13" s="71"/>
      <c r="J13" s="71"/>
      <c r="K13" s="71"/>
      <c r="L13" s="71"/>
      <c r="M13" s="71"/>
    </row>
    <row r="14" spans="2:13" ht="70">
      <c r="B14" s="7" t="s">
        <v>352</v>
      </c>
      <c r="C14" s="398" t="s">
        <v>297</v>
      </c>
      <c r="D14" s="422" t="s">
        <v>268</v>
      </c>
      <c r="E14" s="422" t="s">
        <v>266</v>
      </c>
      <c r="F14" s="71"/>
      <c r="G14" s="71"/>
      <c r="H14" s="71"/>
      <c r="I14" s="71"/>
      <c r="J14" s="71"/>
      <c r="K14" s="71"/>
      <c r="L14" s="71"/>
      <c r="M14" s="71"/>
    </row>
    <row r="15" spans="2:13" ht="36">
      <c r="B15" s="7" t="s">
        <v>353</v>
      </c>
      <c r="C15" s="398" t="s">
        <v>354</v>
      </c>
      <c r="D15" s="422" t="s">
        <v>269</v>
      </c>
      <c r="E15" s="422" t="s">
        <v>267</v>
      </c>
      <c r="F15" s="71"/>
      <c r="G15" s="71"/>
      <c r="H15" s="71"/>
      <c r="I15" s="71"/>
      <c r="J15" s="71"/>
      <c r="K15" s="71"/>
      <c r="L15" s="71"/>
      <c r="M15" s="71"/>
    </row>
    <row r="16" spans="2:13" ht="24">
      <c r="B16" s="7" t="s">
        <v>355</v>
      </c>
      <c r="C16" s="398" t="s">
        <v>356</v>
      </c>
      <c r="D16" s="422" t="s">
        <v>410</v>
      </c>
      <c r="E16" s="422" t="s">
        <v>410</v>
      </c>
      <c r="F16" s="71"/>
      <c r="G16" s="71"/>
      <c r="H16" s="71"/>
      <c r="I16" s="71"/>
      <c r="J16" s="71"/>
      <c r="K16" s="71"/>
      <c r="L16" s="71"/>
      <c r="M16" s="71"/>
    </row>
    <row r="17" spans="2:13" ht="24">
      <c r="B17" s="7" t="s">
        <v>357</v>
      </c>
      <c r="C17" s="398" t="s">
        <v>294</v>
      </c>
      <c r="D17" s="422" t="s">
        <v>265</v>
      </c>
      <c r="E17" s="422" t="s">
        <v>265</v>
      </c>
      <c r="F17" s="71"/>
      <c r="G17" s="71"/>
      <c r="H17" s="71"/>
      <c r="I17" s="71"/>
      <c r="J17" s="71"/>
      <c r="K17" s="71"/>
      <c r="L17" s="71"/>
      <c r="M17" s="71"/>
    </row>
    <row r="18" spans="2:13" ht="14">
      <c r="B18" s="9" t="s">
        <v>358</v>
      </c>
      <c r="C18" s="399" t="s">
        <v>359</v>
      </c>
      <c r="D18" s="422" t="s">
        <v>360</v>
      </c>
      <c r="E18" s="422" t="s">
        <v>360</v>
      </c>
      <c r="F18" s="71"/>
      <c r="G18" s="71"/>
      <c r="H18" s="71"/>
      <c r="I18" s="71"/>
      <c r="J18" s="71"/>
      <c r="K18" s="71"/>
      <c r="L18" s="71"/>
      <c r="M18" s="71"/>
    </row>
    <row r="19" spans="2:13" ht="36">
      <c r="B19" s="9" t="s">
        <v>361</v>
      </c>
      <c r="C19" s="399" t="s">
        <v>362</v>
      </c>
      <c r="D19" s="422" t="s">
        <v>328</v>
      </c>
      <c r="E19" s="422" t="s">
        <v>328</v>
      </c>
      <c r="F19" s="71"/>
      <c r="G19" s="71"/>
      <c r="H19" s="71"/>
      <c r="I19" s="71"/>
      <c r="J19" s="71"/>
      <c r="K19" s="71"/>
      <c r="L19" s="71"/>
      <c r="M19" s="71"/>
    </row>
    <row r="20" spans="2:13" ht="72">
      <c r="B20" s="9" t="s">
        <v>363</v>
      </c>
      <c r="C20" s="399" t="s">
        <v>364</v>
      </c>
      <c r="D20" s="422" t="s">
        <v>328</v>
      </c>
      <c r="E20" s="422" t="s">
        <v>328</v>
      </c>
      <c r="F20" s="71"/>
      <c r="G20" s="71"/>
      <c r="H20" s="71"/>
      <c r="I20" s="71"/>
      <c r="J20" s="71"/>
      <c r="K20" s="71"/>
      <c r="L20" s="71"/>
      <c r="M20" s="71"/>
    </row>
    <row r="21" spans="2:13" ht="36">
      <c r="B21" s="11" t="s">
        <v>365</v>
      </c>
      <c r="C21" s="400" t="s">
        <v>366</v>
      </c>
      <c r="D21" s="422" t="s">
        <v>1233</v>
      </c>
      <c r="E21" s="422" t="s">
        <v>1234</v>
      </c>
      <c r="F21" s="71"/>
      <c r="G21" s="71"/>
      <c r="H21" s="71"/>
      <c r="I21" s="71"/>
      <c r="J21" s="71"/>
      <c r="K21" s="71"/>
      <c r="L21" s="71"/>
      <c r="M21" s="71"/>
    </row>
    <row r="22" spans="2:13" ht="36">
      <c r="B22" s="11" t="s">
        <v>369</v>
      </c>
      <c r="C22" s="400" t="s">
        <v>370</v>
      </c>
      <c r="D22" s="422" t="s">
        <v>1235</v>
      </c>
      <c r="E22" s="422" t="s">
        <v>1236</v>
      </c>
      <c r="F22" s="71"/>
      <c r="G22" s="71"/>
      <c r="H22" s="71"/>
      <c r="I22" s="71"/>
      <c r="J22" s="71"/>
      <c r="K22" s="71"/>
      <c r="L22" s="71"/>
      <c r="M22" s="71"/>
    </row>
    <row r="23" spans="2:13" ht="14">
      <c r="B23" s="13" t="s">
        <v>477</v>
      </c>
      <c r="C23" s="401" t="s">
        <v>374</v>
      </c>
      <c r="D23" s="422" t="s">
        <v>374</v>
      </c>
      <c r="E23" s="422" t="s">
        <v>374</v>
      </c>
      <c r="F23" s="71"/>
      <c r="G23" s="71"/>
      <c r="H23" s="71"/>
      <c r="I23" s="71"/>
      <c r="J23" s="71"/>
      <c r="K23" s="71"/>
      <c r="L23" s="71"/>
      <c r="M23" s="71"/>
    </row>
    <row r="24" spans="2:13" ht="60">
      <c r="B24" s="13" t="s">
        <v>375</v>
      </c>
      <c r="C24" s="401" t="s">
        <v>376</v>
      </c>
      <c r="D24" s="423">
        <v>1003</v>
      </c>
      <c r="E24" s="423">
        <v>115</v>
      </c>
      <c r="F24" s="71"/>
      <c r="G24" s="71"/>
      <c r="H24" s="71"/>
      <c r="I24" s="71"/>
      <c r="J24" s="71"/>
      <c r="K24" s="71"/>
      <c r="L24" s="71"/>
      <c r="M24" s="71"/>
    </row>
    <row r="25" spans="2:13" ht="60">
      <c r="B25" s="15" t="s">
        <v>377</v>
      </c>
      <c r="C25" s="402" t="s">
        <v>378</v>
      </c>
      <c r="D25" s="427" t="s">
        <v>1237</v>
      </c>
      <c r="E25" s="427" t="s">
        <v>1237</v>
      </c>
      <c r="F25" s="71"/>
      <c r="G25" s="71"/>
      <c r="H25" s="71"/>
      <c r="I25" s="71"/>
      <c r="J25" s="71"/>
      <c r="K25" s="71"/>
      <c r="L25" s="71"/>
      <c r="M25" s="71"/>
    </row>
    <row r="26" spans="2:13" ht="60">
      <c r="B26" s="15" t="s">
        <v>380</v>
      </c>
      <c r="C26" s="402" t="s">
        <v>381</v>
      </c>
      <c r="D26" s="422" t="s">
        <v>1238</v>
      </c>
      <c r="E26" s="422" t="s">
        <v>1238</v>
      </c>
      <c r="F26" s="71"/>
      <c r="G26" s="71"/>
      <c r="H26" s="71"/>
      <c r="I26" s="71"/>
      <c r="J26" s="71"/>
      <c r="K26" s="71"/>
      <c r="L26" s="71"/>
      <c r="M26" s="71"/>
    </row>
    <row r="27" spans="2:13" ht="14">
      <c r="B27" s="40" t="s">
        <v>383</v>
      </c>
      <c r="C27" s="403" t="s">
        <v>383</v>
      </c>
      <c r="D27" s="430">
        <v>752250</v>
      </c>
      <c r="E27" s="429">
        <v>149500</v>
      </c>
      <c r="F27" s="71"/>
      <c r="G27" s="71"/>
      <c r="H27" s="71"/>
      <c r="I27" s="71"/>
      <c r="J27" s="71"/>
      <c r="K27" s="71"/>
      <c r="L27" s="71"/>
      <c r="M27" s="71"/>
    </row>
    <row r="28" spans="2:13" ht="60">
      <c r="B28" s="15" t="s">
        <v>384</v>
      </c>
      <c r="C28" s="402" t="s">
        <v>450</v>
      </c>
      <c r="D28" s="431">
        <f>D27/D24</f>
        <v>750</v>
      </c>
      <c r="E28" s="431">
        <f>E27/E24</f>
        <v>1300</v>
      </c>
      <c r="F28" s="71"/>
      <c r="G28" s="71"/>
      <c r="H28" s="71"/>
      <c r="I28" s="71"/>
      <c r="J28" s="71"/>
      <c r="K28" s="71"/>
      <c r="L28" s="71"/>
      <c r="M28" s="71"/>
    </row>
    <row r="29" spans="2:13" ht="72">
      <c r="B29" s="15" t="s">
        <v>387</v>
      </c>
      <c r="C29" s="402" t="s">
        <v>388</v>
      </c>
      <c r="D29" s="422" t="s">
        <v>410</v>
      </c>
      <c r="E29" s="422" t="s">
        <v>410</v>
      </c>
      <c r="F29" s="71"/>
      <c r="G29" s="71"/>
      <c r="H29" s="71"/>
      <c r="I29" s="71"/>
      <c r="J29" s="71"/>
      <c r="K29" s="71"/>
      <c r="L29" s="71"/>
      <c r="M29" s="71"/>
    </row>
    <row r="30" spans="2:13" ht="58">
      <c r="B30" s="13" t="s">
        <v>390</v>
      </c>
      <c r="C30" s="404" t="s">
        <v>453</v>
      </c>
      <c r="D30" s="433">
        <f>D31/D24</f>
        <v>122.3528993020937</v>
      </c>
      <c r="E30" s="433">
        <f>E31/E24</f>
        <v>44.082000000000001</v>
      </c>
      <c r="F30" s="71"/>
      <c r="G30" s="71"/>
      <c r="H30" s="71"/>
      <c r="I30" s="71"/>
      <c r="J30" s="71"/>
      <c r="K30" s="71"/>
      <c r="L30" s="71"/>
      <c r="M30" s="71"/>
    </row>
    <row r="31" spans="2:13" ht="28">
      <c r="B31" s="13"/>
      <c r="C31" s="405" t="s">
        <v>393</v>
      </c>
      <c r="D31" s="433">
        <v>122719.95799999998</v>
      </c>
      <c r="E31" s="433">
        <v>5069.43</v>
      </c>
      <c r="F31" s="71"/>
      <c r="G31" s="71"/>
      <c r="H31" s="71"/>
      <c r="I31" s="71"/>
      <c r="J31" s="71"/>
      <c r="K31" s="71"/>
      <c r="L31" s="71"/>
      <c r="M31" s="71"/>
    </row>
    <row r="32" spans="2:13" ht="72">
      <c r="B32" s="13" t="s">
        <v>394</v>
      </c>
      <c r="C32" s="404" t="s">
        <v>395</v>
      </c>
      <c r="D32" s="75"/>
      <c r="E32" s="75"/>
      <c r="F32" s="71"/>
      <c r="G32" s="71"/>
      <c r="H32" s="71"/>
      <c r="I32" s="71"/>
      <c r="J32" s="71"/>
      <c r="K32" s="71"/>
      <c r="L32" s="71"/>
      <c r="M32" s="71"/>
    </row>
    <row r="33" spans="2:13" ht="24">
      <c r="B33" s="18" t="s">
        <v>397</v>
      </c>
      <c r="C33" s="406" t="s">
        <v>313</v>
      </c>
      <c r="D33" s="422" t="s">
        <v>1239</v>
      </c>
      <c r="E33" s="422" t="s">
        <v>1239</v>
      </c>
      <c r="F33" s="71"/>
      <c r="G33" s="71"/>
      <c r="H33" s="71"/>
      <c r="I33" s="71"/>
      <c r="J33" s="71"/>
      <c r="K33" s="71"/>
      <c r="L33" s="71"/>
      <c r="M33" s="71"/>
    </row>
    <row r="34" spans="2:13" ht="36">
      <c r="B34" s="20" t="s">
        <v>398</v>
      </c>
      <c r="C34" s="406" t="s">
        <v>315</v>
      </c>
      <c r="D34" s="436">
        <v>46022</v>
      </c>
      <c r="E34" s="437">
        <v>45998</v>
      </c>
      <c r="F34" s="71"/>
      <c r="G34" s="71"/>
      <c r="H34" s="71"/>
      <c r="I34" s="71"/>
      <c r="J34" s="71"/>
      <c r="K34" s="71"/>
      <c r="L34" s="71"/>
      <c r="M34" s="71"/>
    </row>
    <row r="35" spans="2:13" ht="36">
      <c r="B35" s="20" t="s">
        <v>399</v>
      </c>
      <c r="C35" s="406" t="s">
        <v>400</v>
      </c>
      <c r="D35" s="436">
        <v>45930</v>
      </c>
      <c r="E35" s="437">
        <v>45907</v>
      </c>
      <c r="F35" s="71"/>
      <c r="G35" s="71"/>
      <c r="H35" s="71"/>
      <c r="I35" s="71"/>
      <c r="J35" s="71"/>
      <c r="K35" s="71"/>
      <c r="L35" s="71"/>
      <c r="M35" s="71"/>
    </row>
    <row r="36" spans="2:13" ht="48">
      <c r="B36" s="20" t="s">
        <v>402</v>
      </c>
      <c r="C36" s="21" t="s">
        <v>403</v>
      </c>
      <c r="D36" s="422" t="s">
        <v>328</v>
      </c>
      <c r="E36" s="422" t="s">
        <v>328</v>
      </c>
      <c r="F36" s="71"/>
      <c r="G36" s="71"/>
      <c r="H36" s="71"/>
      <c r="I36" s="71"/>
      <c r="J36" s="71"/>
      <c r="K36" s="71"/>
      <c r="L36" s="71"/>
      <c r="M36" s="71"/>
    </row>
    <row r="37" spans="2:13" ht="72">
      <c r="B37" s="20" t="s">
        <v>404</v>
      </c>
      <c r="C37" s="21" t="s">
        <v>405</v>
      </c>
      <c r="D37" s="422" t="s">
        <v>410</v>
      </c>
      <c r="E37" s="422" t="s">
        <v>410</v>
      </c>
      <c r="F37" s="71"/>
      <c r="G37" s="71"/>
      <c r="H37" s="71"/>
      <c r="I37" s="71"/>
      <c r="J37" s="71"/>
      <c r="K37" s="71"/>
      <c r="L37" s="71"/>
      <c r="M37" s="71"/>
    </row>
    <row r="38" spans="2:13" ht="36">
      <c r="B38" s="20" t="s">
        <v>406</v>
      </c>
      <c r="C38" s="21" t="s">
        <v>407</v>
      </c>
      <c r="D38" s="422" t="s">
        <v>414</v>
      </c>
      <c r="E38" s="422" t="s">
        <v>414</v>
      </c>
      <c r="F38" s="71"/>
      <c r="G38" s="71"/>
      <c r="H38" s="71"/>
      <c r="I38" s="71"/>
      <c r="J38" s="71"/>
      <c r="K38" s="71"/>
      <c r="L38" s="71"/>
      <c r="M38" s="71"/>
    </row>
    <row r="39" spans="2:13" ht="36">
      <c r="B39" s="20" t="s">
        <v>408</v>
      </c>
      <c r="C39" s="21" t="s">
        <v>409</v>
      </c>
      <c r="D39" s="422" t="s">
        <v>1163</v>
      </c>
      <c r="E39" s="422" t="s">
        <v>1240</v>
      </c>
      <c r="F39" s="71"/>
      <c r="G39" s="71"/>
      <c r="H39" s="71"/>
      <c r="I39" s="71"/>
      <c r="J39" s="71"/>
      <c r="K39" s="71"/>
      <c r="L39" s="71"/>
      <c r="M39" s="71"/>
    </row>
    <row r="40" spans="2:13" ht="48">
      <c r="B40" s="20" t="s">
        <v>411</v>
      </c>
      <c r="C40" s="21" t="s">
        <v>314</v>
      </c>
      <c r="D40" s="436">
        <v>46022</v>
      </c>
      <c r="E40" s="437">
        <v>46180</v>
      </c>
      <c r="F40" s="71"/>
      <c r="G40" s="71"/>
      <c r="H40" s="71"/>
      <c r="I40" s="71"/>
      <c r="J40" s="71"/>
      <c r="K40" s="71"/>
      <c r="L40" s="71"/>
      <c r="M40" s="71"/>
    </row>
    <row r="41" spans="2:13" ht="60">
      <c r="B41" s="22" t="s">
        <v>412</v>
      </c>
      <c r="C41" s="23" t="s">
        <v>413</v>
      </c>
      <c r="D41" s="438" t="s">
        <v>328</v>
      </c>
      <c r="E41" s="438" t="s">
        <v>328</v>
      </c>
      <c r="F41" s="71"/>
      <c r="G41" s="71"/>
      <c r="H41" s="71"/>
      <c r="I41" s="71"/>
      <c r="J41" s="71"/>
      <c r="K41" s="71"/>
      <c r="L41" s="71"/>
      <c r="M41" s="71"/>
    </row>
    <row r="42" spans="2:13" ht="72">
      <c r="B42" s="24" t="s">
        <v>457</v>
      </c>
      <c r="C42" s="23" t="s">
        <v>483</v>
      </c>
      <c r="D42" s="422" t="s">
        <v>328</v>
      </c>
      <c r="E42" s="422" t="s">
        <v>328</v>
      </c>
      <c r="F42" s="71"/>
      <c r="G42" s="71"/>
      <c r="H42" s="71"/>
      <c r="I42" s="71"/>
      <c r="J42" s="71"/>
      <c r="K42" s="71"/>
      <c r="L42" s="71"/>
      <c r="M42" s="71"/>
    </row>
    <row r="43" spans="2:13" ht="84">
      <c r="B43" s="25" t="s">
        <v>418</v>
      </c>
      <c r="C43" s="407" t="s">
        <v>419</v>
      </c>
      <c r="D43" s="422" t="s">
        <v>410</v>
      </c>
      <c r="E43" s="422" t="s">
        <v>410</v>
      </c>
      <c r="F43" s="71"/>
      <c r="G43" s="71"/>
      <c r="H43" s="71"/>
      <c r="I43" s="71"/>
      <c r="J43" s="71"/>
      <c r="K43" s="71"/>
      <c r="L43" s="71"/>
      <c r="M43" s="71"/>
    </row>
    <row r="44" spans="2:13" ht="132">
      <c r="B44" s="25" t="s">
        <v>420</v>
      </c>
      <c r="C44" s="407" t="s">
        <v>421</v>
      </c>
      <c r="D44" s="422" t="s">
        <v>328</v>
      </c>
      <c r="E44" s="422" t="s">
        <v>328</v>
      </c>
      <c r="F44" s="71"/>
      <c r="G44" s="71"/>
      <c r="H44" s="71"/>
      <c r="I44" s="71"/>
      <c r="J44" s="71"/>
      <c r="K44" s="71"/>
      <c r="L44" s="71"/>
      <c r="M44" s="71"/>
    </row>
    <row r="45" spans="2:13" ht="14">
      <c r="B45" s="27"/>
      <c r="C45" s="27"/>
      <c r="D45" s="72"/>
      <c r="E45" s="72"/>
    </row>
    <row r="46" spans="2:13" ht="28">
      <c r="B46" s="27"/>
      <c r="C46" s="28" t="s">
        <v>484</v>
      </c>
      <c r="D46" s="417">
        <v>101</v>
      </c>
      <c r="E46" s="417">
        <v>3</v>
      </c>
      <c r="F46" s="71"/>
      <c r="G46" s="71"/>
      <c r="H46" s="71"/>
      <c r="I46" s="71"/>
      <c r="J46" s="71"/>
      <c r="K46" s="71"/>
      <c r="L46" s="71"/>
      <c r="M46" s="71"/>
    </row>
    <row r="47" spans="2:13" ht="42">
      <c r="B47" s="27"/>
      <c r="C47" s="29" t="s">
        <v>485</v>
      </c>
      <c r="D47" s="417">
        <v>91</v>
      </c>
      <c r="E47" s="417">
        <v>3</v>
      </c>
      <c r="F47" s="71"/>
      <c r="G47" s="71"/>
      <c r="H47" s="71"/>
      <c r="I47" s="71"/>
      <c r="J47" s="71"/>
      <c r="K47" s="71"/>
      <c r="L47" s="71"/>
      <c r="M47" s="71"/>
    </row>
    <row r="48" spans="2:13" ht="42">
      <c r="B48" s="27"/>
      <c r="C48" s="29" t="s">
        <v>486</v>
      </c>
      <c r="D48" s="417">
        <v>10</v>
      </c>
      <c r="E48" s="417">
        <v>0</v>
      </c>
      <c r="F48" s="71"/>
      <c r="G48" s="71"/>
      <c r="H48" s="71"/>
      <c r="I48" s="71"/>
      <c r="J48" s="71"/>
      <c r="K48" s="71"/>
      <c r="L48" s="71"/>
      <c r="M48" s="71"/>
    </row>
    <row r="49" spans="2:13">
      <c r="B49" s="27"/>
      <c r="C49" s="30"/>
      <c r="D49" s="442"/>
      <c r="E49" s="442"/>
    </row>
    <row r="50" spans="2:13" ht="30">
      <c r="B50" s="27"/>
      <c r="C50" s="28" t="s">
        <v>426</v>
      </c>
      <c r="D50" s="417"/>
      <c r="E50" s="417">
        <v>7</v>
      </c>
      <c r="F50" s="71"/>
      <c r="G50" s="71"/>
      <c r="H50" s="71"/>
      <c r="I50" s="71"/>
      <c r="J50" s="71"/>
      <c r="K50" s="71"/>
      <c r="L50" s="71"/>
      <c r="M50" s="71"/>
    </row>
    <row r="51" spans="2:13" ht="28">
      <c r="B51" s="27"/>
      <c r="C51" s="29" t="s">
        <v>487</v>
      </c>
      <c r="D51" s="417"/>
      <c r="E51" s="417"/>
      <c r="F51" s="71"/>
      <c r="G51" s="71"/>
      <c r="H51" s="71"/>
      <c r="I51" s="71"/>
      <c r="J51" s="71"/>
      <c r="K51" s="71"/>
      <c r="L51" s="71"/>
      <c r="M51" s="71"/>
    </row>
    <row r="52" spans="2:13" ht="28">
      <c r="B52" s="27"/>
      <c r="C52" s="29" t="s">
        <v>488</v>
      </c>
      <c r="D52" s="417"/>
      <c r="E52" s="417"/>
      <c r="F52" s="71"/>
      <c r="G52" s="71"/>
      <c r="H52" s="71"/>
      <c r="I52" s="71"/>
      <c r="J52" s="71"/>
      <c r="K52" s="71"/>
      <c r="L52" s="71"/>
      <c r="M52" s="71"/>
    </row>
    <row r="53" spans="2:13">
      <c r="B53" s="27"/>
      <c r="C53" s="31"/>
      <c r="D53" s="442"/>
      <c r="E53" s="442"/>
    </row>
    <row r="54" spans="2:13" ht="28">
      <c r="B54" s="27"/>
      <c r="C54" s="28" t="s">
        <v>427</v>
      </c>
      <c r="D54" s="417" t="s">
        <v>414</v>
      </c>
      <c r="E54" s="417" t="s">
        <v>680</v>
      </c>
      <c r="F54" s="71"/>
      <c r="G54" s="71"/>
      <c r="H54" s="71"/>
      <c r="I54" s="71"/>
      <c r="J54" s="71"/>
      <c r="K54" s="71"/>
      <c r="L54" s="71"/>
      <c r="M54" s="71"/>
    </row>
    <row r="55" spans="2:13" ht="28">
      <c r="B55" s="27"/>
      <c r="C55" s="28" t="s">
        <v>489</v>
      </c>
      <c r="D55" s="417">
        <v>3</v>
      </c>
      <c r="E55" s="417">
        <v>0</v>
      </c>
      <c r="F55" s="71"/>
      <c r="G55" s="71"/>
      <c r="H55" s="71"/>
      <c r="I55" s="71"/>
      <c r="J55" s="71"/>
      <c r="K55" s="71"/>
      <c r="L55" s="71"/>
      <c r="M55" s="71"/>
    </row>
    <row r="56" spans="2:13" ht="28">
      <c r="B56" s="27"/>
      <c r="C56" s="28" t="s">
        <v>490</v>
      </c>
      <c r="D56" s="417">
        <v>3</v>
      </c>
      <c r="E56" s="417">
        <v>0</v>
      </c>
      <c r="F56" s="71"/>
      <c r="G56" s="71"/>
      <c r="H56" s="71"/>
      <c r="I56" s="71"/>
      <c r="J56" s="71"/>
      <c r="K56" s="71"/>
      <c r="L56" s="71"/>
      <c r="M56" s="71"/>
    </row>
    <row r="57" spans="2:13" ht="56">
      <c r="B57" s="27"/>
      <c r="C57" s="28" t="s">
        <v>430</v>
      </c>
      <c r="D57" s="75"/>
      <c r="E57" s="75"/>
      <c r="F57" s="71"/>
      <c r="G57" s="71"/>
      <c r="H57" s="71"/>
      <c r="I57" s="71"/>
      <c r="J57" s="71"/>
      <c r="K57" s="71"/>
      <c r="L57" s="71"/>
      <c r="M57" s="71"/>
    </row>
    <row r="58" spans="2:13" ht="56">
      <c r="B58" s="27"/>
      <c r="C58" s="28" t="s">
        <v>431</v>
      </c>
      <c r="D58" s="75"/>
      <c r="E58" s="75"/>
      <c r="F58" s="71"/>
      <c r="G58" s="71"/>
      <c r="H58" s="71"/>
      <c r="I58" s="71"/>
      <c r="J58" s="71"/>
      <c r="K58" s="71"/>
      <c r="L58" s="71"/>
      <c r="M58" s="71"/>
    </row>
  </sheetData>
  <mergeCells count="2">
    <mergeCell ref="C6:D6"/>
    <mergeCell ref="C7:D7"/>
  </mergeCells>
  <conditionalFormatting sqref="B13:B17">
    <cfRule type="colorScale" priority="12">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64" priority="2">
      <formula>#REF!="Owned"</formula>
    </cfRule>
  </conditionalFormatting>
  <conditionalFormatting sqref="B28:B29 B26">
    <cfRule type="colorScale" priority="9">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B25:C26">
    <cfRule type="expression" dxfId="63" priority="4">
      <formula>#REF!="Owned"</formula>
    </cfRule>
  </conditionalFormatting>
  <conditionalFormatting sqref="C27:C32">
    <cfRule type="expression" dxfId="62" priority="1">
      <formula>#REF!="Owned"</formula>
    </cfRule>
  </conditionalFormatting>
  <dataValidations count="1">
    <dataValidation type="list" allowBlank="1" showInputMessage="1" showErrorMessage="1" sqref="E6" xr:uid="{29F2E411-9DEC-4FA9-B2A6-A13B9AFB9FED}">
      <formula1>"Yes, No"</formula1>
    </dataValidation>
  </dataValidations>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4BDF1-AA22-4318-AE17-BD6EE27C717C}">
  <sheetPr codeName="Feuil38">
    <tabColor rgb="FF00B050"/>
    <pageSetUpPr fitToPage="1"/>
  </sheetPr>
  <dimension ref="B1:R68"/>
  <sheetViews>
    <sheetView topLeftCell="A20" zoomScale="85" zoomScaleNormal="85" workbookViewId="0">
      <selection activeCell="G25" sqref="G25"/>
    </sheetView>
  </sheetViews>
  <sheetFormatPr baseColWidth="10" defaultColWidth="9.1640625" defaultRowHeight="13"/>
  <cols>
    <col min="1" max="1" width="19.5" style="139" customWidth="1"/>
    <col min="2" max="2" width="24.1640625" style="139" customWidth="1"/>
    <col min="3" max="3" width="23.1640625" style="139" customWidth="1"/>
    <col min="4" max="18" width="22.83203125" style="139" customWidth="1"/>
    <col min="19" max="16384" width="9.1640625" style="139"/>
  </cols>
  <sheetData>
    <row r="1" spans="2:18" ht="7.5" customHeight="1"/>
    <row r="2" spans="2:18">
      <c r="C2" s="508" t="s">
        <v>323</v>
      </c>
      <c r="D2" s="501"/>
      <c r="E2" s="141"/>
      <c r="F2" s="142"/>
      <c r="G2" s="142"/>
      <c r="H2" s="142"/>
      <c r="I2" s="143"/>
    </row>
    <row r="4" spans="2:18">
      <c r="C4" s="140" t="s">
        <v>324</v>
      </c>
      <c r="D4" s="144" t="s">
        <v>189</v>
      </c>
      <c r="G4" s="145"/>
      <c r="H4" s="145"/>
      <c r="I4" s="146"/>
    </row>
    <row r="5" spans="2:18" ht="15.75" customHeight="1">
      <c r="C5" s="187"/>
    </row>
    <row r="6" spans="2:18" ht="26.25" customHeight="1">
      <c r="B6" s="139" t="s">
        <v>326</v>
      </c>
      <c r="C6" s="588" t="s">
        <v>327</v>
      </c>
      <c r="D6" s="588"/>
      <c r="E6" s="148" t="s">
        <v>328</v>
      </c>
      <c r="F6" s="149"/>
      <c r="G6" s="150"/>
      <c r="H6" s="150"/>
    </row>
    <row r="7" spans="2:18" ht="26.25" customHeight="1">
      <c r="B7" s="139" t="s">
        <v>326</v>
      </c>
      <c r="C7" s="588" t="s">
        <v>329</v>
      </c>
      <c r="D7" s="588"/>
      <c r="E7" s="148">
        <v>1</v>
      </c>
      <c r="F7" s="149"/>
      <c r="G7" s="150"/>
      <c r="H7" s="150"/>
    </row>
    <row r="8" spans="2:18" ht="24.5" customHeight="1"/>
    <row r="9" spans="2:18" ht="26" customHeight="1">
      <c r="C9" s="151" t="s">
        <v>330</v>
      </c>
      <c r="D9" s="152"/>
      <c r="E9" s="153"/>
      <c r="F9" s="153"/>
      <c r="G9" s="153"/>
      <c r="H9" s="153"/>
      <c r="I9" s="153"/>
      <c r="J9" s="153"/>
      <c r="K9" s="153"/>
      <c r="L9" s="153"/>
      <c r="M9" s="153"/>
      <c r="N9" s="153"/>
      <c r="O9" s="153"/>
      <c r="P9" s="153"/>
      <c r="Q9" s="153"/>
      <c r="R9" s="153"/>
    </row>
    <row r="10" spans="2:18" ht="15" customHeight="1">
      <c r="C10" s="154" t="s">
        <v>331</v>
      </c>
      <c r="D10" s="155" t="s">
        <v>1241</v>
      </c>
      <c r="E10" s="156" t="s">
        <v>504</v>
      </c>
      <c r="F10" s="156" t="s">
        <v>334</v>
      </c>
      <c r="G10" s="156" t="s">
        <v>335</v>
      </c>
      <c r="H10" s="156" t="s">
        <v>336</v>
      </c>
      <c r="I10" s="156" t="s">
        <v>337</v>
      </c>
      <c r="J10" s="156" t="s">
        <v>338</v>
      </c>
      <c r="K10" s="156" t="s">
        <v>339</v>
      </c>
      <c r="L10" s="156" t="s">
        <v>340</v>
      </c>
      <c r="M10" s="156" t="s">
        <v>341</v>
      </c>
      <c r="N10" s="156" t="s">
        <v>342</v>
      </c>
      <c r="O10" s="156" t="s">
        <v>343</v>
      </c>
      <c r="P10" s="156" t="s">
        <v>344</v>
      </c>
      <c r="Q10" s="156" t="s">
        <v>345</v>
      </c>
      <c r="R10" s="156" t="s">
        <v>346</v>
      </c>
    </row>
    <row r="11" spans="2:18" ht="15" customHeight="1">
      <c r="C11" s="157" t="s">
        <v>299</v>
      </c>
      <c r="D11" s="158" t="s">
        <v>1242</v>
      </c>
      <c r="E11" s="156"/>
      <c r="F11" s="156"/>
      <c r="G11" s="156"/>
      <c r="H11" s="156"/>
      <c r="I11" s="156"/>
      <c r="J11" s="156"/>
      <c r="K11" s="156"/>
      <c r="L11" s="156"/>
      <c r="M11" s="156"/>
      <c r="N11" s="156"/>
      <c r="O11" s="156"/>
      <c r="P11" s="156"/>
      <c r="Q11" s="156"/>
      <c r="R11" s="156"/>
    </row>
    <row r="12" spans="2:18" ht="15" customHeight="1">
      <c r="C12" s="159"/>
      <c r="D12" s="160"/>
      <c r="E12" s="160"/>
      <c r="F12" s="160"/>
      <c r="G12" s="160"/>
      <c r="H12" s="160"/>
      <c r="I12" s="160"/>
      <c r="J12" s="161"/>
      <c r="K12" s="161"/>
      <c r="L12" s="161"/>
      <c r="M12" s="161"/>
      <c r="N12" s="161"/>
      <c r="O12" s="161"/>
      <c r="P12" s="161"/>
      <c r="Q12" s="161"/>
      <c r="R12" s="161"/>
    </row>
    <row r="13" spans="2:18" ht="30" customHeight="1">
      <c r="B13" s="7" t="s">
        <v>348</v>
      </c>
      <c r="C13" s="8" t="s">
        <v>349</v>
      </c>
      <c r="D13" s="162" t="s">
        <v>1243</v>
      </c>
      <c r="E13" s="162"/>
      <c r="F13" s="162"/>
      <c r="G13" s="162"/>
      <c r="H13" s="162"/>
      <c r="I13" s="162"/>
      <c r="J13" s="162"/>
      <c r="K13" s="162"/>
      <c r="L13" s="162"/>
      <c r="M13" s="162"/>
      <c r="N13" s="162"/>
      <c r="O13" s="162"/>
      <c r="P13" s="162"/>
      <c r="Q13" s="162"/>
      <c r="R13" s="162"/>
    </row>
    <row r="14" spans="2:18" ht="77.25" customHeight="1">
      <c r="B14" s="7" t="s">
        <v>352</v>
      </c>
      <c r="C14" s="8" t="s">
        <v>297</v>
      </c>
      <c r="D14" s="162" t="s">
        <v>191</v>
      </c>
      <c r="E14" s="162"/>
      <c r="F14" s="162"/>
      <c r="G14" s="162"/>
      <c r="H14" s="162"/>
      <c r="I14" s="162"/>
      <c r="J14" s="162"/>
      <c r="K14" s="162"/>
      <c r="L14" s="162"/>
      <c r="M14" s="162"/>
      <c r="N14" s="162"/>
      <c r="O14" s="162"/>
      <c r="P14" s="162"/>
      <c r="Q14" s="162"/>
      <c r="R14" s="162"/>
    </row>
    <row r="15" spans="2:18" ht="30" customHeight="1">
      <c r="B15" s="7" t="s">
        <v>353</v>
      </c>
      <c r="C15" s="8" t="s">
        <v>354</v>
      </c>
      <c r="D15" s="162" t="s">
        <v>190</v>
      </c>
      <c r="E15" s="162"/>
      <c r="F15" s="162"/>
      <c r="G15" s="162"/>
      <c r="H15" s="162"/>
      <c r="I15" s="162"/>
      <c r="J15" s="162"/>
      <c r="K15" s="162"/>
      <c r="L15" s="162"/>
      <c r="M15" s="162"/>
      <c r="N15" s="162"/>
      <c r="O15" s="162"/>
      <c r="P15" s="162"/>
      <c r="Q15" s="162"/>
      <c r="R15" s="162"/>
    </row>
    <row r="16" spans="2:18" ht="15" customHeight="1">
      <c r="B16" s="7" t="s">
        <v>355</v>
      </c>
      <c r="C16" s="8" t="s">
        <v>356</v>
      </c>
      <c r="D16" s="252">
        <v>68897</v>
      </c>
      <c r="E16" s="162"/>
      <c r="F16" s="162"/>
      <c r="G16" s="162"/>
      <c r="H16" s="162"/>
      <c r="I16" s="162"/>
      <c r="J16" s="162"/>
      <c r="K16" s="162"/>
      <c r="L16" s="162"/>
      <c r="M16" s="162"/>
      <c r="N16" s="162"/>
      <c r="O16" s="162"/>
      <c r="P16" s="162"/>
      <c r="Q16" s="162"/>
      <c r="R16" s="162"/>
    </row>
    <row r="17" spans="2:18" ht="15" customHeight="1">
      <c r="B17" s="7" t="s">
        <v>357</v>
      </c>
      <c r="C17" s="8" t="s">
        <v>294</v>
      </c>
      <c r="D17" s="162" t="s">
        <v>190</v>
      </c>
      <c r="E17" s="162"/>
      <c r="F17" s="162"/>
      <c r="G17" s="162"/>
      <c r="H17" s="162"/>
      <c r="I17" s="162"/>
      <c r="J17" s="162"/>
      <c r="K17" s="162"/>
      <c r="L17" s="162"/>
      <c r="M17" s="162"/>
      <c r="N17" s="162"/>
      <c r="O17" s="162"/>
      <c r="P17" s="162"/>
      <c r="Q17" s="162"/>
      <c r="R17" s="162"/>
    </row>
    <row r="18" spans="2:18" ht="15" customHeight="1">
      <c r="B18" s="9" t="s">
        <v>358</v>
      </c>
      <c r="C18" s="10" t="s">
        <v>359</v>
      </c>
      <c r="D18" s="162" t="s">
        <v>360</v>
      </c>
      <c r="E18" s="162"/>
      <c r="F18" s="162"/>
      <c r="G18" s="162"/>
      <c r="H18" s="162"/>
      <c r="I18" s="162"/>
      <c r="J18" s="162"/>
      <c r="K18" s="162"/>
      <c r="L18" s="162"/>
      <c r="M18" s="162"/>
      <c r="N18" s="162"/>
      <c r="O18" s="162"/>
      <c r="P18" s="162"/>
      <c r="Q18" s="162"/>
      <c r="R18" s="162"/>
    </row>
    <row r="19" spans="2:18" ht="45.75" customHeight="1">
      <c r="B19" s="9" t="s">
        <v>361</v>
      </c>
      <c r="C19" s="10" t="s">
        <v>362</v>
      </c>
      <c r="D19" s="162" t="s">
        <v>328</v>
      </c>
      <c r="E19" s="162"/>
      <c r="F19" s="162"/>
      <c r="G19" s="162"/>
      <c r="H19" s="162"/>
      <c r="I19" s="162"/>
      <c r="J19" s="162"/>
      <c r="K19" s="162"/>
      <c r="L19" s="162"/>
      <c r="M19" s="162"/>
      <c r="N19" s="162"/>
      <c r="O19" s="162"/>
      <c r="P19" s="162"/>
      <c r="Q19" s="162"/>
      <c r="R19" s="162"/>
    </row>
    <row r="20" spans="2:18" ht="45" customHeight="1">
      <c r="B20" s="9" t="s">
        <v>363</v>
      </c>
      <c r="C20" s="10" t="s">
        <v>364</v>
      </c>
      <c r="D20" s="162" t="s">
        <v>328</v>
      </c>
      <c r="E20" s="162"/>
      <c r="F20" s="162"/>
      <c r="G20" s="162"/>
      <c r="H20" s="162"/>
      <c r="I20" s="162"/>
      <c r="J20" s="162"/>
      <c r="K20" s="162"/>
      <c r="L20" s="162"/>
      <c r="M20" s="162"/>
      <c r="N20" s="162"/>
      <c r="O20" s="162"/>
      <c r="P20" s="162"/>
      <c r="Q20" s="162"/>
      <c r="R20" s="162"/>
    </row>
    <row r="21" spans="2:18" ht="30" customHeight="1">
      <c r="B21" s="11" t="s">
        <v>365</v>
      </c>
      <c r="C21" s="12" t="s">
        <v>366</v>
      </c>
      <c r="D21" s="162" t="s">
        <v>1244</v>
      </c>
      <c r="E21" s="162"/>
      <c r="F21" s="162"/>
      <c r="G21" s="162"/>
      <c r="H21" s="162"/>
      <c r="I21" s="162"/>
      <c r="J21" s="162"/>
      <c r="K21" s="162"/>
      <c r="L21" s="162"/>
      <c r="M21" s="162"/>
      <c r="N21" s="162"/>
      <c r="O21" s="162"/>
      <c r="P21" s="162"/>
      <c r="Q21" s="162"/>
      <c r="R21" s="162"/>
    </row>
    <row r="22" spans="2:18" ht="30" customHeight="1">
      <c r="B22" s="11" t="s">
        <v>369</v>
      </c>
      <c r="C22" s="12" t="s">
        <v>370</v>
      </c>
      <c r="D22" s="162" t="s">
        <v>1245</v>
      </c>
      <c r="E22" s="162"/>
      <c r="F22" s="162"/>
      <c r="G22" s="162"/>
      <c r="H22" s="162"/>
      <c r="I22" s="162"/>
      <c r="J22" s="162"/>
      <c r="K22" s="162"/>
      <c r="L22" s="162"/>
      <c r="M22" s="162"/>
      <c r="N22" s="162"/>
      <c r="O22" s="162"/>
      <c r="P22" s="162"/>
      <c r="Q22" s="162"/>
      <c r="R22" s="162"/>
    </row>
    <row r="23" spans="2:18" ht="30" customHeight="1">
      <c r="B23" s="13" t="s">
        <v>372</v>
      </c>
      <c r="C23" s="14" t="s">
        <v>373</v>
      </c>
      <c r="D23" s="162" t="s">
        <v>1246</v>
      </c>
      <c r="E23" s="162"/>
      <c r="F23" s="162"/>
      <c r="G23" s="162"/>
      <c r="H23" s="162"/>
      <c r="I23" s="162"/>
      <c r="J23" s="162"/>
      <c r="K23" s="162"/>
      <c r="L23" s="162"/>
      <c r="M23" s="162"/>
      <c r="N23" s="162"/>
      <c r="O23" s="162"/>
      <c r="P23" s="162"/>
      <c r="Q23" s="162"/>
      <c r="R23" s="162"/>
    </row>
    <row r="24" spans="2:18" ht="45" customHeight="1">
      <c r="B24" s="13" t="s">
        <v>375</v>
      </c>
      <c r="C24" s="14" t="s">
        <v>376</v>
      </c>
      <c r="D24" s="164">
        <v>411.18889999999999</v>
      </c>
      <c r="E24" s="164"/>
      <c r="F24" s="164"/>
      <c r="G24" s="164"/>
      <c r="H24" s="164"/>
      <c r="I24" s="164"/>
      <c r="J24" s="164"/>
      <c r="K24" s="164"/>
      <c r="L24" s="164"/>
      <c r="M24" s="164"/>
      <c r="N24" s="164"/>
      <c r="O24" s="164"/>
      <c r="P24" s="164"/>
      <c r="Q24" s="164"/>
      <c r="R24" s="164"/>
    </row>
    <row r="25" spans="2:18" ht="45" customHeight="1">
      <c r="B25" s="15" t="s">
        <v>377</v>
      </c>
      <c r="C25" s="16" t="s">
        <v>378</v>
      </c>
      <c r="D25" s="218">
        <v>9</v>
      </c>
      <c r="E25" s="218"/>
      <c r="F25" s="162"/>
      <c r="G25" s="162"/>
      <c r="H25" s="162"/>
      <c r="I25" s="162"/>
      <c r="J25" s="162"/>
      <c r="K25" s="162"/>
      <c r="L25" s="162"/>
      <c r="M25" s="162"/>
      <c r="N25" s="162"/>
      <c r="O25" s="162"/>
      <c r="P25" s="162"/>
      <c r="Q25" s="162"/>
      <c r="R25" s="162"/>
    </row>
    <row r="26" spans="2:18" ht="45" customHeight="1">
      <c r="B26" s="15" t="s">
        <v>380</v>
      </c>
      <c r="C26" s="16" t="s">
        <v>381</v>
      </c>
      <c r="D26" s="166" t="s">
        <v>1247</v>
      </c>
      <c r="E26" s="166"/>
      <c r="F26" s="164"/>
      <c r="G26" s="162"/>
      <c r="H26" s="162"/>
      <c r="I26" s="162"/>
      <c r="J26" s="162"/>
      <c r="K26" s="162"/>
      <c r="L26" s="162"/>
      <c r="M26" s="162"/>
      <c r="N26" s="162"/>
      <c r="O26" s="162"/>
      <c r="P26" s="162"/>
      <c r="Q26" s="162"/>
      <c r="R26" s="162"/>
    </row>
    <row r="27" spans="2:18" ht="45" customHeight="1">
      <c r="B27" s="15"/>
      <c r="C27" s="167" t="s">
        <v>383</v>
      </c>
      <c r="D27" s="166"/>
      <c r="E27" s="166"/>
      <c r="F27" s="164"/>
      <c r="G27" s="162"/>
      <c r="H27" s="162"/>
      <c r="I27" s="162"/>
      <c r="J27" s="162"/>
      <c r="K27" s="162"/>
      <c r="L27" s="162"/>
      <c r="M27" s="162"/>
      <c r="N27" s="162"/>
      <c r="O27" s="162"/>
      <c r="P27" s="162"/>
      <c r="Q27" s="162"/>
      <c r="R27" s="162"/>
    </row>
    <row r="28" spans="2:18" ht="45" customHeight="1">
      <c r="B28" s="15" t="s">
        <v>384</v>
      </c>
      <c r="C28" s="16" t="s">
        <v>385</v>
      </c>
      <c r="D28" s="166">
        <f>106.56*12</f>
        <v>1278.72</v>
      </c>
      <c r="E28" s="166"/>
      <c r="F28" s="164"/>
      <c r="G28" s="162"/>
      <c r="H28" s="162"/>
      <c r="I28" s="162"/>
      <c r="J28" s="162"/>
      <c r="K28" s="162"/>
      <c r="L28" s="162"/>
      <c r="M28" s="162"/>
      <c r="N28" s="162"/>
      <c r="O28" s="162"/>
      <c r="P28" s="162"/>
      <c r="Q28" s="162"/>
      <c r="R28" s="162"/>
    </row>
    <row r="29" spans="2:18" ht="45" customHeight="1">
      <c r="B29" s="15" t="s">
        <v>387</v>
      </c>
      <c r="C29" s="16" t="s">
        <v>388</v>
      </c>
      <c r="D29" s="236">
        <v>0.02</v>
      </c>
      <c r="E29" s="166"/>
      <c r="F29" s="164"/>
      <c r="G29" s="162"/>
      <c r="H29" s="162"/>
      <c r="I29" s="162"/>
      <c r="J29" s="162"/>
      <c r="K29" s="162"/>
      <c r="L29" s="162"/>
      <c r="M29" s="162"/>
      <c r="N29" s="162"/>
      <c r="O29" s="162"/>
      <c r="P29" s="162"/>
      <c r="Q29" s="162"/>
      <c r="R29" s="162"/>
    </row>
    <row r="30" spans="2:18" ht="60" customHeight="1">
      <c r="B30" s="13" t="s">
        <v>390</v>
      </c>
      <c r="C30" s="17" t="s">
        <v>391</v>
      </c>
      <c r="D30" s="164">
        <v>63250.09</v>
      </c>
      <c r="E30" s="162"/>
      <c r="F30" s="162"/>
      <c r="G30" s="162"/>
      <c r="H30" s="162"/>
      <c r="I30" s="162"/>
      <c r="J30" s="162"/>
      <c r="K30" s="162"/>
      <c r="L30" s="162"/>
      <c r="M30" s="162"/>
      <c r="N30" s="162"/>
      <c r="O30" s="162"/>
      <c r="P30" s="162"/>
      <c r="Q30" s="162"/>
      <c r="R30" s="162"/>
    </row>
    <row r="31" spans="2:18" ht="60" customHeight="1">
      <c r="B31" s="13"/>
      <c r="C31" s="167" t="s">
        <v>393</v>
      </c>
      <c r="D31" s="164"/>
      <c r="E31" s="162"/>
      <c r="F31" s="162"/>
      <c r="G31" s="162"/>
      <c r="H31" s="162"/>
      <c r="I31" s="162"/>
      <c r="J31" s="162"/>
      <c r="K31" s="162"/>
      <c r="L31" s="162"/>
      <c r="M31" s="162"/>
      <c r="N31" s="162"/>
      <c r="O31" s="162"/>
      <c r="P31" s="162"/>
      <c r="Q31" s="162"/>
      <c r="R31" s="162"/>
    </row>
    <row r="32" spans="2:18" ht="60" customHeight="1">
      <c r="B32" s="13" t="s">
        <v>394</v>
      </c>
      <c r="C32" s="17" t="s">
        <v>395</v>
      </c>
      <c r="D32" s="234">
        <v>0.02</v>
      </c>
      <c r="E32" s="162"/>
      <c r="F32" s="162"/>
      <c r="G32" s="162"/>
      <c r="H32" s="162"/>
      <c r="I32" s="162"/>
      <c r="J32" s="162"/>
      <c r="K32" s="162"/>
      <c r="L32" s="162"/>
      <c r="M32" s="162"/>
      <c r="N32" s="162"/>
      <c r="O32" s="162"/>
      <c r="P32" s="162"/>
      <c r="Q32" s="162"/>
      <c r="R32" s="162"/>
    </row>
    <row r="33" spans="2:18" ht="30" customHeight="1">
      <c r="B33" s="18" t="s">
        <v>397</v>
      </c>
      <c r="C33" s="19" t="s">
        <v>313</v>
      </c>
      <c r="D33" s="170">
        <v>44580</v>
      </c>
      <c r="E33" s="170"/>
      <c r="F33" s="170"/>
      <c r="G33" s="170"/>
      <c r="H33" s="170"/>
      <c r="I33" s="170"/>
      <c r="J33" s="162"/>
      <c r="K33" s="162"/>
      <c r="L33" s="162"/>
      <c r="M33" s="162"/>
      <c r="N33" s="162"/>
      <c r="O33" s="162"/>
      <c r="P33" s="162"/>
      <c r="Q33" s="162"/>
      <c r="R33" s="162"/>
    </row>
    <row r="34" spans="2:18" ht="30" customHeight="1">
      <c r="B34" s="20" t="s">
        <v>398</v>
      </c>
      <c r="C34" s="19" t="s">
        <v>315</v>
      </c>
      <c r="D34" s="170">
        <v>46770</v>
      </c>
      <c r="E34" s="170"/>
      <c r="F34" s="170"/>
      <c r="G34" s="170"/>
      <c r="H34" s="170"/>
      <c r="I34" s="170"/>
      <c r="J34" s="162"/>
      <c r="K34" s="162"/>
      <c r="L34" s="162"/>
      <c r="M34" s="162"/>
      <c r="N34" s="162"/>
      <c r="O34" s="162"/>
      <c r="P34" s="162"/>
      <c r="Q34" s="162"/>
      <c r="R34" s="162"/>
    </row>
    <row r="35" spans="2:18" ht="30" customHeight="1">
      <c r="B35" s="20" t="s">
        <v>399</v>
      </c>
      <c r="C35" s="19" t="s">
        <v>400</v>
      </c>
      <c r="D35" s="162" t="s">
        <v>410</v>
      </c>
      <c r="E35" s="162"/>
      <c r="F35" s="162"/>
      <c r="G35" s="162"/>
      <c r="H35" s="162"/>
      <c r="I35" s="162"/>
      <c r="J35" s="162"/>
      <c r="K35" s="162"/>
      <c r="L35" s="162"/>
      <c r="M35" s="162"/>
      <c r="N35" s="162"/>
      <c r="O35" s="162"/>
      <c r="P35" s="162"/>
      <c r="Q35" s="162"/>
      <c r="R35" s="162"/>
    </row>
    <row r="36" spans="2:18" ht="30" customHeight="1">
      <c r="B36" s="20" t="s">
        <v>402</v>
      </c>
      <c r="C36" s="21" t="s">
        <v>403</v>
      </c>
      <c r="D36" s="172" t="s">
        <v>328</v>
      </c>
      <c r="E36" s="172"/>
      <c r="F36" s="173"/>
      <c r="G36" s="173"/>
      <c r="H36" s="173"/>
      <c r="I36" s="173"/>
      <c r="J36" s="162"/>
      <c r="K36" s="162"/>
      <c r="L36" s="162"/>
      <c r="M36" s="162"/>
      <c r="N36" s="162"/>
      <c r="O36" s="162"/>
      <c r="P36" s="162"/>
      <c r="Q36" s="162"/>
      <c r="R36" s="162"/>
    </row>
    <row r="37" spans="2:18" ht="45" customHeight="1">
      <c r="B37" s="20" t="s">
        <v>404</v>
      </c>
      <c r="C37" s="21" t="s">
        <v>405</v>
      </c>
      <c r="D37" s="172" t="s">
        <v>410</v>
      </c>
      <c r="E37" s="172"/>
      <c r="F37" s="173"/>
      <c r="G37" s="173"/>
      <c r="H37" s="173"/>
      <c r="I37" s="173"/>
      <c r="J37" s="162"/>
      <c r="K37" s="162"/>
      <c r="L37" s="162"/>
      <c r="M37" s="162"/>
      <c r="N37" s="162"/>
      <c r="O37" s="162"/>
      <c r="P37" s="162"/>
      <c r="Q37" s="162"/>
      <c r="R37" s="162"/>
    </row>
    <row r="38" spans="2:18" ht="30" customHeight="1">
      <c r="B38" s="20" t="s">
        <v>406</v>
      </c>
      <c r="C38" s="21" t="s">
        <v>407</v>
      </c>
      <c r="D38" s="172" t="s">
        <v>328</v>
      </c>
      <c r="E38" s="172"/>
      <c r="F38" s="173"/>
      <c r="G38" s="173"/>
      <c r="H38" s="173"/>
      <c r="I38" s="173"/>
      <c r="J38" s="162"/>
      <c r="K38" s="162"/>
      <c r="L38" s="162"/>
      <c r="M38" s="162"/>
      <c r="N38" s="162"/>
      <c r="O38" s="162"/>
      <c r="P38" s="162"/>
      <c r="Q38" s="162"/>
      <c r="R38" s="162"/>
    </row>
    <row r="39" spans="2:18" ht="30" customHeight="1">
      <c r="B39" s="20" t="s">
        <v>408</v>
      </c>
      <c r="C39" s="21" t="s">
        <v>409</v>
      </c>
      <c r="D39" s="219" t="s">
        <v>410</v>
      </c>
      <c r="E39" s="219"/>
      <c r="F39" s="174"/>
      <c r="G39" s="173"/>
      <c r="H39" s="173"/>
      <c r="I39" s="173"/>
      <c r="J39" s="162"/>
      <c r="K39" s="162"/>
      <c r="L39" s="162"/>
      <c r="M39" s="162"/>
      <c r="N39" s="162"/>
      <c r="O39" s="162"/>
      <c r="P39" s="162"/>
      <c r="Q39" s="162"/>
      <c r="R39" s="162"/>
    </row>
    <row r="40" spans="2:18" ht="45" customHeight="1">
      <c r="B40" s="20" t="s">
        <v>411</v>
      </c>
      <c r="C40" s="21" t="s">
        <v>314</v>
      </c>
      <c r="D40" s="172">
        <v>46770</v>
      </c>
      <c r="E40" s="172"/>
      <c r="F40" s="173"/>
      <c r="G40" s="173"/>
      <c r="H40" s="173"/>
      <c r="I40" s="173"/>
      <c r="J40" s="162"/>
      <c r="K40" s="162"/>
      <c r="L40" s="162"/>
      <c r="M40" s="162"/>
      <c r="N40" s="162"/>
      <c r="O40" s="162"/>
      <c r="P40" s="162"/>
      <c r="Q40" s="162"/>
      <c r="R40" s="162"/>
    </row>
    <row r="41" spans="2:18" ht="60" customHeight="1">
      <c r="B41" s="22" t="s">
        <v>412</v>
      </c>
      <c r="C41" s="23" t="s">
        <v>413</v>
      </c>
      <c r="D41" s="172" t="s">
        <v>328</v>
      </c>
      <c r="E41" s="172"/>
      <c r="F41" s="172"/>
      <c r="G41" s="172"/>
      <c r="H41" s="172"/>
      <c r="I41" s="172"/>
      <c r="J41" s="172"/>
      <c r="K41" s="172"/>
      <c r="L41" s="172"/>
      <c r="M41" s="172"/>
      <c r="N41" s="172"/>
      <c r="O41" s="172"/>
      <c r="P41" s="172"/>
      <c r="Q41" s="172"/>
      <c r="R41" s="172"/>
    </row>
    <row r="42" spans="2:18" ht="75" customHeight="1">
      <c r="B42" s="24" t="s">
        <v>457</v>
      </c>
      <c r="C42" s="23" t="s">
        <v>458</v>
      </c>
      <c r="D42" s="174" t="s">
        <v>410</v>
      </c>
      <c r="E42" s="174"/>
      <c r="F42" s="174"/>
      <c r="G42" s="174"/>
      <c r="H42" s="174"/>
      <c r="I42" s="174"/>
      <c r="J42" s="174"/>
      <c r="K42" s="174"/>
      <c r="L42" s="174"/>
      <c r="M42" s="174"/>
      <c r="N42" s="174"/>
      <c r="O42" s="174"/>
      <c r="P42" s="174"/>
      <c r="Q42" s="174"/>
      <c r="R42" s="174"/>
    </row>
    <row r="43" spans="2:18" ht="60" customHeight="1">
      <c r="B43" s="25" t="s">
        <v>418</v>
      </c>
      <c r="C43" s="26" t="s">
        <v>419</v>
      </c>
      <c r="D43" s="162" t="s">
        <v>328</v>
      </c>
      <c r="E43" s="162"/>
      <c r="F43" s="162"/>
      <c r="G43" s="162"/>
      <c r="H43" s="162"/>
      <c r="I43" s="162"/>
      <c r="J43" s="162"/>
      <c r="K43" s="162"/>
      <c r="L43" s="162"/>
      <c r="M43" s="162"/>
      <c r="N43" s="162"/>
      <c r="O43" s="162"/>
      <c r="P43" s="162"/>
      <c r="Q43" s="162"/>
      <c r="R43" s="162"/>
    </row>
    <row r="44" spans="2:18" ht="75" customHeight="1">
      <c r="B44" s="25" t="s">
        <v>420</v>
      </c>
      <c r="C44" s="26" t="s">
        <v>421</v>
      </c>
      <c r="D44" s="162" t="s">
        <v>328</v>
      </c>
      <c r="E44" s="162"/>
      <c r="F44" s="162"/>
      <c r="G44" s="162"/>
      <c r="H44" s="162"/>
      <c r="I44" s="162"/>
      <c r="J44" s="162"/>
      <c r="K44" s="162"/>
      <c r="L44" s="162"/>
      <c r="M44" s="162"/>
      <c r="N44" s="162"/>
      <c r="O44" s="162"/>
      <c r="P44" s="162"/>
      <c r="Q44" s="162"/>
      <c r="R44" s="162"/>
    </row>
    <row r="45" spans="2:18">
      <c r="B45" s="175"/>
      <c r="C45" s="175"/>
      <c r="D45" s="175"/>
      <c r="E45" s="175"/>
      <c r="F45" s="175"/>
      <c r="G45" s="175"/>
      <c r="H45" s="175"/>
      <c r="I45" s="175"/>
      <c r="J45" s="175"/>
      <c r="K45" s="175"/>
      <c r="L45" s="175"/>
      <c r="M45" s="175"/>
      <c r="N45" s="175"/>
      <c r="O45" s="175"/>
      <c r="P45" s="175"/>
      <c r="Q45" s="175"/>
      <c r="R45" s="175"/>
    </row>
    <row r="46" spans="2:18" ht="45" customHeight="1">
      <c r="B46" s="175"/>
      <c r="C46" s="176" t="s">
        <v>423</v>
      </c>
      <c r="D46" s="162">
        <v>50</v>
      </c>
      <c r="E46" s="162"/>
      <c r="F46" s="162"/>
      <c r="G46" s="162"/>
      <c r="H46" s="162"/>
      <c r="I46" s="162"/>
      <c r="J46" s="162"/>
      <c r="K46" s="162"/>
      <c r="L46" s="162"/>
      <c r="M46" s="162"/>
      <c r="N46" s="162"/>
      <c r="O46" s="162"/>
      <c r="P46" s="162"/>
      <c r="Q46" s="162"/>
      <c r="R46" s="162"/>
    </row>
    <row r="47" spans="2:18" ht="30" customHeight="1">
      <c r="B47" s="175"/>
      <c r="C47" s="177" t="s">
        <v>424</v>
      </c>
      <c r="D47" s="162">
        <v>40</v>
      </c>
      <c r="E47" s="162"/>
      <c r="F47" s="162"/>
      <c r="G47" s="162"/>
      <c r="H47" s="162"/>
      <c r="I47" s="162"/>
      <c r="J47" s="162"/>
      <c r="K47" s="162"/>
      <c r="L47" s="162"/>
      <c r="M47" s="162"/>
      <c r="N47" s="162"/>
      <c r="O47" s="162"/>
      <c r="P47" s="162"/>
      <c r="Q47" s="162"/>
      <c r="R47" s="162"/>
    </row>
    <row r="48" spans="2:18" ht="15" customHeight="1">
      <c r="B48" s="175"/>
      <c r="C48" s="177" t="s">
        <v>425</v>
      </c>
      <c r="D48" s="162">
        <v>10</v>
      </c>
      <c r="E48" s="162"/>
      <c r="F48" s="162"/>
      <c r="G48" s="162"/>
      <c r="H48" s="162"/>
      <c r="I48" s="162"/>
      <c r="J48" s="162"/>
      <c r="K48" s="162"/>
      <c r="L48" s="162"/>
      <c r="M48" s="162"/>
      <c r="N48" s="162"/>
      <c r="O48" s="162"/>
      <c r="P48" s="162"/>
      <c r="Q48" s="162"/>
      <c r="R48" s="162"/>
    </row>
    <row r="49" spans="2:18" ht="3" customHeight="1">
      <c r="B49" s="175"/>
      <c r="C49" s="178"/>
      <c r="D49" s="179"/>
      <c r="E49" s="179"/>
      <c r="F49" s="179"/>
      <c r="G49" s="179"/>
      <c r="H49" s="179"/>
      <c r="I49" s="179"/>
      <c r="J49" s="179"/>
      <c r="K49" s="179"/>
      <c r="L49" s="179"/>
      <c r="M49" s="179"/>
      <c r="N49" s="179"/>
      <c r="O49" s="179"/>
      <c r="P49" s="179"/>
      <c r="Q49" s="179"/>
      <c r="R49" s="179"/>
    </row>
    <row r="50" spans="2:18" ht="30" customHeight="1">
      <c r="B50" s="175"/>
      <c r="C50" s="176" t="s">
        <v>426</v>
      </c>
      <c r="D50" s="162"/>
      <c r="E50" s="162"/>
      <c r="F50" s="162"/>
      <c r="G50" s="162"/>
      <c r="H50" s="162"/>
      <c r="I50" s="162"/>
      <c r="J50" s="162"/>
      <c r="K50" s="162"/>
      <c r="L50" s="162"/>
      <c r="M50" s="162"/>
      <c r="N50" s="162"/>
      <c r="O50" s="162"/>
      <c r="P50" s="162"/>
      <c r="Q50" s="162"/>
      <c r="R50" s="162"/>
    </row>
    <row r="51" spans="2:18" ht="30" customHeight="1">
      <c r="B51" s="175"/>
      <c r="C51" s="177" t="s">
        <v>424</v>
      </c>
      <c r="D51" s="162">
        <v>40</v>
      </c>
      <c r="E51" s="162"/>
      <c r="F51" s="162"/>
      <c r="G51" s="162"/>
      <c r="H51" s="162"/>
      <c r="I51" s="162"/>
      <c r="J51" s="162"/>
      <c r="K51" s="162"/>
      <c r="L51" s="162"/>
      <c r="M51" s="162"/>
      <c r="N51" s="162"/>
      <c r="O51" s="162"/>
      <c r="P51" s="162"/>
      <c r="Q51" s="162"/>
      <c r="R51" s="162"/>
    </row>
    <row r="52" spans="2:18" ht="15" customHeight="1">
      <c r="B52" s="175"/>
      <c r="C52" s="177" t="s">
        <v>425</v>
      </c>
      <c r="D52" s="162">
        <v>10</v>
      </c>
      <c r="E52" s="162"/>
      <c r="F52" s="162"/>
      <c r="G52" s="162"/>
      <c r="H52" s="162"/>
      <c r="I52" s="162"/>
      <c r="J52" s="162"/>
      <c r="K52" s="162"/>
      <c r="L52" s="162"/>
      <c r="M52" s="162"/>
      <c r="N52" s="162"/>
      <c r="O52" s="162"/>
      <c r="P52" s="162"/>
      <c r="Q52" s="162"/>
      <c r="R52" s="162"/>
    </row>
    <row r="53" spans="2:18" ht="6" customHeight="1">
      <c r="B53" s="175"/>
      <c r="C53" s="180"/>
      <c r="D53" s="179"/>
      <c r="E53" s="179"/>
      <c r="F53" s="179"/>
      <c r="G53" s="179"/>
      <c r="H53" s="179"/>
      <c r="I53" s="179"/>
      <c r="J53" s="179"/>
      <c r="K53" s="179"/>
      <c r="L53" s="179"/>
      <c r="M53" s="179"/>
      <c r="N53" s="179"/>
      <c r="O53" s="179"/>
      <c r="P53" s="179"/>
      <c r="Q53" s="179"/>
      <c r="R53" s="179"/>
    </row>
    <row r="54" spans="2:18" ht="33" customHeight="1">
      <c r="B54" s="175"/>
      <c r="C54" s="76" t="s">
        <v>427</v>
      </c>
      <c r="D54" s="179"/>
      <c r="E54" s="179"/>
      <c r="F54" s="179"/>
      <c r="G54" s="179"/>
      <c r="H54" s="179"/>
      <c r="I54" s="179"/>
      <c r="J54" s="179"/>
      <c r="K54" s="179"/>
      <c r="L54" s="179"/>
      <c r="M54" s="179"/>
      <c r="N54" s="179"/>
      <c r="O54" s="179"/>
      <c r="P54" s="179"/>
      <c r="Q54" s="179"/>
      <c r="R54" s="179"/>
    </row>
    <row r="55" spans="2:18" ht="30" customHeight="1">
      <c r="B55" s="175"/>
      <c r="C55" s="176" t="s">
        <v>428</v>
      </c>
      <c r="D55" s="162" t="s">
        <v>328</v>
      </c>
      <c r="E55" s="162"/>
      <c r="F55" s="162"/>
      <c r="G55" s="162"/>
      <c r="H55" s="162"/>
      <c r="I55" s="162"/>
      <c r="J55" s="162"/>
      <c r="K55" s="162"/>
      <c r="L55" s="162"/>
      <c r="M55" s="162"/>
      <c r="N55" s="162"/>
      <c r="O55" s="162"/>
      <c r="P55" s="162"/>
      <c r="Q55" s="162"/>
      <c r="R55" s="162"/>
    </row>
    <row r="56" spans="2:18" ht="30" customHeight="1">
      <c r="B56" s="175"/>
      <c r="C56" s="176" t="s">
        <v>429</v>
      </c>
      <c r="D56" s="162" t="s">
        <v>328</v>
      </c>
      <c r="E56" s="162"/>
      <c r="F56" s="162"/>
      <c r="G56" s="162"/>
      <c r="H56" s="162"/>
      <c r="I56" s="162"/>
      <c r="J56" s="162"/>
      <c r="K56" s="162"/>
      <c r="L56" s="162"/>
      <c r="M56" s="162"/>
      <c r="N56" s="162"/>
      <c r="O56" s="162"/>
      <c r="P56" s="162"/>
      <c r="Q56" s="162"/>
      <c r="R56" s="162"/>
    </row>
    <row r="57" spans="2:18" ht="56">
      <c r="C57" s="181" t="s">
        <v>430</v>
      </c>
    </row>
    <row r="58" spans="2:18" ht="56">
      <c r="C58" s="181" t="s">
        <v>431</v>
      </c>
    </row>
    <row r="59" spans="2:18">
      <c r="C59" s="182"/>
    </row>
    <row r="60" spans="2:18" ht="15">
      <c r="D60" s="139" t="s">
        <v>432</v>
      </c>
    </row>
    <row r="61" spans="2:18">
      <c r="D61" s="183" t="s">
        <v>433</v>
      </c>
    </row>
    <row r="62" spans="2:18">
      <c r="D62" s="184" t="s">
        <v>434</v>
      </c>
    </row>
    <row r="63" spans="2:18">
      <c r="D63" s="184" t="s">
        <v>435</v>
      </c>
    </row>
    <row r="64" spans="2:18">
      <c r="D64" s="184" t="s">
        <v>436</v>
      </c>
    </row>
    <row r="65" spans="4:4">
      <c r="D65" s="184" t="s">
        <v>437</v>
      </c>
    </row>
    <row r="66" spans="4:4">
      <c r="D66" s="184" t="s">
        <v>438</v>
      </c>
    </row>
    <row r="68" spans="4:4" ht="15">
      <c r="D68" s="185" t="s">
        <v>439</v>
      </c>
    </row>
  </sheetData>
  <mergeCells count="2">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61"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26 C28:C30 C32">
    <cfRule type="expression" dxfId="60" priority="1">
      <formula>#REF!="Owned"</formula>
    </cfRule>
  </conditionalFormatting>
  <dataValidations count="1">
    <dataValidation type="list" allowBlank="1" showInputMessage="1" showErrorMessage="1" sqref="E6" xr:uid="{17C1C857-878F-4F05-9E24-2FA3A3A08BC7}">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C0B4-CEA8-46B9-9E80-19281671E775}">
  <sheetPr codeName="Feuil39">
    <tabColor rgb="FF00B050"/>
    <pageSetUpPr fitToPage="1"/>
  </sheetPr>
  <dimension ref="A2:R68"/>
  <sheetViews>
    <sheetView topLeftCell="A10" zoomScale="70" zoomScaleNormal="70" workbookViewId="0">
      <selection activeCell="D36" sqref="D36"/>
    </sheetView>
  </sheetViews>
  <sheetFormatPr baseColWidth="10" defaultColWidth="9.1640625" defaultRowHeight="36.5" customHeight="1"/>
  <cols>
    <col min="1" max="1" width="19.5" style="1" customWidth="1"/>
    <col min="2" max="2" width="24.1640625" style="1" customWidth="1"/>
    <col min="3" max="3" width="25.5" style="1" customWidth="1"/>
    <col min="4" max="9" width="22.83203125" style="1" customWidth="1"/>
    <col min="10" max="18" width="22.83203125" customWidth="1"/>
    <col min="19" max="16384" width="9.1640625" style="1"/>
  </cols>
  <sheetData>
    <row r="2" spans="2:18" ht="36.5" customHeight="1">
      <c r="C2" s="506" t="s">
        <v>323</v>
      </c>
      <c r="D2" s="100">
        <v>45936</v>
      </c>
      <c r="E2" s="315"/>
      <c r="F2" s="3"/>
      <c r="G2" s="3"/>
      <c r="H2" s="3"/>
      <c r="I2" s="4"/>
    </row>
    <row r="4" spans="2:18" ht="36.5" customHeight="1">
      <c r="C4" s="316" t="s">
        <v>324</v>
      </c>
      <c r="D4" s="82" t="s">
        <v>107</v>
      </c>
      <c r="E4" s="6" t="s">
        <v>133</v>
      </c>
      <c r="F4" s="6" t="s">
        <v>133</v>
      </c>
      <c r="G4" s="6" t="s">
        <v>133</v>
      </c>
      <c r="H4" s="6" t="s">
        <v>133</v>
      </c>
      <c r="I4" s="6" t="s">
        <v>133</v>
      </c>
      <c r="J4" s="6" t="s">
        <v>133</v>
      </c>
    </row>
    <row r="6" spans="2:18" ht="36.5" customHeight="1">
      <c r="B6" s="1" t="s">
        <v>326</v>
      </c>
      <c r="C6" s="589" t="s">
        <v>327</v>
      </c>
      <c r="D6" s="591"/>
      <c r="E6" s="6" t="s">
        <v>328</v>
      </c>
      <c r="F6" s="101"/>
      <c r="G6" s="101"/>
      <c r="H6" s="101"/>
    </row>
    <row r="7" spans="2:18" ht="36.5" customHeight="1">
      <c r="B7" s="1" t="s">
        <v>326</v>
      </c>
      <c r="C7" s="589" t="s">
        <v>329</v>
      </c>
      <c r="D7" s="591"/>
      <c r="E7" s="6">
        <v>1</v>
      </c>
      <c r="F7" s="101"/>
      <c r="G7" s="101"/>
      <c r="H7" s="101"/>
    </row>
    <row r="8" spans="2:18" ht="36.5" customHeight="1">
      <c r="C8" s="113"/>
      <c r="D8" s="113"/>
      <c r="E8" s="42"/>
      <c r="F8" s="101"/>
      <c r="G8" s="101"/>
      <c r="H8" s="101"/>
    </row>
    <row r="9" spans="2:18" ht="36.5" customHeight="1">
      <c r="C9" s="318" t="s">
        <v>441</v>
      </c>
      <c r="D9" s="381" t="s">
        <v>1192</v>
      </c>
      <c r="E9" s="67"/>
      <c r="F9" s="67"/>
      <c r="G9" s="67"/>
      <c r="H9" s="67"/>
      <c r="I9" s="67"/>
      <c r="J9" s="67"/>
      <c r="K9" s="112"/>
      <c r="L9" s="112"/>
      <c r="M9" s="112"/>
      <c r="N9" s="112"/>
      <c r="O9" s="112"/>
      <c r="P9" s="112"/>
      <c r="Q9" s="112"/>
    </row>
    <row r="10" spans="2:18" ht="36.5" customHeight="1">
      <c r="C10" s="104" t="s">
        <v>331</v>
      </c>
      <c r="D10" s="319" t="s">
        <v>1248</v>
      </c>
      <c r="E10" s="319" t="s">
        <v>1249</v>
      </c>
      <c r="F10" s="114" t="s">
        <v>1250</v>
      </c>
      <c r="G10" s="114" t="s">
        <v>1250</v>
      </c>
      <c r="H10" s="114" t="s">
        <v>1251</v>
      </c>
      <c r="I10" s="114" t="s">
        <v>1251</v>
      </c>
      <c r="J10" s="114" t="s">
        <v>1252</v>
      </c>
      <c r="K10" s="43"/>
      <c r="L10" s="43"/>
      <c r="M10" s="43"/>
      <c r="N10" s="43"/>
      <c r="O10" s="43"/>
      <c r="P10" s="43"/>
      <c r="Q10" s="43"/>
      <c r="R10" s="43"/>
    </row>
    <row r="11" spans="2:18" ht="36.5" customHeight="1">
      <c r="C11" s="70" t="s">
        <v>299</v>
      </c>
      <c r="D11" s="371" t="s">
        <v>1253</v>
      </c>
      <c r="E11" s="84" t="s">
        <v>1254</v>
      </c>
      <c r="F11" s="84" t="s">
        <v>1255</v>
      </c>
      <c r="G11" s="84" t="s">
        <v>1255</v>
      </c>
      <c r="H11" s="84" t="s">
        <v>1256</v>
      </c>
      <c r="I11" s="84" t="s">
        <v>1256</v>
      </c>
      <c r="J11" s="84" t="s">
        <v>1257</v>
      </c>
      <c r="K11" s="382"/>
      <c r="L11" s="382"/>
      <c r="M11" s="382"/>
      <c r="N11" s="382"/>
      <c r="O11" s="382"/>
      <c r="P11" s="382"/>
      <c r="Q11" s="382"/>
      <c r="R11" s="382"/>
    </row>
    <row r="12" spans="2:18" ht="36.5" customHeight="1">
      <c r="C12" s="383"/>
      <c r="D12" s="384"/>
      <c r="E12" s="320"/>
      <c r="F12" s="321"/>
      <c r="G12" s="321"/>
      <c r="H12" s="321"/>
      <c r="I12" s="321"/>
      <c r="J12" s="321"/>
      <c r="K12" s="382"/>
      <c r="L12" s="382"/>
      <c r="M12" s="382"/>
      <c r="N12" s="382"/>
      <c r="O12" s="382"/>
      <c r="P12" s="382"/>
      <c r="Q12" s="382"/>
      <c r="R12" s="382"/>
    </row>
    <row r="13" spans="2:18" ht="36.5" customHeight="1">
      <c r="B13" s="7" t="s">
        <v>348</v>
      </c>
      <c r="C13" s="8" t="s">
        <v>349</v>
      </c>
      <c r="D13" s="85" t="s">
        <v>1258</v>
      </c>
      <c r="E13" s="364" t="s">
        <v>655</v>
      </c>
      <c r="F13" s="364" t="s">
        <v>1259</v>
      </c>
      <c r="G13" s="364" t="s">
        <v>1260</v>
      </c>
      <c r="H13" s="364" t="s">
        <v>1261</v>
      </c>
      <c r="I13" s="364" t="s">
        <v>1260</v>
      </c>
      <c r="J13" s="364" t="s">
        <v>1262</v>
      </c>
      <c r="K13" s="385"/>
      <c r="L13" s="385"/>
      <c r="M13" s="385"/>
      <c r="N13" s="385"/>
      <c r="O13" s="385"/>
      <c r="P13" s="385"/>
      <c r="Q13" s="385"/>
      <c r="R13" s="385"/>
    </row>
    <row r="14" spans="2:18" ht="36.5" customHeight="1">
      <c r="B14" s="7" t="s">
        <v>352</v>
      </c>
      <c r="C14" s="8" t="s">
        <v>297</v>
      </c>
      <c r="D14" s="85" t="s">
        <v>109</v>
      </c>
      <c r="E14" s="85" t="s">
        <v>140</v>
      </c>
      <c r="F14" s="85" t="s">
        <v>138</v>
      </c>
      <c r="G14" s="85" t="s">
        <v>138</v>
      </c>
      <c r="H14" s="85" t="s">
        <v>134</v>
      </c>
      <c r="I14" s="85" t="s">
        <v>134</v>
      </c>
      <c r="J14" s="85" t="s">
        <v>136</v>
      </c>
      <c r="K14" s="385"/>
      <c r="L14" s="385"/>
      <c r="M14" s="385"/>
      <c r="N14" s="385"/>
      <c r="O14" s="385"/>
      <c r="P14" s="385"/>
      <c r="Q14" s="385"/>
      <c r="R14" s="385"/>
    </row>
    <row r="15" spans="2:18" ht="36.5" customHeight="1">
      <c r="B15" s="7" t="s">
        <v>353</v>
      </c>
      <c r="C15" s="8" t="s">
        <v>354</v>
      </c>
      <c r="D15" s="85" t="s">
        <v>110</v>
      </c>
      <c r="E15" s="85" t="s">
        <v>141</v>
      </c>
      <c r="F15" s="85" t="s">
        <v>139</v>
      </c>
      <c r="G15" s="85" t="s">
        <v>139</v>
      </c>
      <c r="H15" s="85" t="s">
        <v>135</v>
      </c>
      <c r="I15" s="85" t="s">
        <v>135</v>
      </c>
      <c r="J15" s="85" t="s">
        <v>137</v>
      </c>
      <c r="K15" s="385"/>
      <c r="L15" s="385"/>
      <c r="M15" s="385"/>
      <c r="N15" s="385"/>
      <c r="O15" s="385"/>
      <c r="P15" s="385"/>
      <c r="Q15" s="385"/>
      <c r="R15" s="385"/>
    </row>
    <row r="16" spans="2:18" ht="36.5" customHeight="1">
      <c r="B16" s="7" t="s">
        <v>355</v>
      </c>
      <c r="C16" s="8" t="s">
        <v>356</v>
      </c>
      <c r="D16" s="85">
        <v>28043</v>
      </c>
      <c r="E16" s="85">
        <v>28760</v>
      </c>
      <c r="F16" s="85" t="s">
        <v>1263</v>
      </c>
      <c r="G16" s="85" t="s">
        <v>1264</v>
      </c>
      <c r="H16" s="85">
        <v>41005</v>
      </c>
      <c r="I16" s="85">
        <v>41006</v>
      </c>
      <c r="J16" s="85">
        <v>48001</v>
      </c>
      <c r="K16" s="385"/>
      <c r="L16" s="385"/>
      <c r="M16" s="385"/>
      <c r="N16" s="385"/>
      <c r="O16" s="385"/>
      <c r="P16" s="385"/>
      <c r="Q16" s="385"/>
      <c r="R16" s="385"/>
    </row>
    <row r="17" spans="1:18" ht="36.5" customHeight="1">
      <c r="B17" s="7" t="s">
        <v>357</v>
      </c>
      <c r="C17" s="8" t="s">
        <v>294</v>
      </c>
      <c r="D17" s="85" t="s">
        <v>108</v>
      </c>
      <c r="E17" s="85" t="s">
        <v>108</v>
      </c>
      <c r="F17" s="85" t="s">
        <v>108</v>
      </c>
      <c r="G17" s="85" t="s">
        <v>108</v>
      </c>
      <c r="H17" s="85" t="s">
        <v>108</v>
      </c>
      <c r="I17" s="85" t="s">
        <v>108</v>
      </c>
      <c r="J17" s="85" t="s">
        <v>108</v>
      </c>
      <c r="K17" s="385"/>
      <c r="L17" s="385"/>
      <c r="M17" s="385"/>
      <c r="N17" s="385"/>
      <c r="O17" s="385"/>
      <c r="P17" s="385"/>
      <c r="Q17" s="385"/>
      <c r="R17" s="385"/>
    </row>
    <row r="18" spans="1:18" ht="36.5" customHeight="1">
      <c r="B18" s="9" t="s">
        <v>358</v>
      </c>
      <c r="C18" s="10" t="s">
        <v>359</v>
      </c>
      <c r="D18" s="85" t="s">
        <v>360</v>
      </c>
      <c r="E18" s="85" t="s">
        <v>360</v>
      </c>
      <c r="F18" s="85" t="s">
        <v>360</v>
      </c>
      <c r="G18" s="85" t="s">
        <v>360</v>
      </c>
      <c r="H18" s="85" t="s">
        <v>360</v>
      </c>
      <c r="I18" s="85" t="s">
        <v>360</v>
      </c>
      <c r="J18" s="85" t="s">
        <v>360</v>
      </c>
      <c r="K18" s="385"/>
      <c r="L18" s="385"/>
      <c r="M18" s="385"/>
      <c r="N18" s="385"/>
      <c r="O18" s="385"/>
      <c r="P18" s="385"/>
      <c r="Q18" s="385"/>
      <c r="R18" s="385"/>
    </row>
    <row r="19" spans="1:18" ht="36.5" customHeight="1">
      <c r="B19" s="9" t="s">
        <v>361</v>
      </c>
      <c r="C19" s="10" t="s">
        <v>362</v>
      </c>
      <c r="D19" s="85" t="s">
        <v>414</v>
      </c>
      <c r="E19" s="85" t="s">
        <v>328</v>
      </c>
      <c r="F19" s="85" t="s">
        <v>328</v>
      </c>
      <c r="G19" s="85" t="s">
        <v>328</v>
      </c>
      <c r="H19" s="85" t="s">
        <v>328</v>
      </c>
      <c r="I19" s="85" t="s">
        <v>328</v>
      </c>
      <c r="J19" s="85" t="s">
        <v>328</v>
      </c>
      <c r="K19" s="385"/>
      <c r="L19" s="385"/>
      <c r="M19" s="385"/>
      <c r="N19" s="385"/>
      <c r="O19" s="385"/>
      <c r="P19" s="385"/>
      <c r="Q19" s="385"/>
      <c r="R19" s="385"/>
    </row>
    <row r="20" spans="1:18" ht="36.5" customHeight="1">
      <c r="B20" s="9" t="s">
        <v>363</v>
      </c>
      <c r="C20" s="10" t="s">
        <v>364</v>
      </c>
      <c r="D20" s="85" t="s">
        <v>414</v>
      </c>
      <c r="E20" s="85" t="s">
        <v>328</v>
      </c>
      <c r="F20" s="85" t="s">
        <v>328</v>
      </c>
      <c r="G20" s="85" t="s">
        <v>328</v>
      </c>
      <c r="H20" s="85" t="s">
        <v>328</v>
      </c>
      <c r="I20" s="85" t="s">
        <v>328</v>
      </c>
      <c r="J20" s="85" t="s">
        <v>328</v>
      </c>
      <c r="K20" s="385"/>
      <c r="L20" s="385"/>
      <c r="M20" s="385"/>
      <c r="N20" s="385"/>
      <c r="O20" s="385"/>
      <c r="P20" s="385"/>
      <c r="Q20" s="385"/>
      <c r="R20" s="385"/>
    </row>
    <row r="21" spans="1:18" ht="36.5" customHeight="1">
      <c r="B21" s="11" t="s">
        <v>365</v>
      </c>
      <c r="C21" s="12" t="s">
        <v>366</v>
      </c>
      <c r="D21" s="85" t="s">
        <v>1265</v>
      </c>
      <c r="E21" s="85" t="s">
        <v>1266</v>
      </c>
      <c r="F21" s="85" t="s">
        <v>1266</v>
      </c>
      <c r="G21" s="85" t="s">
        <v>1266</v>
      </c>
      <c r="H21" s="85" t="s">
        <v>1266</v>
      </c>
      <c r="I21" s="85" t="s">
        <v>1266</v>
      </c>
      <c r="J21" s="85" t="s">
        <v>1266</v>
      </c>
      <c r="K21" s="385"/>
      <c r="L21" s="385"/>
      <c r="M21" s="385"/>
      <c r="N21" s="385"/>
      <c r="O21" s="385"/>
      <c r="P21" s="385"/>
      <c r="Q21" s="385"/>
      <c r="R21" s="385"/>
    </row>
    <row r="22" spans="1:18" ht="36.5" customHeight="1">
      <c r="B22" s="11" t="s">
        <v>369</v>
      </c>
      <c r="C22" s="12" t="s">
        <v>370</v>
      </c>
      <c r="D22" s="85" t="s">
        <v>1267</v>
      </c>
      <c r="E22" s="85" t="s">
        <v>1268</v>
      </c>
      <c r="F22" s="85" t="s">
        <v>1269</v>
      </c>
      <c r="G22" s="85" t="s">
        <v>1270</v>
      </c>
      <c r="H22" s="85" t="s">
        <v>1271</v>
      </c>
      <c r="I22" s="85" t="s">
        <v>1271</v>
      </c>
      <c r="J22" s="85" t="s">
        <v>1272</v>
      </c>
      <c r="K22" s="385"/>
      <c r="L22" s="385"/>
      <c r="M22" s="385"/>
      <c r="N22" s="385"/>
      <c r="O22" s="385"/>
      <c r="P22" s="385"/>
      <c r="Q22" s="385"/>
      <c r="R22" s="385"/>
    </row>
    <row r="23" spans="1:18" ht="36.5" customHeight="1">
      <c r="B23" s="13"/>
      <c r="C23" s="87" t="s">
        <v>374</v>
      </c>
      <c r="D23" s="131" t="s">
        <v>374</v>
      </c>
      <c r="E23" s="131" t="s">
        <v>374</v>
      </c>
      <c r="F23" s="131" t="s">
        <v>374</v>
      </c>
      <c r="G23" s="131"/>
      <c r="H23" s="131" t="s">
        <v>374</v>
      </c>
      <c r="I23" s="131"/>
      <c r="J23" s="131" t="s">
        <v>374</v>
      </c>
      <c r="K23" s="132"/>
      <c r="L23" s="132"/>
      <c r="M23" s="132"/>
      <c r="N23" s="132"/>
      <c r="O23" s="132"/>
      <c r="P23" s="132"/>
      <c r="Q23" s="132"/>
      <c r="R23" s="132"/>
    </row>
    <row r="24" spans="1:18" ht="36.5" customHeight="1">
      <c r="A24"/>
      <c r="B24" s="13" t="s">
        <v>375</v>
      </c>
      <c r="C24" s="14" t="s">
        <v>376</v>
      </c>
      <c r="D24" s="88">
        <v>5511</v>
      </c>
      <c r="E24" s="88">
        <v>4725</v>
      </c>
      <c r="F24" s="88">
        <v>425.95</v>
      </c>
      <c r="G24" s="88"/>
      <c r="H24" s="88">
        <v>179.8</v>
      </c>
      <c r="I24" s="88"/>
      <c r="J24" s="88">
        <v>140</v>
      </c>
      <c r="K24" s="386"/>
      <c r="L24" s="386"/>
      <c r="M24" s="386"/>
      <c r="N24" s="386"/>
      <c r="O24" s="386"/>
      <c r="P24" s="386"/>
      <c r="Q24" s="386"/>
      <c r="R24" s="386"/>
    </row>
    <row r="25" spans="1:18" ht="36.5" customHeight="1">
      <c r="A25"/>
      <c r="B25" s="15" t="s">
        <v>377</v>
      </c>
      <c r="C25" s="16" t="s">
        <v>378</v>
      </c>
      <c r="D25" s="119">
        <v>74</v>
      </c>
      <c r="E25" s="119">
        <v>101</v>
      </c>
      <c r="F25" s="85">
        <v>1</v>
      </c>
      <c r="G25" s="85">
        <v>6</v>
      </c>
      <c r="H25" s="85">
        <v>3</v>
      </c>
      <c r="I25" s="85"/>
      <c r="J25" s="85">
        <v>1</v>
      </c>
      <c r="K25" s="385"/>
      <c r="L25" s="385"/>
      <c r="M25" s="385"/>
      <c r="N25" s="385"/>
      <c r="O25" s="385"/>
      <c r="P25" s="385"/>
      <c r="Q25" s="385"/>
      <c r="R25" s="385"/>
    </row>
    <row r="26" spans="1:18" ht="36.5" customHeight="1">
      <c r="A26"/>
      <c r="B26" s="15" t="s">
        <v>380</v>
      </c>
      <c r="C26" s="16" t="s">
        <v>381</v>
      </c>
      <c r="D26" s="89" t="s">
        <v>449</v>
      </c>
      <c r="E26" s="89" t="s">
        <v>449</v>
      </c>
      <c r="F26" s="85" t="s">
        <v>449</v>
      </c>
      <c r="G26" s="85"/>
      <c r="H26" s="85" t="s">
        <v>449</v>
      </c>
      <c r="I26" s="85"/>
      <c r="J26" s="85" t="s">
        <v>449</v>
      </c>
      <c r="K26" s="385"/>
      <c r="L26" s="385"/>
      <c r="M26" s="385"/>
      <c r="N26" s="385"/>
      <c r="O26" s="385"/>
      <c r="P26" s="385"/>
      <c r="Q26" s="385"/>
      <c r="R26" s="385"/>
    </row>
    <row r="27" spans="1:18" ht="36.5" customHeight="1">
      <c r="A27"/>
      <c r="B27" s="323" t="s">
        <v>383</v>
      </c>
      <c r="C27" s="324" t="s">
        <v>383</v>
      </c>
      <c r="D27" s="89"/>
      <c r="E27" s="89"/>
      <c r="F27" s="85"/>
      <c r="G27" s="85"/>
      <c r="H27" s="85"/>
      <c r="I27" s="85"/>
      <c r="J27" s="85"/>
      <c r="K27" s="385"/>
      <c r="L27" s="385"/>
      <c r="M27" s="385"/>
      <c r="N27" s="385"/>
      <c r="O27" s="385"/>
      <c r="P27" s="385"/>
      <c r="Q27" s="385"/>
      <c r="R27" s="385"/>
    </row>
    <row r="28" spans="1:18" ht="36.5" customHeight="1">
      <c r="A28"/>
      <c r="B28" s="15" t="s">
        <v>384</v>
      </c>
      <c r="C28" s="16" t="s">
        <v>450</v>
      </c>
      <c r="D28" s="127">
        <v>193.56</v>
      </c>
      <c r="E28" s="85">
        <v>127</v>
      </c>
      <c r="F28" s="85">
        <v>226</v>
      </c>
      <c r="G28" s="85"/>
      <c r="H28" s="85">
        <f>12.34*12</f>
        <v>148.07999999999998</v>
      </c>
      <c r="I28" s="85"/>
      <c r="J28" s="85">
        <f>11.39*12</f>
        <v>136.68</v>
      </c>
      <c r="K28" s="385"/>
      <c r="L28" s="385"/>
      <c r="M28" s="385"/>
      <c r="N28" s="385"/>
      <c r="O28" s="385"/>
      <c r="P28" s="385"/>
      <c r="Q28" s="385"/>
      <c r="R28" s="385"/>
    </row>
    <row r="29" spans="1:18" ht="36.5" customHeight="1">
      <c r="A29"/>
      <c r="B29" s="15" t="s">
        <v>387</v>
      </c>
      <c r="C29" s="16" t="s">
        <v>388</v>
      </c>
      <c r="D29" s="121">
        <v>2.8000000000000001E-2</v>
      </c>
      <c r="E29" s="85" t="s">
        <v>1273</v>
      </c>
      <c r="F29" s="85" t="s">
        <v>1274</v>
      </c>
      <c r="G29" s="85"/>
      <c r="H29" s="85" t="s">
        <v>1275</v>
      </c>
      <c r="I29" s="85"/>
      <c r="J29" s="85" t="s">
        <v>1276</v>
      </c>
      <c r="K29" s="385"/>
      <c r="L29" s="385"/>
      <c r="M29" s="385"/>
      <c r="N29" s="385"/>
      <c r="O29" s="385"/>
      <c r="P29" s="385"/>
      <c r="Q29" s="385"/>
      <c r="R29" s="385"/>
    </row>
    <row r="30" spans="1:18" ht="36.5" customHeight="1">
      <c r="A30"/>
      <c r="B30" s="13" t="s">
        <v>390</v>
      </c>
      <c r="C30" s="17" t="s">
        <v>453</v>
      </c>
      <c r="D30" s="85">
        <f>528000/D24</f>
        <v>95.808383233532936</v>
      </c>
      <c r="E30" s="85">
        <f>2.83*12</f>
        <v>33.96</v>
      </c>
      <c r="F30" s="85">
        <f>(2.3*12)+((144.64*12))/429.95</f>
        <v>31.636934527270611</v>
      </c>
      <c r="G30" s="85">
        <v>11.87</v>
      </c>
      <c r="H30" s="85">
        <f>(1.8*12)+((90+3+12)/204.7)</f>
        <v>22.11294577430386</v>
      </c>
      <c r="I30" s="85"/>
      <c r="J30" s="85"/>
      <c r="K30" s="385"/>
      <c r="L30" s="385"/>
      <c r="M30" s="385"/>
      <c r="N30" s="385"/>
      <c r="O30" s="385"/>
      <c r="P30" s="385"/>
      <c r="Q30" s="385"/>
      <c r="R30" s="385"/>
    </row>
    <row r="31" spans="1:18" ht="36.5" customHeight="1">
      <c r="A31"/>
      <c r="B31" s="326"/>
      <c r="C31" s="327" t="s">
        <v>393</v>
      </c>
      <c r="D31" s="85"/>
      <c r="E31" s="85"/>
      <c r="F31" s="85"/>
      <c r="G31" s="85"/>
      <c r="H31" s="85"/>
      <c r="I31" s="85"/>
      <c r="J31" s="85"/>
      <c r="K31" s="385"/>
      <c r="L31" s="385"/>
      <c r="M31" s="385"/>
      <c r="N31" s="385"/>
      <c r="O31" s="385"/>
      <c r="P31" s="385"/>
      <c r="Q31" s="385"/>
      <c r="R31" s="385"/>
    </row>
    <row r="32" spans="1:18" ht="36.5" customHeight="1">
      <c r="A32"/>
      <c r="B32" s="13" t="s">
        <v>394</v>
      </c>
      <c r="C32" s="17" t="s">
        <v>395</v>
      </c>
      <c r="D32" s="374">
        <v>5.7000000000000002E-2</v>
      </c>
      <c r="E32" s="85"/>
      <c r="F32" s="85" t="s">
        <v>1277</v>
      </c>
      <c r="G32" s="85"/>
      <c r="H32" s="85" t="s">
        <v>1278</v>
      </c>
      <c r="I32" s="85"/>
      <c r="J32" s="85" t="s">
        <v>1279</v>
      </c>
      <c r="K32" s="385"/>
      <c r="L32" s="385"/>
      <c r="M32" s="385"/>
      <c r="N32" s="385"/>
      <c r="O32" s="385"/>
      <c r="P32" s="385"/>
      <c r="Q32" s="385"/>
      <c r="R32" s="385"/>
    </row>
    <row r="33" spans="1:18" ht="36.5" customHeight="1">
      <c r="A33"/>
      <c r="B33" s="18" t="s">
        <v>397</v>
      </c>
      <c r="C33" s="19" t="s">
        <v>313</v>
      </c>
      <c r="D33" s="91" t="s">
        <v>1280</v>
      </c>
      <c r="E33" s="91">
        <v>36097</v>
      </c>
      <c r="F33" s="91">
        <v>40269</v>
      </c>
      <c r="G33" s="91"/>
      <c r="H33" s="91">
        <v>44484</v>
      </c>
      <c r="I33" s="91"/>
      <c r="J33" s="91">
        <v>44515</v>
      </c>
      <c r="K33" s="385"/>
      <c r="L33" s="385"/>
      <c r="M33" s="385"/>
      <c r="N33" s="385"/>
      <c r="O33" s="385"/>
      <c r="P33" s="385"/>
      <c r="Q33" s="385"/>
      <c r="R33" s="385"/>
    </row>
    <row r="34" spans="1:18" ht="36.5" customHeight="1">
      <c r="A34"/>
      <c r="B34" s="20" t="s">
        <v>398</v>
      </c>
      <c r="C34" s="19" t="s">
        <v>315</v>
      </c>
      <c r="D34" s="91">
        <v>46037</v>
      </c>
      <c r="E34" s="91">
        <v>45291</v>
      </c>
      <c r="F34" s="91">
        <v>45382</v>
      </c>
      <c r="G34" s="91"/>
      <c r="H34" s="91">
        <v>45213</v>
      </c>
      <c r="I34" s="91"/>
      <c r="J34" s="91">
        <v>45291</v>
      </c>
      <c r="K34" s="385"/>
      <c r="L34" s="385"/>
      <c r="M34" s="385"/>
      <c r="N34" s="385"/>
      <c r="O34" s="385"/>
      <c r="P34" s="385"/>
      <c r="Q34" s="385"/>
      <c r="R34" s="385"/>
    </row>
    <row r="35" spans="1:18" ht="36.5" customHeight="1">
      <c r="B35" s="20" t="s">
        <v>399</v>
      </c>
      <c r="C35" s="19" t="s">
        <v>400</v>
      </c>
      <c r="D35" s="91">
        <v>45838</v>
      </c>
      <c r="E35" s="91">
        <v>45107</v>
      </c>
      <c r="F35" s="91">
        <v>45291</v>
      </c>
      <c r="G35" s="91"/>
      <c r="H35" s="91">
        <v>45214</v>
      </c>
      <c r="I35" s="91"/>
      <c r="J35" s="91">
        <v>45291</v>
      </c>
      <c r="K35" s="385"/>
      <c r="L35" s="385"/>
      <c r="M35" s="385"/>
      <c r="N35" s="385"/>
      <c r="O35" s="385"/>
      <c r="P35" s="385"/>
      <c r="Q35" s="385"/>
      <c r="R35" s="385"/>
    </row>
    <row r="36" spans="1:18" ht="36.5" customHeight="1">
      <c r="B36" s="20" t="s">
        <v>402</v>
      </c>
      <c r="C36" s="21" t="s">
        <v>403</v>
      </c>
      <c r="D36" s="92" t="s">
        <v>328</v>
      </c>
      <c r="E36" s="92" t="s">
        <v>328</v>
      </c>
      <c r="F36" s="93" t="s">
        <v>328</v>
      </c>
      <c r="G36" s="93"/>
      <c r="H36" s="93" t="s">
        <v>328</v>
      </c>
      <c r="I36" s="93"/>
      <c r="J36" s="93" t="s">
        <v>414</v>
      </c>
      <c r="K36" s="385"/>
      <c r="L36" s="385"/>
      <c r="M36" s="385"/>
      <c r="N36" s="385"/>
      <c r="O36" s="385"/>
      <c r="P36" s="385"/>
      <c r="Q36" s="385"/>
      <c r="R36" s="385"/>
    </row>
    <row r="37" spans="1:18" ht="36.5" customHeight="1">
      <c r="B37" s="20" t="s">
        <v>404</v>
      </c>
      <c r="C37" s="21" t="s">
        <v>405</v>
      </c>
      <c r="D37" s="92" t="s">
        <v>858</v>
      </c>
      <c r="E37" s="92" t="s">
        <v>410</v>
      </c>
      <c r="F37" s="93" t="s">
        <v>410</v>
      </c>
      <c r="G37" s="93"/>
      <c r="H37" s="85" t="s">
        <v>1281</v>
      </c>
      <c r="I37" s="85"/>
      <c r="J37" s="85" t="s">
        <v>1282</v>
      </c>
      <c r="K37" s="385"/>
      <c r="L37" s="385"/>
      <c r="M37" s="385"/>
      <c r="N37" s="385"/>
      <c r="O37" s="385"/>
      <c r="P37" s="385"/>
      <c r="Q37" s="385"/>
      <c r="R37" s="385"/>
    </row>
    <row r="38" spans="1:18" ht="36.5" customHeight="1">
      <c r="B38" s="20" t="s">
        <v>406</v>
      </c>
      <c r="C38" s="21" t="s">
        <v>407</v>
      </c>
      <c r="D38" s="92" t="s">
        <v>414</v>
      </c>
      <c r="E38" s="92" t="s">
        <v>328</v>
      </c>
      <c r="F38" s="93" t="s">
        <v>414</v>
      </c>
      <c r="G38" s="93"/>
      <c r="H38" s="93" t="s">
        <v>328</v>
      </c>
      <c r="I38" s="93"/>
      <c r="J38" s="93" t="s">
        <v>328</v>
      </c>
      <c r="K38" s="385"/>
      <c r="L38" s="385"/>
      <c r="M38" s="385"/>
      <c r="N38" s="385"/>
      <c r="O38" s="385"/>
      <c r="P38" s="385"/>
      <c r="Q38" s="385"/>
      <c r="R38" s="385"/>
    </row>
    <row r="39" spans="1:18" ht="36.5" customHeight="1">
      <c r="B39" s="20" t="s">
        <v>408</v>
      </c>
      <c r="C39" s="21" t="s">
        <v>409</v>
      </c>
      <c r="D39" s="136">
        <v>6</v>
      </c>
      <c r="E39" s="136" t="s">
        <v>682</v>
      </c>
      <c r="F39" s="93" t="s">
        <v>1163</v>
      </c>
      <c r="G39" s="93" t="s">
        <v>1163</v>
      </c>
      <c r="H39" s="93" t="s">
        <v>1163</v>
      </c>
      <c r="I39" s="93" t="s">
        <v>1163</v>
      </c>
      <c r="J39" s="93" t="s">
        <v>1163</v>
      </c>
      <c r="K39" s="385"/>
      <c r="L39" s="385"/>
      <c r="M39" s="385"/>
      <c r="N39" s="385"/>
      <c r="O39" s="385"/>
      <c r="P39" s="385"/>
      <c r="Q39" s="385"/>
      <c r="R39" s="385"/>
    </row>
    <row r="40" spans="1:18" ht="36.5" customHeight="1">
      <c r="B40" s="20" t="s">
        <v>411</v>
      </c>
      <c r="C40" s="21" t="s">
        <v>314</v>
      </c>
      <c r="D40" s="93">
        <v>46401</v>
      </c>
      <c r="E40" s="92">
        <v>46752</v>
      </c>
      <c r="F40" s="93">
        <v>46116</v>
      </c>
      <c r="G40" s="93">
        <v>46116</v>
      </c>
      <c r="H40" s="93">
        <v>46310</v>
      </c>
      <c r="I40" s="93">
        <v>46310</v>
      </c>
      <c r="J40" s="93">
        <v>46341</v>
      </c>
      <c r="K40" s="385"/>
      <c r="L40" s="385"/>
      <c r="M40" s="385"/>
      <c r="N40" s="385"/>
      <c r="O40" s="385"/>
      <c r="P40" s="385"/>
      <c r="Q40" s="385"/>
      <c r="R40" s="385"/>
    </row>
    <row r="41" spans="1:18" ht="36.5" customHeight="1">
      <c r="B41" s="22" t="s">
        <v>412</v>
      </c>
      <c r="C41" s="23" t="s">
        <v>413</v>
      </c>
      <c r="D41" s="92" t="s">
        <v>414</v>
      </c>
      <c r="E41" s="92" t="s">
        <v>328</v>
      </c>
      <c r="F41" s="92" t="s">
        <v>328</v>
      </c>
      <c r="G41" s="92"/>
      <c r="H41" s="92" t="s">
        <v>328</v>
      </c>
      <c r="I41" s="92"/>
      <c r="J41" s="92" t="s">
        <v>328</v>
      </c>
      <c r="K41" s="387"/>
      <c r="L41" s="387"/>
      <c r="M41" s="387"/>
      <c r="N41" s="387"/>
      <c r="O41" s="387"/>
      <c r="P41" s="387"/>
      <c r="Q41" s="387"/>
      <c r="R41" s="387"/>
    </row>
    <row r="42" spans="1:18" ht="36.5" customHeight="1">
      <c r="B42" s="24" t="s">
        <v>457</v>
      </c>
      <c r="C42" s="23" t="s">
        <v>458</v>
      </c>
      <c r="D42" s="95" t="s">
        <v>328</v>
      </c>
      <c r="E42" s="95"/>
      <c r="F42" s="95"/>
      <c r="G42" s="95"/>
      <c r="H42" s="95"/>
      <c r="I42" s="95"/>
      <c r="J42" s="95"/>
      <c r="K42" s="385"/>
      <c r="L42" s="385"/>
      <c r="M42" s="385"/>
      <c r="N42" s="385"/>
      <c r="O42" s="385"/>
      <c r="P42" s="385"/>
      <c r="Q42" s="385"/>
      <c r="R42" s="385"/>
    </row>
    <row r="43" spans="1:18" ht="36.5" customHeight="1">
      <c r="B43" s="25" t="s">
        <v>418</v>
      </c>
      <c r="C43" s="26" t="s">
        <v>419</v>
      </c>
      <c r="D43" s="85" t="s">
        <v>414</v>
      </c>
      <c r="E43" s="85" t="s">
        <v>1219</v>
      </c>
      <c r="F43" s="85" t="s">
        <v>1219</v>
      </c>
      <c r="G43" s="85"/>
      <c r="H43" s="85" t="s">
        <v>1219</v>
      </c>
      <c r="I43" s="85"/>
      <c r="J43" s="85" t="s">
        <v>1219</v>
      </c>
      <c r="K43" s="385"/>
      <c r="L43" s="385"/>
      <c r="M43" s="385"/>
      <c r="N43" s="385"/>
      <c r="O43" s="385"/>
      <c r="P43" s="385"/>
      <c r="Q43" s="385"/>
      <c r="R43" s="385"/>
    </row>
    <row r="44" spans="1:18" ht="36.5" customHeight="1">
      <c r="B44" s="25" t="s">
        <v>420</v>
      </c>
      <c r="C44" s="26" t="s">
        <v>421</v>
      </c>
      <c r="D44" s="85" t="s">
        <v>1283</v>
      </c>
      <c r="E44" s="85" t="s">
        <v>328</v>
      </c>
      <c r="F44" s="85" t="s">
        <v>328</v>
      </c>
      <c r="G44" s="85"/>
      <c r="H44" s="85" t="s">
        <v>1220</v>
      </c>
      <c r="I44" s="85"/>
      <c r="J44" s="85" t="s">
        <v>328</v>
      </c>
      <c r="K44" s="385"/>
      <c r="L44" s="385"/>
      <c r="M44" s="385"/>
      <c r="N44" s="385"/>
      <c r="O44" s="385"/>
      <c r="P44" s="385"/>
      <c r="Q44" s="385"/>
      <c r="R44" s="385"/>
    </row>
    <row r="45" spans="1:18" ht="36.5" customHeight="1">
      <c r="B45" s="27"/>
      <c r="C45" s="27"/>
      <c r="D45" s="27"/>
      <c r="E45" s="27"/>
      <c r="F45" s="27"/>
      <c r="G45" s="27"/>
      <c r="H45" s="27"/>
      <c r="I45" s="27"/>
      <c r="J45" s="27"/>
      <c r="K45" s="388"/>
      <c r="L45" s="388"/>
      <c r="M45" s="388"/>
      <c r="N45" s="388"/>
      <c r="O45" s="388"/>
      <c r="P45" s="388"/>
      <c r="Q45" s="388"/>
      <c r="R45" s="388"/>
    </row>
    <row r="46" spans="1:18" ht="36.5" customHeight="1">
      <c r="A46"/>
      <c r="B46" s="27" t="s">
        <v>1284</v>
      </c>
      <c r="C46" s="28" t="s">
        <v>423</v>
      </c>
      <c r="D46" s="85">
        <v>629</v>
      </c>
      <c r="E46" s="85">
        <v>854</v>
      </c>
      <c r="F46" s="85">
        <v>39</v>
      </c>
      <c r="G46" s="85"/>
      <c r="H46" s="85">
        <v>64</v>
      </c>
      <c r="I46" s="85"/>
      <c r="J46" s="85">
        <v>17</v>
      </c>
      <c r="K46" s="385"/>
      <c r="L46" s="385"/>
      <c r="M46" s="385"/>
      <c r="N46" s="385"/>
      <c r="O46" s="385"/>
      <c r="P46" s="385"/>
      <c r="Q46" s="385"/>
      <c r="R46" s="385"/>
    </row>
    <row r="47" spans="1:18" ht="36.5" customHeight="1">
      <c r="A47"/>
      <c r="B47" s="27" t="s">
        <v>1285</v>
      </c>
      <c r="C47" s="29" t="s">
        <v>424</v>
      </c>
      <c r="D47" s="85"/>
      <c r="E47" s="85">
        <v>151</v>
      </c>
      <c r="F47" s="85">
        <v>0</v>
      </c>
      <c r="G47" s="85"/>
      <c r="H47" s="85">
        <v>1</v>
      </c>
      <c r="I47" s="85"/>
      <c r="J47" s="85">
        <v>0</v>
      </c>
      <c r="K47" s="385"/>
      <c r="L47" s="385"/>
      <c r="M47" s="385"/>
      <c r="N47" s="385"/>
      <c r="O47" s="385"/>
      <c r="P47" s="385"/>
      <c r="Q47" s="385"/>
      <c r="R47" s="385"/>
    </row>
    <row r="48" spans="1:18" ht="36.5" customHeight="1">
      <c r="A48"/>
      <c r="B48" s="27" t="s">
        <v>1286</v>
      </c>
      <c r="C48" s="29" t="s">
        <v>425</v>
      </c>
      <c r="D48" s="85"/>
      <c r="E48" s="85">
        <v>703</v>
      </c>
      <c r="F48" s="85">
        <v>39</v>
      </c>
      <c r="G48" s="85"/>
      <c r="H48" s="85">
        <v>63</v>
      </c>
      <c r="I48" s="85"/>
      <c r="J48" s="85">
        <v>17</v>
      </c>
      <c r="K48" s="385"/>
      <c r="L48" s="385"/>
      <c r="M48" s="385"/>
      <c r="N48" s="385"/>
      <c r="O48" s="385"/>
      <c r="P48" s="385"/>
      <c r="Q48" s="385"/>
      <c r="R48" s="385"/>
    </row>
    <row r="49" spans="1:18" ht="10" customHeight="1">
      <c r="A49"/>
      <c r="B49" s="27"/>
      <c r="C49" s="30"/>
      <c r="D49" s="96"/>
      <c r="E49" s="96"/>
      <c r="F49" s="96"/>
      <c r="G49" s="96"/>
      <c r="H49" s="96"/>
      <c r="I49" s="96"/>
      <c r="J49" s="96"/>
      <c r="K49" s="385"/>
      <c r="L49" s="385"/>
      <c r="M49" s="385"/>
      <c r="N49" s="385"/>
      <c r="O49" s="385"/>
      <c r="P49" s="385"/>
      <c r="Q49" s="385"/>
      <c r="R49" s="385"/>
    </row>
    <row r="50" spans="1:18" ht="36.5" customHeight="1">
      <c r="A50"/>
      <c r="B50" s="27" t="s">
        <v>1287</v>
      </c>
      <c r="C50" s="28" t="s">
        <v>426</v>
      </c>
      <c r="D50" s="85">
        <v>509</v>
      </c>
      <c r="E50" s="85">
        <v>659</v>
      </c>
      <c r="F50" s="106">
        <v>77</v>
      </c>
      <c r="G50" s="85"/>
      <c r="H50" s="85">
        <v>29</v>
      </c>
      <c r="I50" s="85"/>
      <c r="J50" s="85">
        <v>13</v>
      </c>
      <c r="K50" s="385"/>
      <c r="L50" s="385"/>
      <c r="M50" s="385"/>
      <c r="N50" s="385"/>
      <c r="O50" s="385"/>
      <c r="P50" s="385"/>
      <c r="Q50" s="385"/>
      <c r="R50" s="385"/>
    </row>
    <row r="51" spans="1:18" ht="33.5" customHeight="1">
      <c r="A51"/>
      <c r="B51" s="27" t="s">
        <v>1288</v>
      </c>
      <c r="C51" s="29" t="s">
        <v>424</v>
      </c>
      <c r="D51" s="85">
        <f>+D50-D52</f>
        <v>189</v>
      </c>
      <c r="E51" s="85">
        <v>163</v>
      </c>
      <c r="F51" s="85"/>
      <c r="G51" s="85"/>
      <c r="H51" s="85"/>
      <c r="I51" s="85"/>
      <c r="J51" s="85"/>
      <c r="K51" s="385"/>
      <c r="L51" s="385"/>
      <c r="M51" s="385"/>
      <c r="N51" s="385"/>
      <c r="O51" s="385"/>
      <c r="P51" s="385"/>
      <c r="Q51" s="385"/>
      <c r="R51" s="385"/>
    </row>
    <row r="52" spans="1:18" ht="36.5" customHeight="1">
      <c r="A52"/>
      <c r="B52" s="27" t="s">
        <v>1289</v>
      </c>
      <c r="C52" s="29" t="s">
        <v>425</v>
      </c>
      <c r="D52" s="85">
        <v>320</v>
      </c>
      <c r="E52" s="85">
        <v>496</v>
      </c>
      <c r="F52" s="85">
        <v>77</v>
      </c>
      <c r="G52" s="85"/>
      <c r="H52" s="85">
        <v>29</v>
      </c>
      <c r="I52" s="85"/>
      <c r="J52" s="85">
        <v>13</v>
      </c>
      <c r="K52" s="385"/>
      <c r="L52" s="385"/>
      <c r="M52" s="385"/>
      <c r="N52" s="385"/>
      <c r="O52" s="385"/>
      <c r="P52" s="385"/>
      <c r="Q52" s="385"/>
      <c r="R52" s="385"/>
    </row>
    <row r="53" spans="1:18" ht="12" customHeight="1">
      <c r="A53"/>
      <c r="B53" s="27"/>
      <c r="C53" s="31"/>
      <c r="D53" s="96"/>
      <c r="E53" s="96"/>
      <c r="F53" s="96"/>
      <c r="G53" s="96"/>
      <c r="H53" s="96"/>
      <c r="I53" s="96"/>
      <c r="J53" s="96"/>
      <c r="K53" s="385"/>
      <c r="L53" s="385"/>
      <c r="M53" s="385"/>
      <c r="N53" s="385"/>
      <c r="O53" s="385"/>
      <c r="P53" s="385"/>
      <c r="Q53" s="385"/>
      <c r="R53" s="385"/>
    </row>
    <row r="54" spans="1:18" ht="29" customHeight="1">
      <c r="A54"/>
      <c r="B54" s="27"/>
      <c r="C54" s="28" t="s">
        <v>427</v>
      </c>
      <c r="D54" s="85" t="s">
        <v>414</v>
      </c>
      <c r="E54" s="85"/>
      <c r="F54" s="85"/>
      <c r="G54" s="85"/>
      <c r="H54" s="85"/>
      <c r="I54" s="85"/>
      <c r="J54" s="85"/>
      <c r="K54" s="385"/>
      <c r="L54" s="385"/>
      <c r="M54" s="385"/>
      <c r="N54" s="385"/>
      <c r="O54" s="385"/>
      <c r="P54" s="385"/>
      <c r="Q54" s="385"/>
      <c r="R54" s="385"/>
    </row>
    <row r="55" spans="1:18" ht="36.5" customHeight="1">
      <c r="A55"/>
      <c r="B55" s="27" t="s">
        <v>1290</v>
      </c>
      <c r="C55" s="28" t="s">
        <v>428</v>
      </c>
      <c r="D55" s="85">
        <v>35</v>
      </c>
      <c r="E55" s="85">
        <v>98</v>
      </c>
      <c r="F55" s="85">
        <v>11</v>
      </c>
      <c r="G55" s="85"/>
      <c r="H55" s="85">
        <v>37</v>
      </c>
      <c r="I55" s="85"/>
      <c r="J55" s="85">
        <v>5</v>
      </c>
      <c r="K55" s="385"/>
      <c r="L55" s="385"/>
      <c r="M55" s="385"/>
      <c r="N55" s="385"/>
      <c r="O55" s="385"/>
      <c r="P55" s="385"/>
      <c r="Q55" s="385"/>
      <c r="R55" s="385"/>
    </row>
    <row r="56" spans="1:18" ht="33.5" customHeight="1">
      <c r="A56"/>
      <c r="B56" s="27" t="s">
        <v>1290</v>
      </c>
      <c r="C56" s="330" t="s">
        <v>429</v>
      </c>
      <c r="D56" s="95">
        <v>35</v>
      </c>
      <c r="E56" s="95">
        <v>169</v>
      </c>
      <c r="F56" s="95">
        <v>19</v>
      </c>
      <c r="G56" s="95"/>
      <c r="H56" s="95">
        <v>146</v>
      </c>
      <c r="I56" s="95"/>
      <c r="J56" s="95">
        <v>5</v>
      </c>
      <c r="K56" s="385"/>
      <c r="L56" s="385"/>
      <c r="M56" s="385"/>
      <c r="N56" s="385"/>
      <c r="O56" s="385"/>
      <c r="P56" s="385"/>
      <c r="Q56" s="385"/>
      <c r="R56" s="385"/>
    </row>
    <row r="57" spans="1:18" ht="56" customHeight="1">
      <c r="A57"/>
      <c r="C57" s="331" t="s">
        <v>430</v>
      </c>
      <c r="D57" s="85">
        <v>2</v>
      </c>
      <c r="E57" s="85"/>
      <c r="F57" s="85"/>
      <c r="G57" s="85"/>
      <c r="H57" s="85"/>
      <c r="I57" s="85"/>
      <c r="J57" s="85"/>
      <c r="K57" s="385"/>
      <c r="L57" s="385"/>
      <c r="M57" s="385"/>
      <c r="N57" s="385"/>
      <c r="O57" s="385"/>
      <c r="P57" s="385"/>
      <c r="Q57" s="385"/>
      <c r="R57" s="385"/>
    </row>
    <row r="58" spans="1:18" ht="57" customHeight="1">
      <c r="C58" s="331" t="s">
        <v>431</v>
      </c>
      <c r="D58" s="85">
        <v>2</v>
      </c>
      <c r="E58" s="85"/>
      <c r="F58" s="85"/>
      <c r="G58" s="85"/>
      <c r="H58" s="85"/>
      <c r="I58" s="85"/>
      <c r="J58" s="85"/>
      <c r="K58" s="385"/>
      <c r="L58" s="385"/>
      <c r="M58" s="385"/>
      <c r="N58" s="385"/>
      <c r="O58" s="385"/>
      <c r="P58" s="385"/>
      <c r="Q58" s="385"/>
      <c r="R58" s="385"/>
    </row>
    <row r="60" spans="1:18" ht="17" customHeight="1">
      <c r="D60" s="1" t="s">
        <v>432</v>
      </c>
    </row>
    <row r="61" spans="1:18" ht="17" customHeight="1">
      <c r="D61" s="97" t="s">
        <v>433</v>
      </c>
    </row>
    <row r="62" spans="1:18" ht="17" customHeight="1">
      <c r="D62" s="98" t="s">
        <v>434</v>
      </c>
    </row>
    <row r="63" spans="1:18" ht="17" customHeight="1">
      <c r="D63" s="98" t="s">
        <v>435</v>
      </c>
    </row>
    <row r="64" spans="1:18" ht="17" customHeight="1">
      <c r="D64" s="98" t="s">
        <v>436</v>
      </c>
    </row>
    <row r="65" spans="4:4" ht="17" customHeight="1">
      <c r="D65" s="98" t="s">
        <v>437</v>
      </c>
    </row>
    <row r="66" spans="4:4" ht="17" customHeight="1">
      <c r="D66" s="98" t="s">
        <v>438</v>
      </c>
    </row>
    <row r="67" spans="4:4" ht="17" customHeight="1"/>
    <row r="68" spans="4:4" ht="17" customHeight="1">
      <c r="D68" s="99" t="s">
        <v>439</v>
      </c>
    </row>
  </sheetData>
  <mergeCells count="2">
    <mergeCell ref="C6:D6"/>
    <mergeCell ref="C7:D7"/>
  </mergeCells>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59" priority="3">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0 B32">
    <cfRule type="colorScale" priority="6">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58" priority="5">
      <formula>#REF!="Owned"</formula>
    </cfRule>
  </conditionalFormatting>
  <conditionalFormatting sqref="C27:C32">
    <cfRule type="expression" dxfId="57" priority="1">
      <formula>#REF!="Owned"</formula>
    </cfRule>
  </conditionalFormatting>
  <dataValidations count="1">
    <dataValidation type="list" allowBlank="1" showInputMessage="1" showErrorMessage="1" sqref="E6" xr:uid="{0CE639C4-DEA2-4444-82BD-731F7A79B1CB}">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0F5A-B1B6-40CE-B96B-7D79B7D72946}">
  <sheetPr codeName="Feuil40">
    <tabColor rgb="FF00B050"/>
    <pageSetUpPr fitToPage="1"/>
  </sheetPr>
  <dimension ref="B2:R68"/>
  <sheetViews>
    <sheetView zoomScale="70" zoomScaleNormal="70" workbookViewId="0">
      <selection activeCell="G25" sqref="G25"/>
    </sheetView>
  </sheetViews>
  <sheetFormatPr baseColWidth="10" defaultColWidth="9.1640625" defaultRowHeight="36.5" customHeight="1"/>
  <cols>
    <col min="1" max="1" width="19.5" style="1" customWidth="1"/>
    <col min="2" max="2" width="24.1640625" style="1" customWidth="1"/>
    <col min="3" max="3" width="25.5" style="1" customWidth="1"/>
    <col min="4" max="4" width="24.5" style="1" customWidth="1"/>
    <col min="5" max="18" width="22.83203125" style="1" customWidth="1"/>
    <col min="19" max="16384" width="9.1640625" style="1"/>
  </cols>
  <sheetData>
    <row r="2" spans="2:18" ht="36.5" customHeight="1">
      <c r="C2" s="506" t="s">
        <v>323</v>
      </c>
      <c r="D2" s="100">
        <v>45938</v>
      </c>
      <c r="E2" s="315"/>
      <c r="F2" s="3"/>
      <c r="G2" s="3"/>
      <c r="H2" s="3"/>
      <c r="I2" s="4"/>
    </row>
    <row r="4" spans="2:18" ht="36.5" customHeight="1">
      <c r="C4" s="316" t="s">
        <v>324</v>
      </c>
      <c r="D4" s="82" t="s">
        <v>111</v>
      </c>
      <c r="I4" s="5"/>
    </row>
    <row r="6" spans="2:18" ht="36.5" customHeight="1">
      <c r="B6" s="1" t="s">
        <v>326</v>
      </c>
      <c r="C6" s="589" t="s">
        <v>327</v>
      </c>
      <c r="D6" s="591"/>
      <c r="E6" s="6" t="s">
        <v>328</v>
      </c>
      <c r="F6" s="101"/>
      <c r="G6" s="101"/>
      <c r="H6" s="101"/>
    </row>
    <row r="7" spans="2:18" ht="36.5" customHeight="1">
      <c r="B7" s="1" t="s">
        <v>326</v>
      </c>
      <c r="C7" s="589" t="s">
        <v>329</v>
      </c>
      <c r="D7" s="591"/>
      <c r="E7" s="6">
        <v>1</v>
      </c>
      <c r="F7" s="101"/>
      <c r="G7" s="101"/>
      <c r="H7" s="101"/>
    </row>
    <row r="8" spans="2:18" ht="36.5" customHeight="1">
      <c r="C8" s="113"/>
      <c r="D8" s="113"/>
      <c r="E8" s="42"/>
      <c r="F8" s="101"/>
      <c r="G8" s="101"/>
      <c r="H8" s="101"/>
    </row>
    <row r="9" spans="2:18" ht="36.5" customHeight="1">
      <c r="C9" s="318" t="s">
        <v>441</v>
      </c>
      <c r="D9" s="67"/>
      <c r="E9" s="67"/>
      <c r="F9" s="67"/>
      <c r="G9" s="67"/>
      <c r="H9" s="67"/>
      <c r="I9" s="67"/>
      <c r="J9" s="67"/>
      <c r="K9" s="67"/>
      <c r="L9" s="67"/>
      <c r="M9" s="67"/>
      <c r="N9" s="67"/>
      <c r="O9" s="67"/>
      <c r="P9" s="67"/>
      <c r="Q9" s="67"/>
    </row>
    <row r="10" spans="2:18" ht="36.5" customHeight="1">
      <c r="C10" s="104" t="s">
        <v>331</v>
      </c>
      <c r="D10" s="319" t="s">
        <v>1291</v>
      </c>
      <c r="E10" s="114" t="s">
        <v>504</v>
      </c>
      <c r="F10" s="114" t="s">
        <v>334</v>
      </c>
      <c r="G10" s="114" t="s">
        <v>335</v>
      </c>
      <c r="H10" s="114" t="s">
        <v>336</v>
      </c>
      <c r="I10" s="114" t="s">
        <v>337</v>
      </c>
      <c r="J10" s="114" t="s">
        <v>338</v>
      </c>
      <c r="K10" s="114" t="s">
        <v>339</v>
      </c>
      <c r="L10" s="114" t="s">
        <v>340</v>
      </c>
      <c r="M10" s="114" t="s">
        <v>341</v>
      </c>
      <c r="N10" s="114" t="s">
        <v>342</v>
      </c>
      <c r="O10" s="114" t="s">
        <v>343</v>
      </c>
      <c r="P10" s="114" t="s">
        <v>344</v>
      </c>
      <c r="Q10" s="114" t="s">
        <v>345</v>
      </c>
      <c r="R10" s="114" t="s">
        <v>346</v>
      </c>
    </row>
    <row r="11" spans="2:18" ht="36.5" customHeight="1">
      <c r="C11" s="104" t="s">
        <v>299</v>
      </c>
      <c r="D11" s="84" t="s">
        <v>1292</v>
      </c>
      <c r="E11" s="84"/>
      <c r="F11" s="84"/>
      <c r="G11" s="84"/>
      <c r="H11" s="84"/>
      <c r="I11" s="84"/>
      <c r="J11" s="84"/>
      <c r="K11" s="84"/>
      <c r="L11" s="84"/>
      <c r="M11" s="84"/>
      <c r="N11" s="84"/>
      <c r="O11" s="84"/>
      <c r="P11" s="84"/>
      <c r="Q11" s="84"/>
      <c r="R11" s="84"/>
    </row>
    <row r="12" spans="2:18" ht="36.5" customHeight="1">
      <c r="C12" s="68"/>
      <c r="D12" s="320"/>
      <c r="E12" s="321"/>
      <c r="F12" s="321"/>
      <c r="G12" s="321"/>
      <c r="H12" s="321"/>
      <c r="I12" s="321"/>
      <c r="J12" s="322"/>
      <c r="K12" s="322"/>
      <c r="L12" s="322"/>
      <c r="M12" s="322"/>
      <c r="N12" s="322"/>
      <c r="O12" s="322"/>
      <c r="P12" s="322"/>
      <c r="Q12" s="322"/>
      <c r="R12" s="322"/>
    </row>
    <row r="13" spans="2:18" ht="36.5" customHeight="1">
      <c r="B13" s="7" t="s">
        <v>348</v>
      </c>
      <c r="C13" s="8" t="s">
        <v>349</v>
      </c>
      <c r="D13" s="118" t="s">
        <v>1293</v>
      </c>
      <c r="E13" s="118"/>
      <c r="F13" s="118"/>
      <c r="G13" s="118"/>
      <c r="H13" s="118"/>
      <c r="I13" s="118"/>
      <c r="J13" s="118"/>
      <c r="K13" s="118"/>
      <c r="L13" s="118"/>
      <c r="M13" s="118"/>
      <c r="N13" s="118"/>
      <c r="O13" s="118"/>
      <c r="P13" s="118"/>
      <c r="Q13" s="118"/>
      <c r="R13" s="118"/>
    </row>
    <row r="14" spans="2:18" ht="53.5" customHeight="1">
      <c r="B14" s="7" t="s">
        <v>352</v>
      </c>
      <c r="C14" s="8" t="s">
        <v>297</v>
      </c>
      <c r="D14" s="85" t="s">
        <v>113</v>
      </c>
      <c r="E14" s="85"/>
      <c r="F14" s="85"/>
      <c r="G14" s="85"/>
      <c r="H14" s="85"/>
      <c r="I14" s="85"/>
      <c r="J14" s="85"/>
      <c r="K14" s="85"/>
      <c r="L14" s="85"/>
      <c r="M14" s="85"/>
      <c r="N14" s="85"/>
      <c r="O14" s="85"/>
      <c r="P14" s="85"/>
      <c r="Q14" s="85"/>
      <c r="R14" s="85"/>
    </row>
    <row r="15" spans="2:18" ht="36.5" customHeight="1">
      <c r="B15" s="7" t="s">
        <v>353</v>
      </c>
      <c r="C15" s="8" t="s">
        <v>354</v>
      </c>
      <c r="D15" s="85" t="s">
        <v>114</v>
      </c>
      <c r="E15" s="85"/>
      <c r="F15" s="85"/>
      <c r="G15" s="85"/>
      <c r="H15" s="85"/>
      <c r="I15" s="85"/>
      <c r="J15" s="85"/>
      <c r="K15" s="85"/>
      <c r="L15" s="85"/>
      <c r="M15" s="85"/>
      <c r="N15" s="85"/>
      <c r="O15" s="85"/>
      <c r="P15" s="85"/>
      <c r="Q15" s="85"/>
      <c r="R15" s="85"/>
    </row>
    <row r="16" spans="2:18" ht="36.5" customHeight="1">
      <c r="B16" s="7" t="s">
        <v>355</v>
      </c>
      <c r="C16" s="8" t="s">
        <v>356</v>
      </c>
      <c r="D16" s="85">
        <v>8304</v>
      </c>
      <c r="E16" s="85"/>
      <c r="F16" s="85"/>
      <c r="G16" s="85"/>
      <c r="H16" s="85"/>
      <c r="I16" s="85"/>
      <c r="J16" s="85"/>
      <c r="K16" s="85"/>
      <c r="L16" s="85"/>
      <c r="M16" s="85"/>
      <c r="N16" s="85"/>
      <c r="O16" s="85"/>
      <c r="P16" s="85"/>
      <c r="Q16" s="85"/>
      <c r="R16" s="85"/>
    </row>
    <row r="17" spans="2:18" ht="36.5" customHeight="1">
      <c r="B17" s="7" t="s">
        <v>357</v>
      </c>
      <c r="C17" s="8" t="s">
        <v>294</v>
      </c>
      <c r="D17" s="85" t="s">
        <v>112</v>
      </c>
      <c r="E17" s="85"/>
      <c r="F17" s="85"/>
      <c r="G17" s="85"/>
      <c r="H17" s="85"/>
      <c r="I17" s="85"/>
      <c r="J17" s="85"/>
      <c r="K17" s="85"/>
      <c r="L17" s="85"/>
      <c r="M17" s="85"/>
      <c r="N17" s="85"/>
      <c r="O17" s="85"/>
      <c r="P17" s="85"/>
      <c r="Q17" s="85"/>
      <c r="R17" s="85"/>
    </row>
    <row r="18" spans="2:18" ht="36.5" customHeight="1">
      <c r="B18" s="9" t="s">
        <v>358</v>
      </c>
      <c r="C18" s="10" t="s">
        <v>359</v>
      </c>
      <c r="D18" s="85" t="s">
        <v>360</v>
      </c>
      <c r="E18" s="85"/>
      <c r="F18" s="85"/>
      <c r="G18" s="85"/>
      <c r="H18" s="85"/>
      <c r="I18" s="85"/>
      <c r="J18" s="85"/>
      <c r="K18" s="85"/>
      <c r="L18" s="85"/>
      <c r="M18" s="85"/>
      <c r="N18" s="85"/>
      <c r="O18" s="85"/>
      <c r="P18" s="85"/>
      <c r="Q18" s="85"/>
      <c r="R18" s="85"/>
    </row>
    <row r="19" spans="2:18" ht="36.5" customHeight="1">
      <c r="B19" s="9" t="s">
        <v>361</v>
      </c>
      <c r="C19" s="10" t="s">
        <v>362</v>
      </c>
      <c r="D19" s="85" t="s">
        <v>414</v>
      </c>
      <c r="E19" s="85"/>
      <c r="F19" s="85"/>
      <c r="G19" s="85"/>
      <c r="H19" s="85"/>
      <c r="I19" s="85"/>
      <c r="J19" s="85"/>
      <c r="K19" s="85"/>
      <c r="L19" s="85"/>
      <c r="M19" s="85"/>
      <c r="N19" s="85"/>
      <c r="O19" s="85"/>
      <c r="P19" s="85"/>
      <c r="Q19" s="85"/>
      <c r="R19" s="85"/>
    </row>
    <row r="20" spans="2:18" ht="36.5" customHeight="1">
      <c r="B20" s="9" t="s">
        <v>363</v>
      </c>
      <c r="C20" s="10" t="s">
        <v>364</v>
      </c>
      <c r="D20" s="85" t="s">
        <v>414</v>
      </c>
      <c r="E20" s="85"/>
      <c r="F20" s="85"/>
      <c r="G20" s="85"/>
      <c r="H20" s="85"/>
      <c r="I20" s="85"/>
      <c r="J20" s="85"/>
      <c r="K20" s="85"/>
      <c r="L20" s="85"/>
      <c r="M20" s="85"/>
      <c r="N20" s="85"/>
      <c r="O20" s="85"/>
      <c r="P20" s="85"/>
      <c r="Q20" s="85"/>
      <c r="R20" s="85"/>
    </row>
    <row r="21" spans="2:18" ht="69.5" customHeight="1">
      <c r="B21" s="11" t="s">
        <v>365</v>
      </c>
      <c r="C21" s="12" t="s">
        <v>366</v>
      </c>
      <c r="D21" s="85" t="s">
        <v>1294</v>
      </c>
      <c r="E21" s="85"/>
      <c r="F21" s="85"/>
      <c r="G21" s="85"/>
      <c r="H21" s="85"/>
      <c r="I21" s="85"/>
      <c r="J21" s="85"/>
      <c r="K21" s="85"/>
      <c r="L21" s="85"/>
      <c r="M21" s="85"/>
      <c r="N21" s="85"/>
      <c r="O21" s="85"/>
      <c r="P21" s="85"/>
      <c r="Q21" s="85"/>
      <c r="R21" s="85"/>
    </row>
    <row r="22" spans="2:18" ht="36.5" customHeight="1">
      <c r="B22" s="11" t="s">
        <v>369</v>
      </c>
      <c r="C22" s="12" t="s">
        <v>370</v>
      </c>
      <c r="D22" s="85" t="s">
        <v>1295</v>
      </c>
      <c r="E22" s="85"/>
      <c r="F22" s="85"/>
      <c r="G22" s="85"/>
      <c r="H22" s="85"/>
      <c r="I22" s="85"/>
      <c r="J22" s="85"/>
      <c r="K22" s="85"/>
      <c r="L22" s="85"/>
      <c r="M22" s="85"/>
      <c r="N22" s="85"/>
      <c r="O22" s="85"/>
      <c r="P22" s="85"/>
      <c r="Q22" s="85"/>
      <c r="R22" s="85"/>
    </row>
    <row r="23" spans="2:18" ht="36.5" customHeight="1">
      <c r="B23" s="13"/>
      <c r="C23" s="87" t="s">
        <v>374</v>
      </c>
      <c r="D23" s="131" t="s">
        <v>374</v>
      </c>
      <c r="E23" s="131"/>
      <c r="F23" s="131"/>
      <c r="G23" s="131"/>
      <c r="H23" s="131"/>
      <c r="I23" s="131"/>
      <c r="J23" s="131"/>
      <c r="K23" s="131"/>
      <c r="L23" s="131"/>
      <c r="M23" s="131"/>
      <c r="N23" s="131"/>
      <c r="O23" s="131"/>
      <c r="P23" s="131"/>
      <c r="Q23" s="131"/>
      <c r="R23" s="131"/>
    </row>
    <row r="24" spans="2:18" ht="36.5" customHeight="1">
      <c r="B24" s="13" t="s">
        <v>375</v>
      </c>
      <c r="C24" s="14" t="s">
        <v>376</v>
      </c>
      <c r="D24" s="88">
        <v>1257</v>
      </c>
      <c r="E24" s="88"/>
      <c r="F24" s="88"/>
      <c r="G24" s="88"/>
      <c r="H24" s="88"/>
      <c r="I24" s="88"/>
      <c r="J24" s="88"/>
      <c r="K24" s="88"/>
      <c r="L24" s="88"/>
      <c r="M24" s="88"/>
      <c r="N24" s="88"/>
      <c r="O24" s="88"/>
      <c r="P24" s="88"/>
      <c r="Q24" s="88"/>
      <c r="R24" s="88"/>
    </row>
    <row r="25" spans="2:18" ht="36.5" customHeight="1">
      <c r="B25" s="15" t="s">
        <v>377</v>
      </c>
      <c r="C25" s="16" t="s">
        <v>378</v>
      </c>
      <c r="D25" s="119">
        <v>14</v>
      </c>
      <c r="E25" s="119"/>
      <c r="F25" s="85"/>
      <c r="G25" s="85"/>
      <c r="H25" s="85"/>
      <c r="I25" s="85"/>
      <c r="J25" s="85"/>
      <c r="K25" s="85"/>
      <c r="L25" s="85"/>
      <c r="M25" s="85"/>
      <c r="N25" s="85"/>
      <c r="O25" s="85"/>
      <c r="P25" s="85"/>
      <c r="Q25" s="85"/>
      <c r="R25" s="85"/>
    </row>
    <row r="26" spans="2:18" ht="36.5" customHeight="1">
      <c r="B26" s="15" t="s">
        <v>380</v>
      </c>
      <c r="C26" s="16" t="s">
        <v>381</v>
      </c>
      <c r="D26" s="89" t="s">
        <v>1296</v>
      </c>
      <c r="E26" s="89"/>
      <c r="F26" s="88"/>
      <c r="G26" s="85"/>
      <c r="H26" s="85"/>
      <c r="I26" s="85"/>
      <c r="J26" s="85"/>
      <c r="K26" s="85"/>
      <c r="L26" s="85"/>
      <c r="M26" s="85"/>
      <c r="N26" s="85"/>
      <c r="O26" s="85"/>
      <c r="P26" s="85"/>
      <c r="Q26" s="85"/>
      <c r="R26" s="85"/>
    </row>
    <row r="27" spans="2:18" ht="43.5" customHeight="1">
      <c r="B27" s="323" t="s">
        <v>383</v>
      </c>
      <c r="C27" s="324" t="s">
        <v>383</v>
      </c>
      <c r="D27" s="88">
        <v>737020</v>
      </c>
      <c r="E27" s="89" t="s">
        <v>1297</v>
      </c>
      <c r="F27" s="88"/>
      <c r="G27" s="85"/>
      <c r="H27" s="85"/>
      <c r="I27" s="85"/>
      <c r="J27" s="85"/>
      <c r="K27" s="85"/>
      <c r="L27" s="85"/>
      <c r="M27" s="85"/>
      <c r="N27" s="85"/>
      <c r="O27" s="85"/>
      <c r="P27" s="85"/>
      <c r="Q27" s="85"/>
      <c r="R27" s="85"/>
    </row>
    <row r="28" spans="2:18" ht="36.5" customHeight="1">
      <c r="B28" s="15" t="s">
        <v>384</v>
      </c>
      <c r="C28" s="16" t="s">
        <v>450</v>
      </c>
      <c r="D28" s="127">
        <v>586</v>
      </c>
      <c r="E28" s="89"/>
      <c r="F28" s="88"/>
      <c r="G28" s="85"/>
      <c r="H28" s="85"/>
      <c r="I28" s="85"/>
      <c r="J28" s="85"/>
      <c r="K28" s="85"/>
      <c r="L28" s="85"/>
      <c r="M28" s="85"/>
      <c r="N28" s="85"/>
      <c r="O28" s="85"/>
      <c r="P28" s="85"/>
      <c r="Q28" s="85"/>
      <c r="R28" s="85"/>
    </row>
    <row r="29" spans="2:18" ht="36.5" customHeight="1">
      <c r="B29" s="15" t="s">
        <v>387</v>
      </c>
      <c r="C29" s="16" t="s">
        <v>388</v>
      </c>
      <c r="D29" s="89" t="s">
        <v>1298</v>
      </c>
      <c r="E29" s="89"/>
      <c r="F29" s="88"/>
      <c r="G29" s="85"/>
      <c r="H29" s="85"/>
      <c r="I29" s="85"/>
      <c r="J29" s="85"/>
      <c r="K29" s="85"/>
      <c r="L29" s="85"/>
      <c r="M29" s="85"/>
      <c r="N29" s="85"/>
      <c r="O29" s="85"/>
      <c r="P29" s="85"/>
      <c r="Q29" s="85"/>
      <c r="R29" s="85"/>
    </row>
    <row r="30" spans="2:18" ht="52.5" customHeight="1">
      <c r="B30" s="13" t="s">
        <v>390</v>
      </c>
      <c r="C30" s="17" t="s">
        <v>453</v>
      </c>
      <c r="D30" s="85" t="s">
        <v>1299</v>
      </c>
      <c r="E30" s="85"/>
      <c r="F30" s="85"/>
      <c r="G30" s="85"/>
      <c r="H30" s="85"/>
      <c r="I30" s="85"/>
      <c r="J30" s="85"/>
      <c r="K30" s="85"/>
      <c r="L30" s="85"/>
      <c r="M30" s="85"/>
      <c r="N30" s="85"/>
      <c r="O30" s="85"/>
      <c r="P30" s="85"/>
      <c r="Q30" s="85"/>
      <c r="R30" s="85"/>
    </row>
    <row r="31" spans="2:18" ht="36.5" customHeight="1">
      <c r="B31" s="326"/>
      <c r="C31" s="327" t="s">
        <v>393</v>
      </c>
      <c r="D31" s="85" t="s">
        <v>1299</v>
      </c>
      <c r="E31" s="85"/>
      <c r="F31" s="85"/>
      <c r="G31" s="85"/>
      <c r="H31" s="85"/>
      <c r="I31" s="85"/>
      <c r="J31" s="85"/>
      <c r="K31" s="85"/>
      <c r="L31" s="85"/>
      <c r="M31" s="85"/>
      <c r="N31" s="85"/>
      <c r="O31" s="85"/>
      <c r="P31" s="85"/>
      <c r="Q31" s="85"/>
      <c r="R31" s="85"/>
    </row>
    <row r="32" spans="2:18" ht="36.5" customHeight="1">
      <c r="B32" s="13" t="s">
        <v>394</v>
      </c>
      <c r="C32" s="17" t="s">
        <v>395</v>
      </c>
      <c r="D32" s="89" t="s">
        <v>1298</v>
      </c>
      <c r="E32" s="85"/>
      <c r="F32" s="85"/>
      <c r="G32" s="85"/>
      <c r="H32" s="85"/>
      <c r="I32" s="85"/>
      <c r="J32" s="85"/>
      <c r="K32" s="85"/>
      <c r="L32" s="85"/>
      <c r="M32" s="85"/>
      <c r="N32" s="85"/>
      <c r="O32" s="85"/>
      <c r="P32" s="85"/>
      <c r="Q32" s="85"/>
      <c r="R32" s="85"/>
    </row>
    <row r="33" spans="2:18" ht="36.5" customHeight="1">
      <c r="B33" s="18" t="s">
        <v>397</v>
      </c>
      <c r="C33" s="19" t="s">
        <v>313</v>
      </c>
      <c r="D33" s="91">
        <v>44105</v>
      </c>
      <c r="E33" s="91"/>
      <c r="F33" s="91"/>
      <c r="G33" s="91"/>
      <c r="H33" s="91"/>
      <c r="I33" s="91"/>
      <c r="J33" s="85"/>
      <c r="K33" s="85"/>
      <c r="L33" s="85"/>
      <c r="M33" s="85"/>
      <c r="N33" s="85"/>
      <c r="O33" s="85"/>
      <c r="P33" s="85"/>
      <c r="Q33" s="85"/>
      <c r="R33" s="85"/>
    </row>
    <row r="34" spans="2:18" ht="36.5" customHeight="1">
      <c r="B34" s="20" t="s">
        <v>398</v>
      </c>
      <c r="C34" s="19" t="s">
        <v>315</v>
      </c>
      <c r="D34" s="91">
        <v>47483</v>
      </c>
      <c r="E34" s="91"/>
      <c r="F34" s="91"/>
      <c r="G34" s="91"/>
      <c r="H34" s="91"/>
      <c r="I34" s="91"/>
      <c r="J34" s="85"/>
      <c r="K34" s="85"/>
      <c r="L34" s="85"/>
      <c r="M34" s="85"/>
      <c r="N34" s="85"/>
      <c r="O34" s="85"/>
      <c r="P34" s="85"/>
      <c r="Q34" s="85"/>
      <c r="R34" s="85"/>
    </row>
    <row r="35" spans="2:18" ht="36.5" customHeight="1">
      <c r="B35" s="20" t="s">
        <v>399</v>
      </c>
      <c r="C35" s="19" t="s">
        <v>400</v>
      </c>
      <c r="D35" s="85" t="s">
        <v>410</v>
      </c>
      <c r="E35" s="85"/>
      <c r="F35" s="85"/>
      <c r="G35" s="85"/>
      <c r="H35" s="85"/>
      <c r="I35" s="85"/>
      <c r="J35" s="85"/>
      <c r="K35" s="85"/>
      <c r="L35" s="85"/>
      <c r="M35" s="85"/>
      <c r="N35" s="85"/>
      <c r="O35" s="85"/>
      <c r="P35" s="85"/>
      <c r="Q35" s="85"/>
      <c r="R35" s="85"/>
    </row>
    <row r="36" spans="2:18" ht="36.5" customHeight="1">
      <c r="B36" s="20" t="s">
        <v>402</v>
      </c>
      <c r="C36" s="21" t="s">
        <v>403</v>
      </c>
      <c r="D36" s="92" t="s">
        <v>681</v>
      </c>
      <c r="E36" s="92"/>
      <c r="F36" s="93"/>
      <c r="G36" s="93"/>
      <c r="H36" s="93"/>
      <c r="I36" s="93"/>
      <c r="J36" s="85"/>
      <c r="K36" s="85"/>
      <c r="L36" s="85"/>
      <c r="M36" s="85"/>
      <c r="N36" s="85"/>
      <c r="O36" s="85"/>
      <c r="P36" s="85"/>
      <c r="Q36" s="85"/>
      <c r="R36" s="85"/>
    </row>
    <row r="37" spans="2:18" ht="36.5" customHeight="1">
      <c r="B37" s="20" t="s">
        <v>404</v>
      </c>
      <c r="C37" s="21" t="s">
        <v>405</v>
      </c>
      <c r="D37" s="93" t="s">
        <v>410</v>
      </c>
      <c r="E37" s="92"/>
      <c r="F37" s="93"/>
      <c r="G37" s="93"/>
      <c r="H37" s="93"/>
      <c r="I37" s="93"/>
      <c r="J37" s="85"/>
      <c r="K37" s="85"/>
      <c r="L37" s="85"/>
      <c r="M37" s="85"/>
      <c r="N37" s="85"/>
      <c r="O37" s="85"/>
      <c r="P37" s="85"/>
      <c r="Q37" s="85"/>
      <c r="R37" s="85"/>
    </row>
    <row r="38" spans="2:18" ht="98">
      <c r="B38" s="20" t="s">
        <v>406</v>
      </c>
      <c r="C38" s="21" t="s">
        <v>407</v>
      </c>
      <c r="D38" s="92" t="s">
        <v>1300</v>
      </c>
      <c r="E38" s="92"/>
      <c r="F38" s="93"/>
      <c r="G38" s="93"/>
      <c r="H38" s="93"/>
      <c r="I38" s="93"/>
      <c r="J38" s="85"/>
      <c r="K38" s="85"/>
      <c r="L38" s="85"/>
      <c r="M38" s="85"/>
      <c r="N38" s="85"/>
      <c r="O38" s="85"/>
      <c r="P38" s="85"/>
      <c r="Q38" s="85"/>
      <c r="R38" s="85"/>
    </row>
    <row r="39" spans="2:18" ht="36.5" customHeight="1">
      <c r="B39" s="20" t="s">
        <v>408</v>
      </c>
      <c r="C39" s="21" t="s">
        <v>409</v>
      </c>
      <c r="D39" s="136" t="s">
        <v>410</v>
      </c>
      <c r="E39" s="136"/>
      <c r="F39" s="95"/>
      <c r="G39" s="93"/>
      <c r="H39" s="93"/>
      <c r="I39" s="93"/>
      <c r="J39" s="85"/>
      <c r="K39" s="85"/>
      <c r="L39" s="85"/>
      <c r="M39" s="85"/>
      <c r="N39" s="85"/>
      <c r="O39" s="85"/>
      <c r="P39" s="85"/>
      <c r="Q39" s="85"/>
      <c r="R39" s="85"/>
    </row>
    <row r="40" spans="2:18" ht="36.5" customHeight="1">
      <c r="B40" s="20" t="s">
        <v>411</v>
      </c>
      <c r="C40" s="21" t="s">
        <v>314</v>
      </c>
      <c r="D40" s="92">
        <v>47483</v>
      </c>
      <c r="E40" s="92"/>
      <c r="F40" s="93"/>
      <c r="G40" s="93"/>
      <c r="H40" s="93"/>
      <c r="I40" s="93"/>
      <c r="J40" s="85"/>
      <c r="K40" s="85"/>
      <c r="L40" s="85"/>
      <c r="M40" s="85"/>
      <c r="N40" s="85"/>
      <c r="O40" s="85"/>
      <c r="P40" s="85"/>
      <c r="Q40" s="85"/>
      <c r="R40" s="85"/>
    </row>
    <row r="41" spans="2:18" ht="36.5" customHeight="1">
      <c r="B41" s="22" t="s">
        <v>412</v>
      </c>
      <c r="C41" s="23" t="s">
        <v>413</v>
      </c>
      <c r="D41" s="92" t="s">
        <v>1301</v>
      </c>
      <c r="E41" s="92"/>
      <c r="F41" s="92"/>
      <c r="G41" s="92"/>
      <c r="H41" s="92"/>
      <c r="I41" s="92"/>
      <c r="J41" s="92"/>
      <c r="K41" s="92"/>
      <c r="L41" s="92"/>
      <c r="M41" s="92"/>
      <c r="N41" s="92"/>
      <c r="O41" s="92"/>
      <c r="P41" s="92"/>
      <c r="Q41" s="92"/>
      <c r="R41" s="92"/>
    </row>
    <row r="42" spans="2:18" ht="36.5" customHeight="1">
      <c r="B42" s="24" t="s">
        <v>457</v>
      </c>
      <c r="C42" s="23" t="s">
        <v>458</v>
      </c>
      <c r="D42" s="95" t="s">
        <v>328</v>
      </c>
      <c r="E42" s="95"/>
      <c r="F42" s="95"/>
      <c r="G42" s="95"/>
      <c r="H42" s="95"/>
      <c r="I42" s="95"/>
      <c r="J42" s="95"/>
      <c r="K42" s="95"/>
      <c r="L42" s="95"/>
      <c r="M42" s="95"/>
      <c r="N42" s="95"/>
      <c r="O42" s="95"/>
      <c r="P42" s="95"/>
      <c r="Q42" s="95"/>
      <c r="R42" s="95"/>
    </row>
    <row r="43" spans="2:18" ht="36.5" customHeight="1">
      <c r="B43" s="25" t="s">
        <v>418</v>
      </c>
      <c r="C43" s="26" t="s">
        <v>419</v>
      </c>
      <c r="D43" s="85" t="s">
        <v>414</v>
      </c>
      <c r="E43" s="85"/>
      <c r="F43" s="85"/>
      <c r="G43" s="85"/>
      <c r="H43" s="85"/>
      <c r="I43" s="85"/>
      <c r="J43" s="85"/>
      <c r="K43" s="85"/>
      <c r="L43" s="85"/>
      <c r="M43" s="85"/>
      <c r="N43" s="85"/>
      <c r="O43" s="85"/>
      <c r="P43" s="85"/>
      <c r="Q43" s="85"/>
      <c r="R43" s="85"/>
    </row>
    <row r="44" spans="2:18" ht="36.5" customHeight="1">
      <c r="B44" s="25" t="s">
        <v>420</v>
      </c>
      <c r="C44" s="26" t="s">
        <v>421</v>
      </c>
      <c r="D44" s="85" t="s">
        <v>1302</v>
      </c>
      <c r="E44" s="85"/>
      <c r="F44" s="85"/>
      <c r="G44" s="85"/>
      <c r="H44" s="85"/>
      <c r="I44" s="85"/>
      <c r="J44" s="85"/>
      <c r="K44" s="85"/>
      <c r="L44" s="85"/>
      <c r="M44" s="85"/>
      <c r="N44" s="85"/>
      <c r="O44" s="85"/>
      <c r="P44" s="85"/>
      <c r="Q44" s="85"/>
      <c r="R44" s="85"/>
    </row>
    <row r="45" spans="2:18" ht="36.5" customHeight="1">
      <c r="B45" s="27"/>
      <c r="C45" s="27"/>
      <c r="D45" s="27"/>
      <c r="E45" s="27"/>
      <c r="F45" s="27"/>
      <c r="G45" s="27"/>
      <c r="H45" s="27"/>
      <c r="I45" s="27"/>
      <c r="J45" s="27"/>
      <c r="K45" s="27"/>
      <c r="L45" s="27"/>
      <c r="M45" s="27"/>
      <c r="N45" s="27"/>
      <c r="O45" s="27"/>
      <c r="P45" s="27"/>
      <c r="Q45" s="27"/>
      <c r="R45" s="27"/>
    </row>
    <row r="46" spans="2:18" ht="36.5" customHeight="1">
      <c r="B46" s="27"/>
      <c r="C46" s="28" t="s">
        <v>423</v>
      </c>
      <c r="D46" s="85">
        <v>152</v>
      </c>
      <c r="E46" s="85"/>
      <c r="F46" s="85"/>
      <c r="G46" s="85"/>
      <c r="H46" s="85"/>
      <c r="I46" s="85"/>
      <c r="J46" s="85"/>
      <c r="K46" s="85"/>
      <c r="L46" s="85"/>
      <c r="M46" s="85"/>
      <c r="N46" s="85"/>
      <c r="O46" s="85"/>
      <c r="P46" s="85"/>
      <c r="Q46" s="85"/>
      <c r="R46" s="85"/>
    </row>
    <row r="47" spans="2:18" ht="36.5" customHeight="1">
      <c r="B47" s="27"/>
      <c r="C47" s="29" t="s">
        <v>424</v>
      </c>
      <c r="D47" s="85">
        <v>38</v>
      </c>
      <c r="E47" s="85"/>
      <c r="F47" s="85"/>
      <c r="G47" s="85"/>
      <c r="H47" s="85"/>
      <c r="I47" s="85"/>
      <c r="J47" s="85"/>
      <c r="K47" s="85"/>
      <c r="L47" s="85"/>
      <c r="M47" s="85"/>
      <c r="N47" s="85"/>
      <c r="O47" s="85"/>
      <c r="P47" s="85"/>
      <c r="Q47" s="85"/>
      <c r="R47" s="85"/>
    </row>
    <row r="48" spans="2:18" ht="36.5" customHeight="1">
      <c r="B48" s="27"/>
      <c r="C48" s="29" t="s">
        <v>425</v>
      </c>
      <c r="D48" s="85">
        <v>114</v>
      </c>
      <c r="E48" s="85"/>
      <c r="F48" s="85"/>
      <c r="G48" s="85"/>
      <c r="H48" s="85"/>
      <c r="I48" s="85"/>
      <c r="J48" s="85"/>
      <c r="K48" s="85"/>
      <c r="L48" s="85"/>
      <c r="M48" s="85"/>
      <c r="N48" s="85"/>
      <c r="O48" s="85"/>
      <c r="P48" s="85"/>
      <c r="Q48" s="85"/>
      <c r="R48" s="85"/>
    </row>
    <row r="49" spans="2:18" ht="10" customHeight="1">
      <c r="B49" s="27"/>
      <c r="C49" s="30"/>
      <c r="D49" s="389"/>
      <c r="E49" s="96"/>
      <c r="F49" s="96"/>
      <c r="G49" s="96"/>
      <c r="H49" s="96"/>
      <c r="I49" s="96"/>
      <c r="J49" s="96"/>
      <c r="K49" s="96"/>
      <c r="L49" s="96"/>
      <c r="M49" s="96"/>
      <c r="N49" s="96"/>
      <c r="O49" s="96"/>
      <c r="P49" s="96"/>
      <c r="Q49" s="96"/>
      <c r="R49" s="96"/>
    </row>
    <row r="50" spans="2:18" ht="36.5" customHeight="1">
      <c r="B50" s="27"/>
      <c r="C50" s="28" t="s">
        <v>426</v>
      </c>
      <c r="D50" s="85">
        <v>130</v>
      </c>
      <c r="E50" s="85"/>
      <c r="F50" s="85"/>
      <c r="G50" s="85"/>
      <c r="H50" s="85"/>
      <c r="I50" s="85"/>
      <c r="J50" s="85"/>
      <c r="K50" s="85"/>
      <c r="L50" s="85"/>
      <c r="M50" s="85"/>
      <c r="N50" s="85"/>
      <c r="O50" s="85"/>
      <c r="P50" s="85"/>
      <c r="Q50" s="85"/>
      <c r="R50" s="85"/>
    </row>
    <row r="51" spans="2:18" ht="33.5" customHeight="1">
      <c r="B51" s="27"/>
      <c r="C51" s="29" t="s">
        <v>424</v>
      </c>
      <c r="D51" s="85">
        <v>30</v>
      </c>
      <c r="E51" s="85"/>
      <c r="F51" s="85"/>
      <c r="G51" s="85"/>
      <c r="H51" s="85"/>
      <c r="I51" s="85"/>
      <c r="J51" s="85"/>
      <c r="K51" s="85"/>
      <c r="L51" s="85"/>
      <c r="M51" s="85"/>
      <c r="N51" s="85"/>
      <c r="O51" s="85"/>
      <c r="P51" s="85"/>
      <c r="Q51" s="85"/>
      <c r="R51" s="85"/>
    </row>
    <row r="52" spans="2:18" ht="36.5" customHeight="1">
      <c r="B52" s="27"/>
      <c r="C52" s="29" t="s">
        <v>425</v>
      </c>
      <c r="D52" s="85">
        <v>100</v>
      </c>
      <c r="E52" s="85"/>
      <c r="F52" s="85"/>
      <c r="G52" s="85"/>
      <c r="H52" s="85"/>
      <c r="I52" s="85"/>
      <c r="J52" s="85"/>
      <c r="K52" s="85"/>
      <c r="L52" s="85"/>
      <c r="M52" s="85"/>
      <c r="N52" s="85"/>
      <c r="O52" s="85"/>
      <c r="P52" s="85"/>
      <c r="Q52" s="85"/>
      <c r="R52" s="85"/>
    </row>
    <row r="53" spans="2:18" ht="12" customHeight="1">
      <c r="B53" s="27"/>
      <c r="C53" s="31"/>
      <c r="D53" s="389"/>
      <c r="E53" s="96"/>
      <c r="F53" s="96"/>
      <c r="G53" s="96"/>
      <c r="H53" s="96"/>
      <c r="I53" s="96"/>
      <c r="J53" s="96"/>
      <c r="K53" s="96"/>
      <c r="L53" s="96"/>
      <c r="M53" s="96"/>
      <c r="N53" s="96"/>
      <c r="O53" s="96"/>
      <c r="P53" s="96"/>
      <c r="Q53" s="96"/>
      <c r="R53" s="96"/>
    </row>
    <row r="54" spans="2:18" ht="29" customHeight="1">
      <c r="B54" s="27"/>
      <c r="C54" s="28" t="s">
        <v>427</v>
      </c>
      <c r="D54" s="85" t="s">
        <v>414</v>
      </c>
      <c r="E54" s="85"/>
      <c r="F54" s="85"/>
      <c r="G54" s="85"/>
      <c r="H54" s="85"/>
      <c r="I54" s="85"/>
      <c r="J54" s="85"/>
      <c r="K54" s="85"/>
      <c r="L54" s="85"/>
      <c r="M54" s="85"/>
      <c r="N54" s="85"/>
      <c r="O54" s="85"/>
      <c r="P54" s="85"/>
      <c r="Q54" s="85"/>
      <c r="R54" s="85"/>
    </row>
    <row r="55" spans="2:18" ht="36.5" customHeight="1">
      <c r="B55" s="27"/>
      <c r="C55" s="28" t="s">
        <v>428</v>
      </c>
      <c r="D55" s="85">
        <v>1</v>
      </c>
      <c r="E55" s="85"/>
      <c r="F55" s="85"/>
      <c r="G55" s="85"/>
      <c r="H55" s="85"/>
      <c r="I55" s="85"/>
      <c r="J55" s="85"/>
      <c r="K55" s="85"/>
      <c r="L55" s="85"/>
      <c r="M55" s="85"/>
      <c r="N55" s="85"/>
      <c r="O55" s="85"/>
      <c r="P55" s="85"/>
      <c r="Q55" s="85"/>
      <c r="R55" s="85"/>
    </row>
    <row r="56" spans="2:18" ht="33.5" customHeight="1">
      <c r="B56" s="27"/>
      <c r="C56" s="330" t="s">
        <v>429</v>
      </c>
      <c r="D56" s="95">
        <v>3</v>
      </c>
      <c r="E56" s="95"/>
      <c r="F56" s="95"/>
      <c r="G56" s="95"/>
      <c r="H56" s="95"/>
      <c r="I56" s="95"/>
      <c r="J56" s="95"/>
      <c r="K56" s="95"/>
      <c r="L56" s="95"/>
      <c r="M56" s="95"/>
      <c r="N56" s="95"/>
      <c r="O56" s="95"/>
      <c r="P56" s="95"/>
      <c r="Q56" s="95"/>
      <c r="R56" s="95"/>
    </row>
    <row r="57" spans="2:18" ht="56" customHeight="1">
      <c r="C57" s="331" t="s">
        <v>430</v>
      </c>
      <c r="D57" s="390" t="s">
        <v>1303</v>
      </c>
      <c r="E57" s="71"/>
      <c r="F57" s="71"/>
      <c r="G57" s="71"/>
      <c r="H57" s="71"/>
      <c r="I57" s="71"/>
      <c r="J57" s="71"/>
      <c r="K57" s="71"/>
      <c r="L57" s="71"/>
      <c r="M57" s="71"/>
      <c r="N57" s="71"/>
      <c r="O57" s="71"/>
      <c r="P57" s="71"/>
      <c r="Q57" s="71"/>
      <c r="R57" s="71"/>
    </row>
    <row r="58" spans="2:18" ht="57" customHeight="1">
      <c r="C58" s="331" t="s">
        <v>431</v>
      </c>
      <c r="D58" s="390" t="s">
        <v>1303</v>
      </c>
      <c r="E58" s="71"/>
      <c r="F58" s="71"/>
      <c r="G58" s="71"/>
      <c r="H58" s="71"/>
      <c r="I58" s="71"/>
      <c r="J58" s="71"/>
      <c r="K58" s="71"/>
      <c r="L58" s="71"/>
      <c r="M58" s="71"/>
      <c r="N58" s="71"/>
      <c r="O58" s="71"/>
      <c r="P58" s="71"/>
      <c r="Q58" s="71"/>
      <c r="R58" s="71"/>
    </row>
    <row r="60" spans="2:18" ht="17" customHeight="1">
      <c r="D60" s="1" t="s">
        <v>432</v>
      </c>
    </row>
    <row r="61" spans="2:18" ht="17" customHeight="1">
      <c r="D61" s="97" t="s">
        <v>433</v>
      </c>
    </row>
    <row r="62" spans="2:18" ht="17" customHeight="1">
      <c r="D62" s="98" t="s">
        <v>434</v>
      </c>
    </row>
    <row r="63" spans="2:18" ht="17" customHeight="1">
      <c r="D63" s="98" t="s">
        <v>435</v>
      </c>
    </row>
    <row r="64" spans="2:18" ht="17" customHeight="1">
      <c r="D64" s="98" t="s">
        <v>436</v>
      </c>
    </row>
    <row r="65" spans="4:4" ht="17" customHeight="1">
      <c r="D65" s="98" t="s">
        <v>437</v>
      </c>
    </row>
    <row r="66" spans="4:4" ht="17" customHeight="1">
      <c r="D66" s="98" t="s">
        <v>438</v>
      </c>
    </row>
    <row r="67" spans="4:4" ht="17" customHeight="1"/>
    <row r="68" spans="4:4" ht="17" customHeight="1">
      <c r="D68" s="99" t="s">
        <v>439</v>
      </c>
    </row>
  </sheetData>
  <mergeCells count="2">
    <mergeCell ref="C6:D6"/>
    <mergeCell ref="C7:D7"/>
  </mergeCells>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56" priority="3">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2 B30">
    <cfRule type="colorScale" priority="6">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55" priority="5">
      <formula>#REF!="Owned"</formula>
    </cfRule>
  </conditionalFormatting>
  <conditionalFormatting sqref="C27:C32">
    <cfRule type="expression" dxfId="54" priority="1">
      <formula>#REF!="Owned"</formula>
    </cfRule>
  </conditionalFormatting>
  <dataValidations count="1">
    <dataValidation type="list" allowBlank="1" showInputMessage="1" showErrorMessage="1" sqref="E6" xr:uid="{2BC07107-D8B6-43BB-8E56-64F24BDF737B}">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EB03E-E2B6-4533-896C-E39366E49546}">
  <sheetPr codeName="Feuil41">
    <tabColor rgb="FF00B050"/>
    <pageSetUpPr fitToPage="1"/>
  </sheetPr>
  <dimension ref="B1:R96"/>
  <sheetViews>
    <sheetView topLeftCell="A8" zoomScale="85" zoomScaleNormal="85" workbookViewId="0">
      <selection activeCell="E8" sqref="E8"/>
    </sheetView>
  </sheetViews>
  <sheetFormatPr baseColWidth="10" defaultColWidth="9.1640625" defaultRowHeight="14"/>
  <cols>
    <col min="1" max="1" width="19.5" style="253" customWidth="1"/>
    <col min="2" max="2" width="24.1640625" style="253" customWidth="1"/>
    <col min="3" max="3" width="23.1640625" style="253" customWidth="1"/>
    <col min="4" max="4" width="24.33203125" style="72" customWidth="1"/>
    <col min="5" max="5" width="22.83203125" style="72" customWidth="1"/>
    <col min="6" max="6" width="21" style="72" customWidth="1"/>
    <col min="7" max="18" width="22.83203125" style="253" customWidth="1"/>
    <col min="19" max="16384" width="9.1640625" style="253"/>
  </cols>
  <sheetData>
    <row r="1" spans="2:18" ht="7.5" customHeight="1"/>
    <row r="2" spans="2:18">
      <c r="C2" s="507" t="s">
        <v>323</v>
      </c>
      <c r="D2" s="502">
        <v>46058</v>
      </c>
      <c r="E2" s="255"/>
      <c r="G2" s="256"/>
      <c r="H2" s="256"/>
      <c r="I2" s="257"/>
    </row>
    <row r="4" spans="2:18" ht="13">
      <c r="C4" s="254" t="s">
        <v>324</v>
      </c>
      <c r="D4" s="258" t="s">
        <v>192</v>
      </c>
      <c r="E4" s="258" t="s">
        <v>192</v>
      </c>
      <c r="F4" s="258"/>
      <c r="G4" s="259"/>
      <c r="H4" s="259"/>
      <c r="I4" s="260"/>
    </row>
    <row r="5" spans="2:18" ht="15.75" customHeight="1">
      <c r="C5" s="261"/>
      <c r="D5" s="262"/>
      <c r="E5" s="263"/>
    </row>
    <row r="6" spans="2:18" ht="26.25" customHeight="1">
      <c r="B6" s="253" t="s">
        <v>326</v>
      </c>
      <c r="C6" s="599" t="s">
        <v>327</v>
      </c>
      <c r="D6" s="599"/>
      <c r="E6" s="264" t="s">
        <v>414</v>
      </c>
      <c r="G6" s="265"/>
      <c r="H6" s="265"/>
    </row>
    <row r="7" spans="2:18" ht="26.25" customHeight="1">
      <c r="B7" s="253" t="s">
        <v>326</v>
      </c>
      <c r="C7" s="599" t="s">
        <v>329</v>
      </c>
      <c r="D7" s="599"/>
      <c r="E7" s="266">
        <v>2</v>
      </c>
      <c r="F7" s="267"/>
      <c r="G7" s="265"/>
      <c r="H7" s="265"/>
    </row>
    <row r="8" spans="2:18" ht="24.5" customHeight="1">
      <c r="D8" s="253"/>
      <c r="E8" s="253"/>
      <c r="F8" s="253"/>
    </row>
    <row r="9" spans="2:18" ht="26" customHeight="1">
      <c r="C9" s="268" t="s">
        <v>330</v>
      </c>
      <c r="D9" s="269"/>
      <c r="E9" s="269"/>
      <c r="F9" s="269"/>
      <c r="G9" s="269"/>
      <c r="H9" s="269"/>
      <c r="I9" s="269"/>
      <c r="J9" s="269"/>
      <c r="K9" s="269"/>
      <c r="L9" s="269"/>
      <c r="M9" s="269"/>
      <c r="N9" s="269"/>
      <c r="O9" s="269"/>
      <c r="P9" s="269"/>
      <c r="Q9" s="269"/>
      <c r="R9" s="269"/>
    </row>
    <row r="10" spans="2:18" ht="15" customHeight="1">
      <c r="C10" s="251" t="s">
        <v>331</v>
      </c>
      <c r="D10" s="74" t="s">
        <v>1304</v>
      </c>
      <c r="E10" s="74" t="s">
        <v>1305</v>
      </c>
      <c r="F10" s="74" t="s">
        <v>334</v>
      </c>
      <c r="G10" s="270" t="s">
        <v>335</v>
      </c>
      <c r="H10" s="270" t="s">
        <v>336</v>
      </c>
      <c r="I10" s="270" t="s">
        <v>337</v>
      </c>
      <c r="J10" s="270" t="s">
        <v>338</v>
      </c>
      <c r="K10" s="270" t="s">
        <v>339</v>
      </c>
      <c r="L10" s="270" t="s">
        <v>340</v>
      </c>
      <c r="M10" s="270" t="s">
        <v>341</v>
      </c>
      <c r="N10" s="270" t="s">
        <v>342</v>
      </c>
      <c r="O10" s="270" t="s">
        <v>343</v>
      </c>
      <c r="P10" s="270" t="s">
        <v>344</v>
      </c>
      <c r="Q10" s="270" t="s">
        <v>345</v>
      </c>
      <c r="R10" s="270" t="s">
        <v>346</v>
      </c>
    </row>
    <row r="11" spans="2:18" ht="15" customHeight="1">
      <c r="C11" s="251" t="s">
        <v>299</v>
      </c>
      <c r="D11" s="74" t="s">
        <v>1306</v>
      </c>
      <c r="E11" s="74" t="s">
        <v>1307</v>
      </c>
      <c r="F11" s="74"/>
      <c r="G11" s="270"/>
      <c r="H11" s="270"/>
      <c r="I11" s="270"/>
      <c r="J11" s="270"/>
      <c r="K11" s="270"/>
      <c r="L11" s="270"/>
      <c r="M11" s="270"/>
      <c r="N11" s="270"/>
      <c r="O11" s="270"/>
      <c r="P11" s="270"/>
      <c r="Q11" s="270"/>
      <c r="R11" s="270"/>
    </row>
    <row r="12" spans="2:18" ht="15" customHeight="1">
      <c r="C12" s="271"/>
      <c r="D12" s="272"/>
      <c r="E12" s="273"/>
      <c r="F12" s="273"/>
      <c r="G12" s="274"/>
      <c r="H12" s="274"/>
      <c r="I12" s="274"/>
      <c r="J12" s="275"/>
      <c r="K12" s="275"/>
      <c r="L12" s="275"/>
      <c r="M12" s="275"/>
      <c r="N12" s="275"/>
      <c r="O12" s="275"/>
      <c r="P12" s="275"/>
      <c r="Q12" s="275"/>
      <c r="R12" s="275"/>
    </row>
    <row r="13" spans="2:18" ht="30" customHeight="1">
      <c r="B13" s="7" t="s">
        <v>348</v>
      </c>
      <c r="C13" s="8" t="s">
        <v>349</v>
      </c>
      <c r="D13" s="75" t="s">
        <v>1308</v>
      </c>
      <c r="E13" s="75" t="s">
        <v>1309</v>
      </c>
      <c r="F13" s="75"/>
      <c r="G13" s="276"/>
      <c r="H13" s="276"/>
      <c r="I13" s="276"/>
      <c r="J13" s="276"/>
      <c r="K13" s="276"/>
      <c r="L13" s="276"/>
      <c r="M13" s="276"/>
      <c r="N13" s="276"/>
      <c r="O13" s="276"/>
      <c r="P13" s="276"/>
      <c r="Q13" s="276"/>
      <c r="R13" s="276"/>
    </row>
    <row r="14" spans="2:18" ht="77.25" customHeight="1">
      <c r="B14" s="7" t="s">
        <v>352</v>
      </c>
      <c r="C14" s="8" t="s">
        <v>297</v>
      </c>
      <c r="D14" s="75" t="s">
        <v>194</v>
      </c>
      <c r="E14" s="75" t="s">
        <v>196</v>
      </c>
      <c r="F14" s="75"/>
      <c r="G14" s="276"/>
      <c r="H14" s="276"/>
      <c r="I14" s="276"/>
      <c r="J14" s="276"/>
      <c r="K14" s="276"/>
      <c r="L14" s="276"/>
      <c r="M14" s="276"/>
      <c r="N14" s="276"/>
      <c r="O14" s="276"/>
      <c r="P14" s="276"/>
      <c r="Q14" s="276"/>
      <c r="R14" s="276"/>
    </row>
    <row r="15" spans="2:18" ht="30" customHeight="1">
      <c r="B15" s="7" t="s">
        <v>353</v>
      </c>
      <c r="C15" s="8" t="s">
        <v>354</v>
      </c>
      <c r="D15" s="75" t="s">
        <v>195</v>
      </c>
      <c r="E15" s="75" t="s">
        <v>195</v>
      </c>
      <c r="F15" s="75"/>
      <c r="G15" s="276"/>
      <c r="H15" s="276"/>
      <c r="I15" s="276"/>
      <c r="J15" s="276"/>
      <c r="K15" s="276"/>
      <c r="L15" s="276"/>
      <c r="M15" s="276"/>
      <c r="N15" s="276"/>
      <c r="O15" s="276"/>
      <c r="P15" s="276"/>
      <c r="Q15" s="276"/>
      <c r="R15" s="276"/>
    </row>
    <row r="16" spans="2:18" ht="50.5" customHeight="1">
      <c r="B16" s="7" t="s">
        <v>355</v>
      </c>
      <c r="C16" s="8" t="s">
        <v>356</v>
      </c>
      <c r="D16" s="75">
        <v>10400</v>
      </c>
      <c r="E16" s="75">
        <v>10260</v>
      </c>
      <c r="F16" s="75"/>
      <c r="G16" s="276"/>
      <c r="H16" s="276"/>
      <c r="I16" s="276"/>
      <c r="J16" s="276"/>
      <c r="K16" s="276"/>
      <c r="L16" s="276"/>
      <c r="M16" s="276"/>
      <c r="N16" s="276"/>
      <c r="O16" s="276"/>
      <c r="P16" s="276"/>
      <c r="Q16" s="276"/>
      <c r="R16" s="276"/>
    </row>
    <row r="17" spans="2:18" ht="15" customHeight="1">
      <c r="B17" s="7" t="s">
        <v>357</v>
      </c>
      <c r="C17" s="8" t="s">
        <v>294</v>
      </c>
      <c r="D17" s="75" t="s">
        <v>193</v>
      </c>
      <c r="E17" s="75" t="s">
        <v>193</v>
      </c>
      <c r="F17" s="75"/>
      <c r="G17" s="276"/>
      <c r="H17" s="276"/>
      <c r="I17" s="276"/>
      <c r="J17" s="276"/>
      <c r="K17" s="276"/>
      <c r="L17" s="276"/>
      <c r="M17" s="276"/>
      <c r="N17" s="276"/>
      <c r="O17" s="276"/>
      <c r="P17" s="276"/>
      <c r="Q17" s="276"/>
      <c r="R17" s="276"/>
    </row>
    <row r="18" spans="2:18" ht="15" customHeight="1">
      <c r="B18" s="9" t="s">
        <v>358</v>
      </c>
      <c r="C18" s="10" t="s">
        <v>359</v>
      </c>
      <c r="D18" s="75" t="s">
        <v>360</v>
      </c>
      <c r="E18" s="75" t="s">
        <v>360</v>
      </c>
      <c r="F18" s="75"/>
      <c r="G18" s="276"/>
      <c r="H18" s="276"/>
      <c r="I18" s="276"/>
      <c r="J18" s="276"/>
      <c r="K18" s="276"/>
      <c r="L18" s="276"/>
      <c r="M18" s="276"/>
      <c r="N18" s="276"/>
      <c r="O18" s="276"/>
      <c r="P18" s="276"/>
      <c r="Q18" s="276"/>
      <c r="R18" s="276"/>
    </row>
    <row r="19" spans="2:18" ht="45.75" customHeight="1">
      <c r="B19" s="9" t="s">
        <v>361</v>
      </c>
      <c r="C19" s="10" t="s">
        <v>362</v>
      </c>
      <c r="D19" s="75" t="s">
        <v>328</v>
      </c>
      <c r="E19" s="75" t="s">
        <v>328</v>
      </c>
      <c r="F19" s="75"/>
      <c r="G19" s="276"/>
      <c r="H19" s="276"/>
      <c r="I19" s="276"/>
      <c r="J19" s="276"/>
      <c r="K19" s="276"/>
      <c r="L19" s="276"/>
      <c r="M19" s="276"/>
      <c r="N19" s="276"/>
      <c r="O19" s="276"/>
      <c r="P19" s="276"/>
      <c r="Q19" s="276"/>
      <c r="R19" s="276"/>
    </row>
    <row r="20" spans="2:18" ht="45" customHeight="1">
      <c r="B20" s="9" t="s">
        <v>363</v>
      </c>
      <c r="C20" s="10" t="s">
        <v>364</v>
      </c>
      <c r="D20" s="75" t="s">
        <v>328</v>
      </c>
      <c r="E20" s="75" t="s">
        <v>328</v>
      </c>
      <c r="F20" s="75"/>
      <c r="G20" s="276"/>
      <c r="H20" s="276"/>
      <c r="I20" s="276"/>
      <c r="J20" s="276"/>
      <c r="K20" s="276"/>
      <c r="L20" s="276"/>
      <c r="M20" s="276"/>
      <c r="N20" s="276"/>
      <c r="O20" s="276"/>
      <c r="P20" s="276"/>
      <c r="Q20" s="276"/>
      <c r="R20" s="276"/>
    </row>
    <row r="21" spans="2:18" ht="30" customHeight="1">
      <c r="B21" s="11" t="s">
        <v>365</v>
      </c>
      <c r="C21" s="12" t="s">
        <v>366</v>
      </c>
      <c r="D21" s="75" t="s">
        <v>1310</v>
      </c>
      <c r="E21" s="75" t="s">
        <v>1311</v>
      </c>
      <c r="F21" s="75"/>
      <c r="G21" s="276"/>
      <c r="H21" s="276"/>
      <c r="I21" s="276"/>
      <c r="J21" s="276"/>
      <c r="K21" s="276"/>
      <c r="L21" s="276"/>
      <c r="M21" s="276"/>
      <c r="N21" s="276"/>
      <c r="O21" s="276"/>
      <c r="P21" s="276"/>
      <c r="Q21" s="276"/>
      <c r="R21" s="276"/>
    </row>
    <row r="22" spans="2:18" ht="30" customHeight="1">
      <c r="B22" s="11" t="s">
        <v>369</v>
      </c>
      <c r="C22" s="12" t="s">
        <v>370</v>
      </c>
      <c r="D22" s="75" t="s">
        <v>1312</v>
      </c>
      <c r="E22" s="75" t="s">
        <v>1313</v>
      </c>
      <c r="F22" s="75"/>
      <c r="G22" s="276"/>
      <c r="H22" s="276"/>
      <c r="I22" s="276"/>
      <c r="J22" s="276"/>
      <c r="K22" s="276"/>
      <c r="L22" s="276"/>
      <c r="M22" s="276"/>
      <c r="N22" s="276"/>
      <c r="O22" s="276"/>
      <c r="P22" s="276"/>
      <c r="Q22" s="276"/>
      <c r="R22" s="276"/>
    </row>
    <row r="23" spans="2:18" ht="30" customHeight="1">
      <c r="B23" s="13" t="s">
        <v>372</v>
      </c>
      <c r="C23" s="14" t="s">
        <v>373</v>
      </c>
      <c r="D23" s="75" t="s">
        <v>374</v>
      </c>
      <c r="E23" s="75" t="s">
        <v>374</v>
      </c>
      <c r="F23" s="75"/>
      <c r="G23" s="276"/>
      <c r="H23" s="276"/>
      <c r="I23" s="276"/>
      <c r="J23" s="276"/>
      <c r="K23" s="276"/>
      <c r="L23" s="276"/>
      <c r="M23" s="276"/>
      <c r="N23" s="276"/>
      <c r="O23" s="276"/>
      <c r="P23" s="276"/>
      <c r="Q23" s="276"/>
      <c r="R23" s="276"/>
    </row>
    <row r="24" spans="2:18" ht="45" customHeight="1">
      <c r="B24" s="13" t="s">
        <v>375</v>
      </c>
      <c r="C24" s="14" t="s">
        <v>376</v>
      </c>
      <c r="D24" s="278">
        <v>2268</v>
      </c>
      <c r="E24" s="278">
        <v>320</v>
      </c>
      <c r="F24" s="278"/>
      <c r="G24" s="277"/>
      <c r="H24" s="277"/>
      <c r="I24" s="277"/>
      <c r="J24" s="277"/>
      <c r="K24" s="277"/>
      <c r="L24" s="277"/>
      <c r="M24" s="277"/>
      <c r="N24" s="277"/>
      <c r="O24" s="277"/>
      <c r="P24" s="277"/>
      <c r="Q24" s="277"/>
      <c r="R24" s="277"/>
    </row>
    <row r="25" spans="2:18" ht="45" customHeight="1">
      <c r="B25" s="15" t="s">
        <v>377</v>
      </c>
      <c r="C25" s="16" t="s">
        <v>378</v>
      </c>
      <c r="D25" s="571" t="s">
        <v>1314</v>
      </c>
      <c r="E25" s="571" t="s">
        <v>1315</v>
      </c>
      <c r="F25" s="280"/>
      <c r="G25" s="276"/>
      <c r="H25" s="276"/>
      <c r="I25" s="276"/>
      <c r="J25" s="276"/>
      <c r="K25" s="276"/>
      <c r="L25" s="276"/>
      <c r="M25" s="276"/>
      <c r="N25" s="276"/>
      <c r="O25" s="276"/>
      <c r="P25" s="276"/>
      <c r="Q25" s="276"/>
      <c r="R25" s="276"/>
    </row>
    <row r="26" spans="2:18" ht="45" customHeight="1">
      <c r="B26" s="15" t="s">
        <v>380</v>
      </c>
      <c r="C26" s="16" t="s">
        <v>381</v>
      </c>
      <c r="D26" s="281" t="s">
        <v>1316</v>
      </c>
      <c r="E26" s="281" t="s">
        <v>1316</v>
      </c>
      <c r="F26" s="281"/>
      <c r="G26" s="276"/>
      <c r="H26" s="276"/>
      <c r="I26" s="276"/>
      <c r="J26" s="276"/>
      <c r="K26" s="276"/>
      <c r="L26" s="276"/>
      <c r="M26" s="276"/>
      <c r="N26" s="276"/>
      <c r="O26" s="276"/>
      <c r="P26" s="276"/>
      <c r="Q26" s="276"/>
      <c r="R26" s="276"/>
    </row>
    <row r="27" spans="2:18" ht="45" customHeight="1">
      <c r="B27" s="15"/>
      <c r="C27" s="279" t="s">
        <v>383</v>
      </c>
      <c r="D27" s="572">
        <f>SUM(164*2268)*12</f>
        <v>4463424</v>
      </c>
      <c r="E27" s="572">
        <f>SUM(100*320)*12</f>
        <v>384000</v>
      </c>
      <c r="F27" s="276"/>
      <c r="G27" s="276"/>
      <c r="H27" s="276"/>
      <c r="I27" s="276"/>
      <c r="J27" s="276"/>
      <c r="K27" s="276"/>
      <c r="L27" s="276"/>
      <c r="M27" s="276"/>
      <c r="N27" s="276"/>
      <c r="O27" s="276"/>
      <c r="P27" s="276"/>
      <c r="Q27" s="276"/>
      <c r="R27" s="276"/>
    </row>
    <row r="28" spans="2:18" ht="45" customHeight="1">
      <c r="B28" s="15" t="s">
        <v>384</v>
      </c>
      <c r="C28" s="16" t="s">
        <v>385</v>
      </c>
      <c r="D28" s="573">
        <v>164</v>
      </c>
      <c r="E28" s="574">
        <v>100</v>
      </c>
      <c r="F28" s="276"/>
      <c r="G28" s="276"/>
      <c r="H28" s="276"/>
      <c r="I28" s="276"/>
      <c r="J28" s="276"/>
      <c r="K28" s="276"/>
      <c r="L28" s="276"/>
      <c r="M28" s="276"/>
      <c r="N28" s="276"/>
      <c r="O28" s="276"/>
      <c r="P28" s="276"/>
      <c r="Q28" s="276"/>
      <c r="R28" s="276"/>
    </row>
    <row r="29" spans="2:18" ht="45" customHeight="1">
      <c r="B29" s="15" t="s">
        <v>387</v>
      </c>
      <c r="C29" s="16" t="s">
        <v>388</v>
      </c>
      <c r="D29" s="575">
        <v>0.06</v>
      </c>
      <c r="E29" s="575">
        <v>0</v>
      </c>
      <c r="F29" s="282"/>
      <c r="G29" s="276"/>
      <c r="H29" s="276"/>
      <c r="I29" s="276"/>
      <c r="J29" s="276"/>
      <c r="K29" s="276"/>
      <c r="L29" s="276"/>
      <c r="M29" s="276"/>
      <c r="N29" s="276"/>
      <c r="O29" s="276"/>
      <c r="P29" s="276"/>
      <c r="Q29" s="276"/>
      <c r="R29" s="276"/>
    </row>
    <row r="30" spans="2:18" ht="60" customHeight="1">
      <c r="B30" s="13" t="s">
        <v>390</v>
      </c>
      <c r="C30" s="17" t="s">
        <v>391</v>
      </c>
      <c r="D30" s="573">
        <v>246</v>
      </c>
      <c r="E30" s="573">
        <v>250</v>
      </c>
      <c r="F30" s="283"/>
      <c r="G30" s="276"/>
      <c r="H30" s="276"/>
      <c r="I30" s="276"/>
      <c r="J30" s="276"/>
      <c r="K30" s="276"/>
      <c r="L30" s="276"/>
      <c r="M30" s="276"/>
      <c r="N30" s="276"/>
      <c r="O30" s="276"/>
      <c r="P30" s="276"/>
      <c r="Q30" s="276"/>
      <c r="R30" s="276"/>
    </row>
    <row r="31" spans="2:18" ht="60" customHeight="1">
      <c r="B31" s="13"/>
      <c r="C31" s="279" t="s">
        <v>393</v>
      </c>
      <c r="D31" s="572">
        <f>SUM(2268*246)*12</f>
        <v>6695136</v>
      </c>
      <c r="E31" s="572">
        <f>SUM(320*250)*12</f>
        <v>960000</v>
      </c>
      <c r="F31" s="278"/>
      <c r="G31" s="276"/>
      <c r="H31" s="276"/>
      <c r="I31" s="276"/>
      <c r="J31" s="276"/>
      <c r="K31" s="276"/>
      <c r="L31" s="276"/>
      <c r="M31" s="276"/>
      <c r="N31" s="276"/>
      <c r="O31" s="276"/>
      <c r="P31" s="276"/>
      <c r="Q31" s="276"/>
      <c r="R31" s="276"/>
    </row>
    <row r="32" spans="2:18" ht="60" customHeight="1">
      <c r="B32" s="13" t="s">
        <v>394</v>
      </c>
      <c r="C32" s="17" t="s">
        <v>395</v>
      </c>
      <c r="D32" s="575">
        <v>0.06</v>
      </c>
      <c r="E32" s="575">
        <v>0</v>
      </c>
      <c r="F32" s="284"/>
      <c r="G32" s="276"/>
      <c r="H32" s="276"/>
      <c r="I32" s="276"/>
      <c r="J32" s="276"/>
      <c r="K32" s="276"/>
      <c r="L32" s="276"/>
      <c r="M32" s="276"/>
      <c r="N32" s="276"/>
      <c r="O32" s="276"/>
      <c r="P32" s="276"/>
      <c r="Q32" s="276"/>
      <c r="R32" s="276"/>
    </row>
    <row r="33" spans="2:18" ht="30" customHeight="1">
      <c r="B33" s="18" t="s">
        <v>397</v>
      </c>
      <c r="C33" s="19" t="s">
        <v>313</v>
      </c>
      <c r="D33" s="285">
        <v>44409</v>
      </c>
      <c r="E33" s="285">
        <v>45153</v>
      </c>
      <c r="F33" s="285"/>
      <c r="G33" s="286"/>
      <c r="H33" s="286"/>
      <c r="I33" s="286"/>
      <c r="J33" s="276"/>
      <c r="K33" s="276"/>
      <c r="L33" s="276"/>
      <c r="M33" s="276"/>
      <c r="N33" s="276"/>
      <c r="O33" s="276"/>
      <c r="P33" s="276"/>
      <c r="Q33" s="276"/>
      <c r="R33" s="276"/>
    </row>
    <row r="34" spans="2:18" ht="30" customHeight="1">
      <c r="B34" s="20" t="s">
        <v>398</v>
      </c>
      <c r="C34" s="19" t="s">
        <v>315</v>
      </c>
      <c r="D34" s="285">
        <v>48060</v>
      </c>
      <c r="E34" s="285">
        <v>46248</v>
      </c>
      <c r="F34" s="285"/>
      <c r="G34" s="286"/>
      <c r="H34" s="286"/>
      <c r="I34" s="286"/>
      <c r="J34" s="276"/>
      <c r="K34" s="276"/>
      <c r="L34" s="276"/>
      <c r="M34" s="276"/>
      <c r="N34" s="276"/>
      <c r="O34" s="276"/>
      <c r="P34" s="276"/>
      <c r="Q34" s="276"/>
      <c r="R34" s="276"/>
    </row>
    <row r="35" spans="2:18" ht="30" customHeight="1">
      <c r="B35" s="20" t="s">
        <v>399</v>
      </c>
      <c r="C35" s="19" t="s">
        <v>400</v>
      </c>
      <c r="D35" s="75" t="s">
        <v>577</v>
      </c>
      <c r="E35" s="75"/>
      <c r="F35" s="75"/>
      <c r="G35" s="276"/>
      <c r="H35" s="276"/>
      <c r="I35" s="276"/>
      <c r="J35" s="276"/>
      <c r="K35" s="276"/>
      <c r="L35" s="276"/>
      <c r="M35" s="276"/>
      <c r="N35" s="276"/>
      <c r="O35" s="276"/>
      <c r="P35" s="276"/>
      <c r="Q35" s="276"/>
      <c r="R35" s="276"/>
    </row>
    <row r="36" spans="2:18" ht="30" customHeight="1">
      <c r="B36" s="20" t="s">
        <v>402</v>
      </c>
      <c r="C36" s="21" t="s">
        <v>403</v>
      </c>
      <c r="D36" s="287" t="s">
        <v>414</v>
      </c>
      <c r="E36" s="287" t="s">
        <v>674</v>
      </c>
      <c r="F36" s="287"/>
      <c r="G36" s="288"/>
      <c r="H36" s="288"/>
      <c r="I36" s="288"/>
      <c r="J36" s="276"/>
      <c r="K36" s="276"/>
      <c r="L36" s="276"/>
      <c r="M36" s="276"/>
      <c r="N36" s="276"/>
      <c r="O36" s="276"/>
      <c r="P36" s="276"/>
      <c r="Q36" s="276"/>
      <c r="R36" s="276"/>
    </row>
    <row r="37" spans="2:18" ht="45" customHeight="1">
      <c r="B37" s="20" t="s">
        <v>404</v>
      </c>
      <c r="C37" s="21" t="s">
        <v>405</v>
      </c>
      <c r="D37" s="287" t="s">
        <v>1317</v>
      </c>
      <c r="E37" s="287" t="s">
        <v>1318</v>
      </c>
      <c r="F37" s="287"/>
      <c r="G37" s="288"/>
      <c r="H37" s="288"/>
      <c r="I37" s="288"/>
      <c r="J37" s="276"/>
      <c r="K37" s="276"/>
      <c r="L37" s="276"/>
      <c r="M37" s="276"/>
      <c r="N37" s="276"/>
      <c r="O37" s="276"/>
      <c r="P37" s="276"/>
      <c r="Q37" s="276"/>
      <c r="R37" s="276"/>
    </row>
    <row r="38" spans="2:18" ht="30" customHeight="1">
      <c r="B38" s="20" t="s">
        <v>406</v>
      </c>
      <c r="C38" s="21" t="s">
        <v>407</v>
      </c>
      <c r="D38" s="287" t="s">
        <v>328</v>
      </c>
      <c r="E38" s="287" t="s">
        <v>328</v>
      </c>
      <c r="F38" s="287"/>
      <c r="G38" s="288"/>
      <c r="H38" s="288"/>
      <c r="I38" s="288"/>
      <c r="J38" s="276"/>
      <c r="K38" s="276"/>
      <c r="L38" s="276"/>
      <c r="M38" s="276"/>
      <c r="N38" s="276"/>
      <c r="O38" s="276"/>
      <c r="P38" s="276"/>
      <c r="Q38" s="276"/>
      <c r="R38" s="276"/>
    </row>
    <row r="39" spans="2:18" ht="30" customHeight="1">
      <c r="B39" s="20" t="s">
        <v>408</v>
      </c>
      <c r="C39" s="21" t="s">
        <v>409</v>
      </c>
      <c r="D39" s="289" t="s">
        <v>682</v>
      </c>
      <c r="E39" s="289" t="s">
        <v>1163</v>
      </c>
      <c r="F39" s="289"/>
      <c r="G39" s="288"/>
      <c r="H39" s="288"/>
      <c r="I39" s="288"/>
      <c r="J39" s="276"/>
      <c r="K39" s="276"/>
      <c r="L39" s="276"/>
      <c r="M39" s="276"/>
      <c r="N39" s="276"/>
      <c r="O39" s="276"/>
      <c r="P39" s="276"/>
      <c r="Q39" s="276"/>
      <c r="R39" s="276"/>
    </row>
    <row r="40" spans="2:18" ht="45" customHeight="1">
      <c r="B40" s="20" t="s">
        <v>411</v>
      </c>
      <c r="C40" s="21" t="s">
        <v>314</v>
      </c>
      <c r="D40" s="287">
        <v>48060</v>
      </c>
      <c r="E40" s="287">
        <v>46248</v>
      </c>
      <c r="F40" s="287"/>
      <c r="G40" s="288"/>
      <c r="H40" s="288"/>
      <c r="I40" s="288"/>
      <c r="J40" s="276"/>
      <c r="K40" s="276"/>
      <c r="L40" s="276"/>
      <c r="M40" s="276"/>
      <c r="N40" s="276"/>
      <c r="O40" s="276"/>
      <c r="P40" s="276"/>
      <c r="Q40" s="276"/>
      <c r="R40" s="276"/>
    </row>
    <row r="41" spans="2:18" ht="60" customHeight="1">
      <c r="B41" s="22" t="s">
        <v>412</v>
      </c>
      <c r="C41" s="23" t="s">
        <v>413</v>
      </c>
      <c r="D41" s="287" t="s">
        <v>328</v>
      </c>
      <c r="E41" s="287" t="s">
        <v>328</v>
      </c>
      <c r="F41" s="287"/>
      <c r="G41" s="290"/>
      <c r="H41" s="290"/>
      <c r="I41" s="290"/>
      <c r="J41" s="290"/>
      <c r="K41" s="290"/>
      <c r="L41" s="290"/>
      <c r="M41" s="290"/>
      <c r="N41" s="290"/>
      <c r="O41" s="290"/>
      <c r="P41" s="290"/>
      <c r="Q41" s="290"/>
      <c r="R41" s="290"/>
    </row>
    <row r="42" spans="2:18" ht="75" customHeight="1">
      <c r="B42" s="24" t="s">
        <v>457</v>
      </c>
      <c r="C42" s="23" t="s">
        <v>458</v>
      </c>
      <c r="D42" s="291" t="s">
        <v>328</v>
      </c>
      <c r="E42" s="291" t="s">
        <v>328</v>
      </c>
      <c r="F42" s="291"/>
      <c r="G42" s="292"/>
      <c r="H42" s="292"/>
      <c r="I42" s="292"/>
      <c r="J42" s="292"/>
      <c r="K42" s="292"/>
      <c r="L42" s="292"/>
      <c r="M42" s="292"/>
      <c r="N42" s="292"/>
      <c r="O42" s="292"/>
      <c r="P42" s="292"/>
      <c r="Q42" s="292"/>
      <c r="R42" s="292"/>
    </row>
    <row r="43" spans="2:18" ht="60" customHeight="1">
      <c r="B43" s="25" t="s">
        <v>418</v>
      </c>
      <c r="C43" s="26" t="s">
        <v>419</v>
      </c>
      <c r="D43" s="75" t="s">
        <v>328</v>
      </c>
      <c r="E43" s="75" t="s">
        <v>328</v>
      </c>
      <c r="F43" s="75"/>
      <c r="G43" s="276"/>
      <c r="H43" s="276"/>
      <c r="I43" s="276"/>
      <c r="J43" s="276"/>
      <c r="K43" s="276"/>
      <c r="L43" s="276"/>
      <c r="M43" s="276"/>
      <c r="N43" s="276"/>
      <c r="O43" s="276"/>
      <c r="P43" s="276"/>
      <c r="Q43" s="276"/>
      <c r="R43" s="276"/>
    </row>
    <row r="44" spans="2:18" ht="75" customHeight="1">
      <c r="B44" s="25" t="s">
        <v>420</v>
      </c>
      <c r="C44" s="26" t="s">
        <v>421</v>
      </c>
      <c r="D44" s="75" t="s">
        <v>328</v>
      </c>
      <c r="E44" s="75" t="s">
        <v>328</v>
      </c>
      <c r="F44" s="75"/>
      <c r="G44" s="276"/>
      <c r="H44" s="276"/>
      <c r="I44" s="276"/>
      <c r="J44" s="276"/>
      <c r="K44" s="276"/>
      <c r="L44" s="276"/>
      <c r="M44" s="276"/>
      <c r="N44" s="276"/>
      <c r="O44" s="276"/>
      <c r="P44" s="276"/>
      <c r="Q44" s="276"/>
      <c r="R44" s="276"/>
    </row>
    <row r="45" spans="2:18" ht="13">
      <c r="B45" s="293"/>
      <c r="C45" s="293"/>
      <c r="D45" s="294"/>
      <c r="E45" s="294"/>
      <c r="F45" s="294"/>
      <c r="G45" s="293"/>
      <c r="H45" s="293"/>
      <c r="I45" s="293"/>
      <c r="J45" s="293"/>
      <c r="K45" s="293"/>
      <c r="L45" s="293"/>
      <c r="M45" s="293"/>
      <c r="N45" s="293"/>
      <c r="O45" s="293"/>
      <c r="P45" s="293"/>
      <c r="Q45" s="293"/>
      <c r="R45" s="293"/>
    </row>
    <row r="46" spans="2:18" ht="45" customHeight="1">
      <c r="B46" s="293"/>
      <c r="C46" s="295" t="s">
        <v>423</v>
      </c>
      <c r="D46" s="75">
        <v>420</v>
      </c>
      <c r="E46" s="297">
        <v>22</v>
      </c>
      <c r="F46" s="297"/>
      <c r="G46" s="276"/>
      <c r="H46" s="276"/>
      <c r="I46" s="276"/>
      <c r="J46" s="276"/>
      <c r="K46" s="276"/>
      <c r="L46" s="276"/>
      <c r="M46" s="276"/>
      <c r="N46" s="276"/>
      <c r="O46" s="276"/>
      <c r="P46" s="276"/>
      <c r="Q46" s="276"/>
      <c r="R46" s="276"/>
    </row>
    <row r="47" spans="2:18" ht="30" customHeight="1">
      <c r="B47" s="293"/>
      <c r="C47" s="298" t="s">
        <v>424</v>
      </c>
      <c r="D47" s="75">
        <v>66</v>
      </c>
      <c r="E47" s="297">
        <v>0</v>
      </c>
      <c r="F47" s="297"/>
      <c r="G47" s="276"/>
      <c r="H47" s="276"/>
      <c r="I47" s="276"/>
      <c r="J47" s="276"/>
      <c r="K47" s="276"/>
      <c r="L47" s="276"/>
      <c r="M47" s="276"/>
      <c r="N47" s="276"/>
      <c r="O47" s="276"/>
      <c r="P47" s="276"/>
      <c r="Q47" s="276"/>
      <c r="R47" s="276"/>
    </row>
    <row r="48" spans="2:18" ht="15" customHeight="1">
      <c r="B48" s="293"/>
      <c r="C48" s="298" t="s">
        <v>425</v>
      </c>
      <c r="D48" s="75">
        <v>354</v>
      </c>
      <c r="E48" s="297">
        <v>22</v>
      </c>
      <c r="F48" s="297"/>
      <c r="G48" s="276"/>
      <c r="H48" s="276"/>
      <c r="I48" s="276"/>
      <c r="J48" s="276"/>
      <c r="K48" s="276"/>
      <c r="L48" s="276"/>
      <c r="M48" s="276"/>
      <c r="N48" s="276"/>
      <c r="O48" s="276"/>
      <c r="P48" s="276"/>
      <c r="Q48" s="276"/>
      <c r="R48" s="276"/>
    </row>
    <row r="49" spans="2:18" ht="3" customHeight="1">
      <c r="B49" s="293"/>
      <c r="C49" s="299"/>
      <c r="D49" s="300"/>
      <c r="E49" s="301"/>
      <c r="F49" s="301"/>
      <c r="G49" s="302"/>
      <c r="H49" s="302"/>
      <c r="I49" s="302"/>
      <c r="J49" s="302"/>
      <c r="K49" s="302"/>
      <c r="L49" s="302"/>
      <c r="M49" s="302"/>
      <c r="N49" s="302"/>
      <c r="O49" s="302"/>
      <c r="P49" s="302"/>
      <c r="Q49" s="302"/>
      <c r="R49" s="302"/>
    </row>
    <row r="50" spans="2:18" ht="30" customHeight="1">
      <c r="B50" s="293"/>
      <c r="C50" s="295" t="s">
        <v>426</v>
      </c>
      <c r="D50" s="296">
        <v>384</v>
      </c>
      <c r="E50" s="296">
        <v>54</v>
      </c>
      <c r="F50" s="296"/>
      <c r="G50" s="276"/>
      <c r="H50" s="276"/>
      <c r="I50" s="276"/>
      <c r="J50" s="276"/>
      <c r="K50" s="276"/>
      <c r="L50" s="276"/>
      <c r="M50" s="276"/>
      <c r="N50" s="276"/>
      <c r="O50" s="276"/>
      <c r="P50" s="276"/>
      <c r="Q50" s="276"/>
      <c r="R50" s="276"/>
    </row>
    <row r="51" spans="2:18" ht="30" customHeight="1">
      <c r="B51" s="293"/>
      <c r="C51" s="298" t="s">
        <v>424</v>
      </c>
      <c r="D51" s="296">
        <v>66</v>
      </c>
      <c r="E51" s="297" t="s">
        <v>577</v>
      </c>
      <c r="F51" s="297"/>
      <c r="G51" s="276"/>
      <c r="H51" s="276"/>
      <c r="I51" s="276"/>
      <c r="J51" s="276"/>
      <c r="K51" s="276"/>
      <c r="L51" s="276"/>
      <c r="M51" s="276"/>
      <c r="N51" s="276"/>
      <c r="O51" s="276"/>
      <c r="P51" s="276"/>
      <c r="Q51" s="276"/>
      <c r="R51" s="276"/>
    </row>
    <row r="52" spans="2:18" ht="15" customHeight="1">
      <c r="B52" s="293"/>
      <c r="C52" s="298" t="s">
        <v>425</v>
      </c>
      <c r="D52" s="296">
        <f>D50-D51</f>
        <v>318</v>
      </c>
      <c r="E52" s="297">
        <v>23</v>
      </c>
      <c r="F52" s="297"/>
      <c r="G52" s="276"/>
      <c r="H52" s="276"/>
      <c r="I52" s="276"/>
      <c r="J52" s="276"/>
      <c r="K52" s="276"/>
      <c r="L52" s="276"/>
      <c r="M52" s="276"/>
      <c r="N52" s="276"/>
      <c r="O52" s="276"/>
      <c r="P52" s="276"/>
      <c r="Q52" s="276"/>
      <c r="R52" s="276"/>
    </row>
    <row r="53" spans="2:18" ht="6" customHeight="1">
      <c r="B53" s="293"/>
      <c r="C53" s="303"/>
      <c r="D53" s="300"/>
      <c r="E53" s="301"/>
      <c r="F53" s="301"/>
      <c r="G53" s="302"/>
      <c r="H53" s="302"/>
      <c r="I53" s="302"/>
      <c r="J53" s="302"/>
      <c r="K53" s="302"/>
      <c r="L53" s="302"/>
      <c r="M53" s="302"/>
      <c r="N53" s="302"/>
      <c r="O53" s="302"/>
      <c r="P53" s="302"/>
      <c r="Q53" s="302"/>
      <c r="R53" s="302"/>
    </row>
    <row r="54" spans="2:18" ht="33" customHeight="1">
      <c r="B54" s="293"/>
      <c r="C54" s="76" t="s">
        <v>427</v>
      </c>
      <c r="D54" s="314" t="s">
        <v>414</v>
      </c>
      <c r="E54" s="314" t="s">
        <v>328</v>
      </c>
      <c r="F54" s="314"/>
      <c r="G54" s="276"/>
      <c r="H54" s="276"/>
      <c r="I54" s="276"/>
      <c r="J54" s="276"/>
      <c r="K54" s="276"/>
      <c r="L54" s="276"/>
      <c r="M54" s="276"/>
      <c r="N54" s="276"/>
      <c r="O54" s="276"/>
      <c r="P54" s="276"/>
      <c r="Q54" s="276"/>
      <c r="R54" s="276"/>
    </row>
    <row r="55" spans="2:18" ht="30" customHeight="1">
      <c r="B55" s="293"/>
      <c r="C55" s="295" t="s">
        <v>428</v>
      </c>
      <c r="D55" s="314" t="s">
        <v>1319</v>
      </c>
      <c r="E55" s="314" t="s">
        <v>1320</v>
      </c>
      <c r="F55" s="314"/>
      <c r="G55" s="276"/>
      <c r="H55" s="276"/>
      <c r="I55" s="276"/>
      <c r="J55" s="276"/>
      <c r="K55" s="276"/>
      <c r="L55" s="276"/>
      <c r="M55" s="276"/>
      <c r="N55" s="276"/>
      <c r="O55" s="276"/>
      <c r="P55" s="276"/>
      <c r="Q55" s="276"/>
      <c r="R55" s="276"/>
    </row>
    <row r="56" spans="2:18" ht="30" customHeight="1">
      <c r="B56" s="293"/>
      <c r="C56" s="295" t="s">
        <v>429</v>
      </c>
      <c r="D56" s="314" t="s">
        <v>1319</v>
      </c>
      <c r="E56" s="314" t="s">
        <v>1320</v>
      </c>
      <c r="F56" s="264"/>
      <c r="G56" s="276"/>
      <c r="H56" s="276"/>
      <c r="I56" s="276"/>
      <c r="J56" s="276"/>
      <c r="K56" s="276"/>
      <c r="L56" s="276"/>
      <c r="M56" s="276"/>
      <c r="N56" s="276"/>
      <c r="O56" s="276"/>
      <c r="P56" s="276"/>
      <c r="Q56" s="276"/>
      <c r="R56" s="276"/>
    </row>
    <row r="57" spans="2:18" ht="56">
      <c r="C57" s="304" t="s">
        <v>430</v>
      </c>
      <c r="D57" s="576">
        <v>3</v>
      </c>
      <c r="E57" s="576">
        <v>4</v>
      </c>
      <c r="F57" s="264"/>
      <c r="G57" s="269"/>
      <c r="H57" s="269"/>
      <c r="I57" s="269"/>
      <c r="J57" s="269"/>
      <c r="K57" s="269"/>
      <c r="L57" s="269"/>
      <c r="M57" s="269"/>
      <c r="N57" s="269"/>
      <c r="O57" s="269"/>
      <c r="P57" s="269"/>
      <c r="Q57" s="269"/>
      <c r="R57" s="269"/>
    </row>
    <row r="58" spans="2:18" ht="56">
      <c r="C58" s="304" t="s">
        <v>431</v>
      </c>
      <c r="D58" s="576">
        <v>3</v>
      </c>
      <c r="E58" s="576">
        <v>0</v>
      </c>
      <c r="F58" s="264"/>
      <c r="G58" s="269"/>
      <c r="H58" s="269"/>
      <c r="I58" s="269"/>
      <c r="J58" s="269"/>
      <c r="K58" s="269"/>
      <c r="L58" s="269"/>
      <c r="M58" s="269"/>
      <c r="N58" s="269"/>
      <c r="O58" s="269"/>
      <c r="P58" s="269"/>
      <c r="Q58" s="269"/>
      <c r="R58" s="269"/>
    </row>
    <row r="59" spans="2:18">
      <c r="C59" s="305"/>
    </row>
    <row r="61" spans="2:18" ht="15">
      <c r="D61" s="72" t="s">
        <v>432</v>
      </c>
    </row>
    <row r="62" spans="2:18">
      <c r="D62" s="77" t="s">
        <v>433</v>
      </c>
      <c r="E62" s="77"/>
    </row>
    <row r="63" spans="2:18">
      <c r="D63" s="78" t="s">
        <v>434</v>
      </c>
      <c r="E63" s="78"/>
    </row>
    <row r="64" spans="2:18">
      <c r="D64" s="78" t="s">
        <v>435</v>
      </c>
      <c r="E64" s="78"/>
    </row>
    <row r="65" spans="4:6">
      <c r="D65" s="78" t="s">
        <v>436</v>
      </c>
      <c r="E65" s="78"/>
    </row>
    <row r="66" spans="4:6">
      <c r="D66" s="78" t="s">
        <v>437</v>
      </c>
      <c r="E66" s="78"/>
    </row>
    <row r="67" spans="4:6">
      <c r="D67" s="78" t="s">
        <v>438</v>
      </c>
      <c r="E67" s="78"/>
    </row>
    <row r="69" spans="4:6" ht="15">
      <c r="D69" s="79" t="s">
        <v>1191</v>
      </c>
      <c r="E69" s="79"/>
    </row>
    <row r="71" spans="4:6">
      <c r="D71" s="306" t="s">
        <v>1321</v>
      </c>
      <c r="E71" s="306"/>
    </row>
    <row r="72" spans="4:6">
      <c r="D72" s="307" t="s">
        <v>1322</v>
      </c>
      <c r="E72" s="307"/>
    </row>
    <row r="73" spans="4:6">
      <c r="D73" s="307" t="s">
        <v>1323</v>
      </c>
      <c r="E73" s="307"/>
    </row>
    <row r="74" spans="4:6">
      <c r="D74" s="307" t="s">
        <v>1324</v>
      </c>
      <c r="E74" s="307"/>
    </row>
    <row r="75" spans="4:6">
      <c r="D75" s="306"/>
      <c r="E75" s="306"/>
    </row>
    <row r="77" spans="4:6" ht="13">
      <c r="D77" s="308" t="s">
        <v>1325</v>
      </c>
      <c r="E77" s="308"/>
      <c r="F77" s="308" t="s">
        <v>297</v>
      </c>
    </row>
    <row r="78" spans="4:6" ht="13">
      <c r="D78" s="309"/>
      <c r="E78" s="309"/>
      <c r="F78" s="310" t="s">
        <v>1326</v>
      </c>
    </row>
    <row r="79" spans="4:6">
      <c r="D79" s="73"/>
      <c r="E79" s="73"/>
      <c r="F79" s="73" t="s">
        <v>1327</v>
      </c>
    </row>
    <row r="80" spans="4:6">
      <c r="D80" s="73"/>
      <c r="E80" s="73"/>
      <c r="F80" s="73" t="s">
        <v>1328</v>
      </c>
    </row>
    <row r="81" spans="4:6">
      <c r="D81" s="73"/>
      <c r="E81" s="73"/>
      <c r="F81" s="311" t="s">
        <v>1329</v>
      </c>
    </row>
    <row r="82" spans="4:6">
      <c r="D82" s="73"/>
      <c r="E82" s="73"/>
      <c r="F82" s="73" t="s">
        <v>1330</v>
      </c>
    </row>
    <row r="84" spans="4:6" ht="13">
      <c r="D84" s="308" t="s">
        <v>1331</v>
      </c>
      <c r="E84" s="308"/>
      <c r="F84" s="308" t="s">
        <v>297</v>
      </c>
    </row>
    <row r="85" spans="4:6" ht="13">
      <c r="D85" s="309"/>
      <c r="E85" s="309"/>
      <c r="F85" s="310" t="s">
        <v>1326</v>
      </c>
    </row>
    <row r="86" spans="4:6">
      <c r="D86" s="73"/>
      <c r="E86" s="73"/>
      <c r="F86" s="73" t="s">
        <v>1327</v>
      </c>
    </row>
    <row r="87" spans="4:6">
      <c r="D87" s="73"/>
      <c r="E87" s="73"/>
      <c r="F87" s="73" t="s">
        <v>1328</v>
      </c>
    </row>
    <row r="88" spans="4:6">
      <c r="D88" s="73"/>
      <c r="E88" s="73"/>
      <c r="F88" s="311"/>
    </row>
    <row r="89" spans="4:6">
      <c r="D89" s="73"/>
      <c r="E89" s="73"/>
      <c r="F89" s="73" t="s">
        <v>1330</v>
      </c>
    </row>
    <row r="91" spans="4:6" ht="13">
      <c r="D91" s="308" t="s">
        <v>1332</v>
      </c>
      <c r="E91" s="308"/>
      <c r="F91" s="308" t="s">
        <v>297</v>
      </c>
    </row>
    <row r="92" spans="4:6" ht="13">
      <c r="D92" s="309"/>
      <c r="E92" s="309"/>
      <c r="F92" s="310" t="s">
        <v>1326</v>
      </c>
    </row>
    <row r="93" spans="4:6">
      <c r="D93" s="73"/>
      <c r="E93" s="73"/>
      <c r="F93" s="73" t="s">
        <v>1327</v>
      </c>
    </row>
    <row r="94" spans="4:6">
      <c r="D94" s="73"/>
      <c r="E94" s="312" t="s">
        <v>1333</v>
      </c>
      <c r="F94" s="313" t="s">
        <v>1328</v>
      </c>
    </row>
    <row r="95" spans="4:6">
      <c r="D95" s="73"/>
      <c r="E95" s="73"/>
      <c r="F95" s="311"/>
    </row>
    <row r="96" spans="4:6">
      <c r="D96" s="73"/>
      <c r="E96" s="73"/>
      <c r="F96" s="73" t="s">
        <v>1330</v>
      </c>
    </row>
  </sheetData>
  <mergeCells count="2">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53"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26 C28:C30 C32">
    <cfRule type="expression" dxfId="52" priority="1">
      <formula>#REF!="Owned"</formula>
    </cfRule>
  </conditionalFormatting>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54B97-CA9F-4EB7-B970-0931DF17D69D}">
  <sheetPr codeName="Feuil42">
    <tabColor rgb="FF00B050"/>
  </sheetPr>
  <dimension ref="B2:M58"/>
  <sheetViews>
    <sheetView topLeftCell="A6" zoomScale="70" zoomScaleNormal="70" workbookViewId="0">
      <selection activeCell="D14" sqref="D14"/>
    </sheetView>
  </sheetViews>
  <sheetFormatPr baseColWidth="10" defaultColWidth="11.5" defaultRowHeight="13"/>
  <cols>
    <col min="3" max="13" width="22.83203125" customWidth="1"/>
  </cols>
  <sheetData>
    <row r="2" spans="2:13">
      <c r="C2" s="504" t="s">
        <v>323</v>
      </c>
      <c r="D2" s="502">
        <v>46055</v>
      </c>
      <c r="E2" s="1"/>
      <c r="F2" s="3"/>
      <c r="G2" s="3"/>
      <c r="H2" s="3"/>
      <c r="I2" s="4"/>
      <c r="J2" s="1"/>
      <c r="K2" s="1"/>
      <c r="L2" s="1"/>
      <c r="M2" s="1"/>
    </row>
    <row r="3" spans="2:13">
      <c r="C3" s="1"/>
      <c r="D3" s="1"/>
      <c r="E3" s="1"/>
      <c r="F3" s="1"/>
      <c r="G3" s="1"/>
      <c r="H3" s="1"/>
      <c r="I3" s="1"/>
      <c r="J3" s="1"/>
      <c r="K3" s="1"/>
      <c r="L3" s="1"/>
      <c r="M3" s="1"/>
    </row>
    <row r="4" spans="2:13">
      <c r="C4" s="33" t="s">
        <v>324</v>
      </c>
      <c r="D4" s="258" t="s">
        <v>256</v>
      </c>
      <c r="E4" s="258" t="s">
        <v>256</v>
      </c>
      <c r="F4" s="258" t="s">
        <v>256</v>
      </c>
      <c r="G4" s="258" t="s">
        <v>256</v>
      </c>
      <c r="I4" s="5"/>
      <c r="J4" s="1"/>
      <c r="K4" s="1"/>
      <c r="L4" s="1"/>
      <c r="M4" s="1"/>
    </row>
    <row r="5" spans="2:13">
      <c r="C5" s="35"/>
      <c r="E5" s="1"/>
      <c r="F5" s="1"/>
      <c r="G5" s="1"/>
      <c r="H5" s="1"/>
      <c r="I5" s="1"/>
      <c r="J5" s="1"/>
      <c r="K5" s="1"/>
      <c r="L5" s="1"/>
      <c r="M5" s="1"/>
    </row>
    <row r="6" spans="2:13">
      <c r="C6" s="589" t="s">
        <v>327</v>
      </c>
      <c r="D6" s="591"/>
      <c r="E6" s="6" t="s">
        <v>328</v>
      </c>
      <c r="F6" s="124"/>
      <c r="G6" s="124"/>
      <c r="H6" s="124"/>
      <c r="J6" s="1"/>
      <c r="K6" s="1"/>
      <c r="L6" s="1"/>
      <c r="M6" s="1"/>
    </row>
    <row r="7" spans="2:13">
      <c r="C7" s="589" t="s">
        <v>329</v>
      </c>
      <c r="D7" s="591"/>
      <c r="E7" s="6">
        <v>1</v>
      </c>
      <c r="F7" s="124"/>
      <c r="G7" s="124"/>
      <c r="H7" s="124"/>
      <c r="J7" s="1"/>
      <c r="K7" s="1"/>
      <c r="L7" s="1"/>
      <c r="M7" s="1"/>
    </row>
    <row r="8" spans="2:13">
      <c r="C8" s="68"/>
      <c r="D8" s="68"/>
      <c r="E8" s="68"/>
      <c r="F8" s="68"/>
      <c r="G8" s="68"/>
      <c r="H8" s="68"/>
      <c r="I8" s="42"/>
      <c r="J8" s="1"/>
      <c r="K8" s="1"/>
      <c r="L8" s="1"/>
      <c r="M8" s="1"/>
    </row>
    <row r="9" spans="2:13">
      <c r="C9" s="69" t="s">
        <v>441</v>
      </c>
      <c r="D9" s="74" t="s">
        <v>1334</v>
      </c>
      <c r="E9" s="74"/>
      <c r="F9" s="74"/>
      <c r="G9" s="74"/>
      <c r="H9" s="67"/>
      <c r="I9" s="67"/>
      <c r="J9" s="67"/>
      <c r="K9" s="67"/>
      <c r="L9" s="67"/>
      <c r="M9" s="67"/>
    </row>
    <row r="10" spans="2:13" ht="14">
      <c r="C10" s="70" t="s">
        <v>331</v>
      </c>
      <c r="D10" s="84" t="s">
        <v>1335</v>
      </c>
      <c r="E10" s="417" t="s">
        <v>1336</v>
      </c>
      <c r="F10" s="417" t="s">
        <v>1337</v>
      </c>
      <c r="G10" s="417" t="s">
        <v>1338</v>
      </c>
      <c r="H10" s="84" t="s">
        <v>465</v>
      </c>
      <c r="I10" s="84" t="s">
        <v>466</v>
      </c>
      <c r="J10" s="84" t="s">
        <v>467</v>
      </c>
      <c r="K10" s="84" t="s">
        <v>468</v>
      </c>
      <c r="L10" s="84" t="s">
        <v>469</v>
      </c>
      <c r="M10" s="84" t="s">
        <v>470</v>
      </c>
    </row>
    <row r="11" spans="2:13" ht="14">
      <c r="C11" s="104" t="s">
        <v>299</v>
      </c>
      <c r="D11" s="84" t="s">
        <v>1339</v>
      </c>
      <c r="E11" s="417"/>
      <c r="F11" s="417"/>
      <c r="G11" s="417"/>
      <c r="H11" s="84"/>
      <c r="I11" s="84"/>
      <c r="J11" s="84"/>
      <c r="K11" s="84"/>
      <c r="L11" s="84"/>
      <c r="M11" s="84"/>
    </row>
    <row r="12" spans="2:13" ht="28">
      <c r="C12" s="32"/>
      <c r="D12" s="533" t="s">
        <v>1340</v>
      </c>
      <c r="E12" s="420"/>
      <c r="F12" s="420"/>
      <c r="G12" s="420"/>
      <c r="H12" s="45"/>
      <c r="I12" s="46"/>
      <c r="J12" s="44"/>
      <c r="K12" s="47"/>
      <c r="L12" s="48"/>
      <c r="M12" s="44"/>
    </row>
    <row r="13" spans="2:13" ht="48">
      <c r="B13" s="7" t="s">
        <v>348</v>
      </c>
      <c r="C13" s="398" t="s">
        <v>349</v>
      </c>
      <c r="D13" s="417" t="s">
        <v>1341</v>
      </c>
      <c r="E13" s="417"/>
      <c r="F13" s="417"/>
      <c r="G13" s="417"/>
      <c r="H13" s="71"/>
      <c r="I13" s="71"/>
      <c r="J13" s="71"/>
      <c r="K13" s="71"/>
      <c r="L13" s="71"/>
      <c r="M13" s="71"/>
    </row>
    <row r="14" spans="2:13" ht="24">
      <c r="B14" s="7" t="s">
        <v>352</v>
      </c>
      <c r="C14" s="398" t="s">
        <v>297</v>
      </c>
      <c r="D14" s="417" t="s">
        <v>281</v>
      </c>
      <c r="E14" s="417"/>
      <c r="F14" s="417"/>
      <c r="G14" s="417"/>
      <c r="H14" s="71"/>
      <c r="I14" s="71"/>
      <c r="J14" s="71"/>
      <c r="K14" s="71"/>
      <c r="L14" s="71"/>
      <c r="M14" s="71"/>
    </row>
    <row r="15" spans="2:13" ht="36">
      <c r="B15" s="7" t="s">
        <v>353</v>
      </c>
      <c r="C15" s="398" t="s">
        <v>354</v>
      </c>
      <c r="D15" s="417" t="s">
        <v>282</v>
      </c>
      <c r="E15" s="417"/>
      <c r="F15" s="417"/>
      <c r="G15" s="417"/>
      <c r="H15" s="71"/>
      <c r="I15" s="71"/>
      <c r="J15" s="71"/>
      <c r="K15" s="71"/>
      <c r="L15" s="71"/>
      <c r="M15" s="71"/>
    </row>
    <row r="16" spans="2:13" ht="24">
      <c r="B16" s="7" t="s">
        <v>355</v>
      </c>
      <c r="C16" s="398" t="s">
        <v>356</v>
      </c>
      <c r="D16" s="417">
        <v>1002</v>
      </c>
      <c r="E16" s="417"/>
      <c r="F16" s="417"/>
      <c r="G16" s="417"/>
      <c r="H16" s="71"/>
      <c r="I16" s="71"/>
      <c r="J16" s="71"/>
      <c r="K16" s="71"/>
      <c r="L16" s="71"/>
      <c r="M16" s="71"/>
    </row>
    <row r="17" spans="2:13" ht="24">
      <c r="B17" s="7" t="s">
        <v>357</v>
      </c>
      <c r="C17" s="398" t="s">
        <v>294</v>
      </c>
      <c r="D17" s="417" t="s">
        <v>280</v>
      </c>
      <c r="E17" s="417"/>
      <c r="F17" s="417"/>
      <c r="G17" s="417"/>
      <c r="H17" s="71"/>
      <c r="I17" s="71"/>
      <c r="J17" s="71"/>
      <c r="K17" s="71"/>
      <c r="L17" s="71"/>
      <c r="M17" s="71"/>
    </row>
    <row r="18" spans="2:13" ht="14">
      <c r="B18" s="9" t="s">
        <v>358</v>
      </c>
      <c r="C18" s="399" t="s">
        <v>359</v>
      </c>
      <c r="D18" s="417" t="s">
        <v>360</v>
      </c>
      <c r="E18" s="422"/>
      <c r="F18" s="422"/>
      <c r="G18" s="422"/>
      <c r="H18" s="71"/>
      <c r="I18" s="71"/>
      <c r="J18" s="71"/>
      <c r="K18" s="71"/>
      <c r="L18" s="71"/>
      <c r="M18" s="71"/>
    </row>
    <row r="19" spans="2:13" ht="36">
      <c r="B19" s="9" t="s">
        <v>361</v>
      </c>
      <c r="C19" s="399" t="s">
        <v>362</v>
      </c>
      <c r="D19" s="417" t="s">
        <v>328</v>
      </c>
      <c r="E19" s="417"/>
      <c r="F19" s="417"/>
      <c r="G19" s="417"/>
      <c r="H19" s="71"/>
      <c r="I19" s="71"/>
      <c r="J19" s="71"/>
      <c r="K19" s="71"/>
      <c r="L19" s="71"/>
      <c r="M19" s="71"/>
    </row>
    <row r="20" spans="2:13" ht="72">
      <c r="B20" s="9" t="s">
        <v>363</v>
      </c>
      <c r="C20" s="399" t="s">
        <v>364</v>
      </c>
      <c r="D20" s="417" t="s">
        <v>328</v>
      </c>
      <c r="E20" s="417"/>
      <c r="F20" s="417"/>
      <c r="G20" s="417"/>
      <c r="H20" s="71"/>
      <c r="I20" s="71"/>
      <c r="J20" s="71"/>
      <c r="K20" s="71"/>
      <c r="L20" s="71"/>
      <c r="M20" s="71"/>
    </row>
    <row r="21" spans="2:13" ht="36">
      <c r="B21" s="11" t="s">
        <v>365</v>
      </c>
      <c r="C21" s="400" t="s">
        <v>366</v>
      </c>
      <c r="D21" s="417" t="s">
        <v>1342</v>
      </c>
      <c r="E21" s="417"/>
      <c r="F21" s="417"/>
      <c r="G21" s="417"/>
      <c r="H21" s="71"/>
      <c r="I21" s="71"/>
      <c r="J21" s="71"/>
      <c r="K21" s="71"/>
      <c r="L21" s="71"/>
      <c r="M21" s="71"/>
    </row>
    <row r="22" spans="2:13" ht="36">
      <c r="B22" s="11" t="s">
        <v>369</v>
      </c>
      <c r="C22" s="400" t="s">
        <v>370</v>
      </c>
      <c r="D22" s="417" t="s">
        <v>1343</v>
      </c>
      <c r="E22" s="417"/>
      <c r="F22" s="417"/>
      <c r="G22" s="417"/>
      <c r="H22" s="71"/>
      <c r="I22" s="71"/>
      <c r="J22" s="71"/>
      <c r="K22" s="71"/>
      <c r="L22" s="71"/>
      <c r="M22" s="71"/>
    </row>
    <row r="23" spans="2:13" ht="14">
      <c r="B23" s="13" t="s">
        <v>477</v>
      </c>
      <c r="C23" s="401" t="s">
        <v>374</v>
      </c>
      <c r="D23" s="417" t="s">
        <v>374</v>
      </c>
      <c r="E23" s="417"/>
      <c r="F23" s="417"/>
      <c r="G23" s="417"/>
      <c r="H23" s="71"/>
      <c r="I23" s="71"/>
      <c r="J23" s="71"/>
      <c r="K23" s="71"/>
      <c r="L23" s="71"/>
      <c r="M23" s="71"/>
    </row>
    <row r="24" spans="2:13" ht="60">
      <c r="B24" s="13" t="s">
        <v>375</v>
      </c>
      <c r="C24" s="401" t="s">
        <v>376</v>
      </c>
      <c r="D24" s="424">
        <v>609</v>
      </c>
      <c r="E24" s="424"/>
      <c r="F24" s="424"/>
      <c r="G24" s="424"/>
      <c r="H24" s="71"/>
      <c r="I24" s="71"/>
      <c r="J24" s="71"/>
      <c r="K24" s="71"/>
      <c r="L24" s="71"/>
      <c r="M24" s="71"/>
    </row>
    <row r="25" spans="2:13" ht="60">
      <c r="B25" s="15" t="s">
        <v>377</v>
      </c>
      <c r="C25" s="402" t="s">
        <v>378</v>
      </c>
      <c r="D25" s="417">
        <v>3</v>
      </c>
      <c r="E25" s="417"/>
      <c r="F25" s="417"/>
      <c r="G25" s="417"/>
      <c r="H25" s="71"/>
      <c r="I25" s="71"/>
      <c r="J25" s="71"/>
      <c r="K25" s="71"/>
      <c r="L25" s="71"/>
      <c r="M25" s="71"/>
    </row>
    <row r="26" spans="2:13" ht="60">
      <c r="B26" s="15" t="s">
        <v>380</v>
      </c>
      <c r="C26" s="402" t="s">
        <v>381</v>
      </c>
      <c r="D26" s="417" t="s">
        <v>1344</v>
      </c>
      <c r="E26" s="417"/>
      <c r="F26" s="417"/>
      <c r="G26" s="417"/>
      <c r="H26" s="71"/>
      <c r="I26" s="71"/>
      <c r="J26" s="71"/>
      <c r="K26" s="71"/>
      <c r="L26" s="71"/>
      <c r="M26" s="71"/>
    </row>
    <row r="27" spans="2:13" ht="14">
      <c r="B27" s="40" t="s">
        <v>383</v>
      </c>
      <c r="C27" s="403" t="s">
        <v>383</v>
      </c>
      <c r="D27" s="429">
        <v>270000</v>
      </c>
      <c r="E27" s="429"/>
      <c r="F27" s="429"/>
      <c r="G27" s="429"/>
      <c r="H27" s="71"/>
      <c r="I27" s="71"/>
      <c r="J27" s="71"/>
      <c r="K27" s="71"/>
      <c r="L27" s="71"/>
      <c r="M27" s="71"/>
    </row>
    <row r="28" spans="2:13" ht="60">
      <c r="B28" s="15" t="s">
        <v>384</v>
      </c>
      <c r="C28" s="402" t="s">
        <v>450</v>
      </c>
      <c r="D28" s="429">
        <f>D27/D24</f>
        <v>443.3497536945813</v>
      </c>
      <c r="E28" s="433"/>
      <c r="F28" s="433"/>
      <c r="G28" s="433"/>
      <c r="H28" s="71"/>
      <c r="I28" s="71"/>
      <c r="J28" s="71"/>
      <c r="K28" s="71"/>
      <c r="L28" s="71"/>
      <c r="M28" s="71"/>
    </row>
    <row r="29" spans="2:13" ht="72">
      <c r="B29" s="15" t="s">
        <v>387</v>
      </c>
      <c r="C29" s="402" t="s">
        <v>388</v>
      </c>
      <c r="D29" s="417" t="s">
        <v>1345</v>
      </c>
      <c r="E29" s="417"/>
      <c r="F29" s="417"/>
      <c r="G29" s="417"/>
      <c r="H29" s="71"/>
      <c r="I29" s="71"/>
      <c r="J29" s="71"/>
      <c r="K29" s="71"/>
      <c r="L29" s="71"/>
      <c r="M29" s="71"/>
    </row>
    <row r="30" spans="2:13" ht="58">
      <c r="B30" s="13" t="s">
        <v>390</v>
      </c>
      <c r="C30" s="404" t="s">
        <v>453</v>
      </c>
      <c r="D30" s="417" t="s">
        <v>410</v>
      </c>
      <c r="E30" s="433"/>
      <c r="F30" s="433"/>
      <c r="G30" s="433"/>
      <c r="H30" s="71"/>
      <c r="I30" s="71"/>
      <c r="J30" s="71"/>
      <c r="K30" s="71"/>
      <c r="L30" s="71"/>
      <c r="M30" s="71"/>
    </row>
    <row r="31" spans="2:13" ht="28">
      <c r="B31" s="13"/>
      <c r="C31" s="405" t="s">
        <v>393</v>
      </c>
      <c r="D31" s="417" t="s">
        <v>410</v>
      </c>
      <c r="E31" s="433"/>
      <c r="F31" s="433"/>
      <c r="G31" s="433"/>
      <c r="H31" s="71"/>
      <c r="I31" s="71"/>
      <c r="J31" s="71"/>
      <c r="K31" s="71"/>
      <c r="L31" s="71"/>
      <c r="M31" s="71"/>
    </row>
    <row r="32" spans="2:13" ht="72">
      <c r="B32" s="13" t="s">
        <v>394</v>
      </c>
      <c r="C32" s="404" t="s">
        <v>395</v>
      </c>
      <c r="D32" s="6" t="s">
        <v>636</v>
      </c>
      <c r="E32" s="422"/>
      <c r="F32" s="422"/>
      <c r="G32" s="422"/>
      <c r="H32" s="71"/>
      <c r="I32" s="71"/>
      <c r="J32" s="71"/>
      <c r="K32" s="71"/>
      <c r="L32" s="71"/>
      <c r="M32" s="71"/>
    </row>
    <row r="33" spans="2:13" ht="24">
      <c r="B33" s="18" t="s">
        <v>397</v>
      </c>
      <c r="C33" s="406" t="s">
        <v>313</v>
      </c>
      <c r="D33" s="437">
        <v>45999</v>
      </c>
      <c r="E33" s="437"/>
      <c r="F33" s="437"/>
      <c r="G33" s="437"/>
      <c r="H33" s="71"/>
      <c r="I33" s="71"/>
      <c r="J33" s="71"/>
      <c r="K33" s="71"/>
      <c r="L33" s="71"/>
      <c r="M33" s="71"/>
    </row>
    <row r="34" spans="2:13" ht="36">
      <c r="B34" s="20" t="s">
        <v>398</v>
      </c>
      <c r="C34" s="406" t="s">
        <v>315</v>
      </c>
      <c r="D34" s="437">
        <v>47094</v>
      </c>
      <c r="E34" s="437"/>
      <c r="F34" s="437"/>
      <c r="G34" s="437"/>
      <c r="H34" s="71"/>
      <c r="I34" s="71"/>
      <c r="J34" s="71"/>
      <c r="K34" s="71"/>
      <c r="L34" s="71"/>
      <c r="M34" s="71"/>
    </row>
    <row r="35" spans="2:13" ht="36">
      <c r="B35" s="20" t="s">
        <v>399</v>
      </c>
      <c r="C35" s="406" t="s">
        <v>400</v>
      </c>
      <c r="D35" s="71"/>
      <c r="E35" s="417"/>
      <c r="F35" s="417"/>
      <c r="G35" s="417"/>
      <c r="H35" s="71"/>
      <c r="I35" s="71"/>
      <c r="J35" s="71"/>
      <c r="K35" s="71"/>
      <c r="L35" s="71"/>
      <c r="M35" s="71"/>
    </row>
    <row r="36" spans="2:13" ht="48">
      <c r="B36" s="20" t="s">
        <v>402</v>
      </c>
      <c r="C36" s="21" t="s">
        <v>403</v>
      </c>
      <c r="D36" s="6" t="s">
        <v>414</v>
      </c>
      <c r="E36" s="417"/>
      <c r="F36" s="417"/>
      <c r="G36" s="417"/>
      <c r="H36" s="71"/>
      <c r="I36" s="71"/>
      <c r="J36" s="71"/>
      <c r="K36" s="71"/>
      <c r="L36" s="71"/>
      <c r="M36" s="71"/>
    </row>
    <row r="37" spans="2:13" ht="72">
      <c r="B37" s="20" t="s">
        <v>404</v>
      </c>
      <c r="C37" s="21" t="s">
        <v>405</v>
      </c>
      <c r="D37" s="417" t="s">
        <v>1346</v>
      </c>
      <c r="E37" s="417"/>
      <c r="F37" s="417"/>
      <c r="G37" s="417"/>
      <c r="H37" s="71"/>
      <c r="I37" s="71"/>
      <c r="J37" s="71"/>
      <c r="K37" s="71"/>
      <c r="L37" s="71"/>
      <c r="M37" s="71"/>
    </row>
    <row r="38" spans="2:13" ht="36">
      <c r="B38" s="20" t="s">
        <v>406</v>
      </c>
      <c r="C38" s="21" t="s">
        <v>407</v>
      </c>
      <c r="D38" s="417" t="s">
        <v>414</v>
      </c>
      <c r="E38" s="417"/>
      <c r="F38" s="417"/>
      <c r="G38" s="417"/>
      <c r="H38" s="71"/>
      <c r="I38" s="71"/>
      <c r="J38" s="71"/>
      <c r="K38" s="71"/>
      <c r="L38" s="71"/>
      <c r="M38" s="71"/>
    </row>
    <row r="39" spans="2:13" ht="36">
      <c r="B39" s="20" t="s">
        <v>408</v>
      </c>
      <c r="C39" s="21" t="s">
        <v>409</v>
      </c>
      <c r="D39" s="417" t="s">
        <v>1347</v>
      </c>
      <c r="E39" s="417"/>
      <c r="F39" s="417"/>
      <c r="G39" s="417"/>
      <c r="H39" s="71"/>
      <c r="I39" s="71"/>
      <c r="J39" s="71"/>
      <c r="K39" s="71"/>
      <c r="L39" s="71"/>
      <c r="M39" s="71"/>
    </row>
    <row r="40" spans="2:13" ht="48">
      <c r="B40" s="20" t="s">
        <v>411</v>
      </c>
      <c r="C40" s="21" t="s">
        <v>314</v>
      </c>
      <c r="D40" s="84" t="s">
        <v>1348</v>
      </c>
      <c r="E40" s="437"/>
      <c r="F40" s="437"/>
      <c r="G40" s="437"/>
      <c r="H40" s="71"/>
      <c r="I40" s="71"/>
      <c r="J40" s="71"/>
      <c r="K40" s="71"/>
      <c r="L40" s="71"/>
      <c r="M40" s="71"/>
    </row>
    <row r="41" spans="2:13" ht="60">
      <c r="B41" s="22" t="s">
        <v>412</v>
      </c>
      <c r="C41" s="23" t="s">
        <v>413</v>
      </c>
      <c r="D41" s="440" t="s">
        <v>328</v>
      </c>
      <c r="E41" s="440"/>
      <c r="F41" s="440"/>
      <c r="G41" s="440"/>
      <c r="H41" s="71"/>
      <c r="I41" s="71"/>
      <c r="J41" s="71"/>
      <c r="K41" s="71"/>
      <c r="L41" s="71"/>
      <c r="M41" s="71"/>
    </row>
    <row r="42" spans="2:13" ht="72">
      <c r="B42" s="24" t="s">
        <v>457</v>
      </c>
      <c r="C42" s="23" t="s">
        <v>483</v>
      </c>
      <c r="D42" s="417" t="s">
        <v>328</v>
      </c>
      <c r="E42" s="417"/>
      <c r="F42" s="417"/>
      <c r="G42" s="417"/>
      <c r="H42" s="71"/>
      <c r="I42" s="71"/>
      <c r="J42" s="71"/>
      <c r="K42" s="71"/>
      <c r="L42" s="71"/>
      <c r="M42" s="71"/>
    </row>
    <row r="43" spans="2:13" ht="84">
      <c r="B43" s="25" t="s">
        <v>418</v>
      </c>
      <c r="C43" s="407" t="s">
        <v>419</v>
      </c>
      <c r="D43" s="6" t="s">
        <v>410</v>
      </c>
      <c r="E43" s="417"/>
      <c r="F43" s="417"/>
      <c r="G43" s="417"/>
      <c r="H43" s="71"/>
      <c r="I43" s="71"/>
      <c r="J43" s="71"/>
      <c r="K43" s="71"/>
      <c r="L43" s="71"/>
      <c r="M43" s="71"/>
    </row>
    <row r="44" spans="2:13" ht="132">
      <c r="B44" s="25" t="s">
        <v>420</v>
      </c>
      <c r="C44" s="407" t="s">
        <v>421</v>
      </c>
      <c r="D44" s="6" t="s">
        <v>328</v>
      </c>
      <c r="E44" s="417"/>
      <c r="F44" s="417"/>
      <c r="G44" s="417"/>
      <c r="H44" s="71"/>
      <c r="I44" s="71"/>
      <c r="J44" s="71"/>
      <c r="K44" s="71"/>
      <c r="L44" s="71"/>
      <c r="M44" s="71"/>
    </row>
    <row r="45" spans="2:13" ht="14">
      <c r="B45" s="27"/>
      <c r="C45" s="27"/>
      <c r="E45" s="72"/>
      <c r="F45" s="72"/>
      <c r="G45" s="72"/>
    </row>
    <row r="46" spans="2:13" ht="28">
      <c r="B46" s="27"/>
      <c r="C46" s="28" t="s">
        <v>484</v>
      </c>
      <c r="D46" s="417">
        <v>104</v>
      </c>
      <c r="E46" s="417"/>
      <c r="F46" s="417"/>
      <c r="G46" s="417"/>
      <c r="H46" s="71"/>
      <c r="I46" s="71"/>
      <c r="J46" s="71"/>
      <c r="K46" s="71"/>
      <c r="L46" s="71"/>
      <c r="M46" s="71"/>
    </row>
    <row r="47" spans="2:13" ht="42">
      <c r="B47" s="27"/>
      <c r="C47" s="29" t="s">
        <v>485</v>
      </c>
      <c r="D47" s="539">
        <v>17</v>
      </c>
      <c r="E47" s="417"/>
      <c r="F47" s="417"/>
      <c r="G47" s="417"/>
      <c r="H47" s="71"/>
      <c r="I47" s="71"/>
      <c r="J47" s="71"/>
      <c r="K47" s="71"/>
      <c r="L47" s="71"/>
      <c r="M47" s="71"/>
    </row>
    <row r="48" spans="2:13" ht="42">
      <c r="B48" s="27"/>
      <c r="C48" s="29" t="s">
        <v>486</v>
      </c>
      <c r="D48" s="539">
        <v>87</v>
      </c>
      <c r="E48" s="417"/>
      <c r="F48" s="417"/>
      <c r="G48" s="417"/>
      <c r="H48" s="71"/>
      <c r="I48" s="71"/>
      <c r="J48" s="71"/>
      <c r="K48" s="71"/>
      <c r="L48" s="71"/>
      <c r="M48" s="71"/>
    </row>
    <row r="49" spans="2:13">
      <c r="B49" s="27"/>
      <c r="C49" s="30"/>
      <c r="E49" s="442"/>
      <c r="F49" s="442"/>
      <c r="G49" s="442"/>
    </row>
    <row r="50" spans="2:13" ht="30">
      <c r="B50" s="27"/>
      <c r="C50" s="28" t="s">
        <v>426</v>
      </c>
      <c r="D50" s="539">
        <v>89</v>
      </c>
      <c r="E50" s="417"/>
      <c r="F50" s="417"/>
      <c r="G50" s="417"/>
      <c r="H50" s="71"/>
      <c r="I50" s="71"/>
      <c r="J50" s="71"/>
      <c r="K50" s="71"/>
      <c r="L50" s="71"/>
      <c r="M50" s="71"/>
    </row>
    <row r="51" spans="2:13" ht="28">
      <c r="B51" s="27"/>
      <c r="C51" s="29" t="s">
        <v>487</v>
      </c>
      <c r="D51" s="71"/>
      <c r="E51" s="417"/>
      <c r="F51" s="417"/>
      <c r="G51" s="417"/>
      <c r="H51" s="71"/>
      <c r="I51" s="71"/>
      <c r="J51" s="71"/>
      <c r="K51" s="71"/>
      <c r="L51" s="71"/>
      <c r="M51" s="71"/>
    </row>
    <row r="52" spans="2:13" ht="28">
      <c r="B52" s="27"/>
      <c r="C52" s="29" t="s">
        <v>488</v>
      </c>
      <c r="D52" s="71"/>
      <c r="E52" s="417"/>
      <c r="F52" s="417"/>
      <c r="G52" s="417"/>
      <c r="H52" s="71"/>
      <c r="I52" s="71"/>
      <c r="J52" s="71"/>
      <c r="K52" s="71"/>
      <c r="L52" s="71"/>
      <c r="M52" s="71"/>
    </row>
    <row r="53" spans="2:13">
      <c r="B53" s="27"/>
      <c r="C53" s="31"/>
      <c r="E53" s="442"/>
      <c r="F53" s="442"/>
      <c r="G53" s="442"/>
    </row>
    <row r="54" spans="2:13" ht="28">
      <c r="B54" s="27"/>
      <c r="C54" s="28" t="s">
        <v>427</v>
      </c>
      <c r="D54" s="417" t="s">
        <v>414</v>
      </c>
      <c r="E54" s="417"/>
      <c r="F54" s="417"/>
      <c r="G54" s="417"/>
      <c r="H54" s="71"/>
      <c r="I54" s="71"/>
      <c r="J54" s="71"/>
      <c r="K54" s="71"/>
      <c r="L54" s="71"/>
      <c r="M54" s="71"/>
    </row>
    <row r="55" spans="2:13" ht="28">
      <c r="B55" s="27"/>
      <c r="C55" s="28" t="s">
        <v>489</v>
      </c>
      <c r="D55" s="417">
        <v>8</v>
      </c>
      <c r="E55" s="417"/>
      <c r="F55" s="417"/>
      <c r="G55" s="417"/>
      <c r="H55" s="71"/>
      <c r="I55" s="71"/>
      <c r="J55" s="71"/>
      <c r="K55" s="71"/>
      <c r="L55" s="71"/>
      <c r="M55" s="71"/>
    </row>
    <row r="56" spans="2:13" ht="28">
      <c r="B56" s="27"/>
      <c r="C56" s="28" t="s">
        <v>490</v>
      </c>
      <c r="D56" s="417">
        <v>8</v>
      </c>
      <c r="E56" s="417"/>
      <c r="F56" s="417"/>
      <c r="G56" s="417"/>
      <c r="H56" s="71"/>
      <c r="I56" s="71"/>
      <c r="J56" s="71"/>
      <c r="K56" s="71"/>
      <c r="L56" s="71"/>
      <c r="M56" s="71"/>
    </row>
    <row r="57" spans="2:13" ht="56">
      <c r="B57" s="27"/>
      <c r="C57" s="28" t="s">
        <v>430</v>
      </c>
      <c r="D57" s="71"/>
      <c r="E57" s="75"/>
      <c r="F57" s="75"/>
      <c r="G57" s="75"/>
      <c r="H57" s="71"/>
      <c r="I57" s="71"/>
      <c r="J57" s="71"/>
      <c r="K57" s="71"/>
      <c r="L57" s="71"/>
      <c r="M57" s="71"/>
    </row>
    <row r="58" spans="2:13" ht="56">
      <c r="B58" s="27"/>
      <c r="C58" s="28" t="s">
        <v>431</v>
      </c>
      <c r="D58" s="71"/>
      <c r="E58" s="75"/>
      <c r="F58" s="75"/>
      <c r="G58" s="75"/>
      <c r="H58" s="71"/>
      <c r="I58" s="71"/>
      <c r="J58" s="71"/>
      <c r="K58" s="71"/>
      <c r="L58" s="71"/>
      <c r="M58" s="71"/>
    </row>
  </sheetData>
  <mergeCells count="2">
    <mergeCell ref="C6:D6"/>
    <mergeCell ref="C7:D7"/>
  </mergeCells>
  <conditionalFormatting sqref="B13:B17">
    <cfRule type="colorScale" priority="12">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51" priority="2">
      <formula>#REF!="Owned"</formula>
    </cfRule>
  </conditionalFormatting>
  <conditionalFormatting sqref="B28:B29 B26">
    <cfRule type="colorScale" priority="9">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B25:C26">
    <cfRule type="expression" dxfId="50" priority="4">
      <formula>#REF!="Owned"</formula>
    </cfRule>
  </conditionalFormatting>
  <conditionalFormatting sqref="C27:C32">
    <cfRule type="expression" dxfId="49" priority="1">
      <formula>#REF!="Owned"</formula>
    </cfRule>
  </conditionalFormatting>
  <dataValidations count="1">
    <dataValidation type="list" allowBlank="1" showInputMessage="1" showErrorMessage="1" sqref="E6" xr:uid="{7DA73238-C8D9-43E2-A448-E19749EC9821}">
      <formula1>"Yes, No"</formula1>
    </dataValidation>
  </dataValidations>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30BB2-E3C4-489C-A0B2-5592B8C350D7}">
  <sheetPr codeName="Feuil43">
    <tabColor rgb="FF00B050"/>
    <pageSetUpPr fitToPage="1"/>
  </sheetPr>
  <dimension ref="B2:R68"/>
  <sheetViews>
    <sheetView zoomScale="70" zoomScaleNormal="70" workbookViewId="0">
      <selection activeCell="G25" sqref="G25"/>
    </sheetView>
  </sheetViews>
  <sheetFormatPr baseColWidth="10" defaultColWidth="9.1640625" defaultRowHeight="36.5" customHeight="1"/>
  <cols>
    <col min="1" max="1" width="19.5" style="1" customWidth="1"/>
    <col min="2" max="2" width="24.1640625" style="1" customWidth="1"/>
    <col min="3" max="3" width="25.5" style="1" customWidth="1"/>
    <col min="4" max="18" width="22.83203125" style="1" customWidth="1"/>
    <col min="19" max="16384" width="9.1640625" style="1"/>
  </cols>
  <sheetData>
    <row r="2" spans="2:18" ht="36.5" customHeight="1">
      <c r="C2" s="506" t="s">
        <v>323</v>
      </c>
      <c r="D2" s="100">
        <v>45932</v>
      </c>
      <c r="E2" s="315"/>
      <c r="F2" s="3"/>
      <c r="G2" s="3"/>
      <c r="H2" s="3"/>
      <c r="I2" s="4"/>
    </row>
    <row r="4" spans="2:18" ht="36.5" customHeight="1">
      <c r="C4" s="316" t="s">
        <v>324</v>
      </c>
      <c r="D4" s="82" t="s">
        <v>115</v>
      </c>
      <c r="E4" s="82" t="s">
        <v>115</v>
      </c>
      <c r="I4" s="5"/>
    </row>
    <row r="6" spans="2:18" ht="36.5" customHeight="1">
      <c r="B6" s="1" t="s">
        <v>326</v>
      </c>
      <c r="C6" s="589" t="s">
        <v>327</v>
      </c>
      <c r="D6" s="591"/>
      <c r="E6" s="6" t="s">
        <v>414</v>
      </c>
      <c r="F6" s="101"/>
      <c r="G6" s="101"/>
      <c r="H6" s="101"/>
    </row>
    <row r="7" spans="2:18" ht="36.5" customHeight="1">
      <c r="B7" s="1" t="s">
        <v>326</v>
      </c>
      <c r="C7" s="589" t="s">
        <v>329</v>
      </c>
      <c r="D7" s="591"/>
      <c r="E7" s="6">
        <v>2</v>
      </c>
      <c r="F7" s="101"/>
      <c r="G7" s="101"/>
      <c r="H7" s="101"/>
    </row>
    <row r="8" spans="2:18" ht="36.5" customHeight="1">
      <c r="C8" s="113"/>
      <c r="D8" s="113"/>
      <c r="E8" s="42"/>
      <c r="F8" s="101"/>
      <c r="G8" s="101"/>
      <c r="H8" s="101"/>
    </row>
    <row r="9" spans="2:18" ht="36.5" customHeight="1">
      <c r="C9" s="318" t="s">
        <v>441</v>
      </c>
      <c r="D9" s="67"/>
      <c r="E9" s="67"/>
      <c r="F9" s="67"/>
      <c r="G9" s="67"/>
      <c r="H9" s="67"/>
      <c r="I9" s="67"/>
      <c r="J9" s="67"/>
      <c r="K9" s="67"/>
      <c r="L9" s="67"/>
      <c r="M9" s="67"/>
      <c r="N9" s="67"/>
      <c r="O9" s="67"/>
      <c r="P9" s="67"/>
      <c r="Q9" s="67"/>
      <c r="R9" s="71"/>
    </row>
    <row r="10" spans="2:18" ht="36.5" customHeight="1">
      <c r="C10" s="104" t="s">
        <v>331</v>
      </c>
      <c r="D10" s="319" t="s">
        <v>1349</v>
      </c>
      <c r="E10" s="114" t="s">
        <v>1350</v>
      </c>
      <c r="F10" s="114" t="s">
        <v>334</v>
      </c>
      <c r="G10" s="114" t="s">
        <v>335</v>
      </c>
      <c r="H10" s="114" t="s">
        <v>336</v>
      </c>
      <c r="I10" s="114" t="s">
        <v>337</v>
      </c>
      <c r="J10" s="114" t="s">
        <v>338</v>
      </c>
      <c r="K10" s="114" t="s">
        <v>339</v>
      </c>
      <c r="L10" s="114" t="s">
        <v>340</v>
      </c>
      <c r="M10" s="114" t="s">
        <v>341</v>
      </c>
      <c r="N10" s="114" t="s">
        <v>342</v>
      </c>
      <c r="O10" s="114" t="s">
        <v>343</v>
      </c>
      <c r="P10" s="114" t="s">
        <v>344</v>
      </c>
      <c r="Q10" s="114" t="s">
        <v>345</v>
      </c>
      <c r="R10" s="114" t="s">
        <v>346</v>
      </c>
    </row>
    <row r="11" spans="2:18" ht="36.5" customHeight="1">
      <c r="C11" s="391" t="s">
        <v>299</v>
      </c>
      <c r="D11" s="84" t="s">
        <v>1351</v>
      </c>
      <c r="E11" s="84" t="s">
        <v>1352</v>
      </c>
      <c r="F11" s="84"/>
      <c r="G11" s="84"/>
      <c r="H11" s="84"/>
      <c r="I11" s="84"/>
      <c r="J11" s="84"/>
      <c r="K11" s="84"/>
      <c r="L11" s="84"/>
      <c r="M11" s="84"/>
      <c r="N11" s="84"/>
      <c r="O11" s="84"/>
      <c r="P11" s="84"/>
      <c r="Q11" s="84"/>
      <c r="R11" s="84"/>
    </row>
    <row r="12" spans="2:18" ht="36.5" customHeight="1">
      <c r="C12" s="68"/>
      <c r="D12" s="115"/>
      <c r="E12" s="116"/>
      <c r="F12" s="116"/>
      <c r="G12" s="116"/>
      <c r="H12" s="116"/>
      <c r="I12" s="116"/>
      <c r="J12" s="117"/>
      <c r="K12" s="117"/>
      <c r="L12" s="117"/>
      <c r="M12" s="117"/>
      <c r="N12" s="117"/>
      <c r="O12" s="117"/>
      <c r="P12" s="117"/>
      <c r="Q12" s="117"/>
      <c r="R12" s="117"/>
    </row>
    <row r="13" spans="2:18" ht="36.5" customHeight="1">
      <c r="B13" s="7" t="s">
        <v>348</v>
      </c>
      <c r="C13" s="8" t="s">
        <v>349</v>
      </c>
      <c r="D13" s="118"/>
      <c r="E13" s="118"/>
      <c r="F13" s="118"/>
      <c r="G13" s="118"/>
      <c r="H13" s="118"/>
      <c r="I13" s="118"/>
      <c r="J13" s="118"/>
      <c r="K13" s="118"/>
      <c r="L13" s="118"/>
      <c r="M13" s="118"/>
      <c r="N13" s="118"/>
      <c r="O13" s="118"/>
      <c r="P13" s="118"/>
      <c r="Q13" s="118"/>
      <c r="R13" s="118"/>
    </row>
    <row r="14" spans="2:18" ht="36.5" customHeight="1">
      <c r="B14" s="7" t="s">
        <v>352</v>
      </c>
      <c r="C14" s="8" t="s">
        <v>297</v>
      </c>
      <c r="D14" s="85" t="s">
        <v>119</v>
      </c>
      <c r="E14" s="85" t="s">
        <v>117</v>
      </c>
      <c r="F14" s="85"/>
      <c r="G14" s="85"/>
      <c r="H14" s="85"/>
      <c r="I14" s="85"/>
      <c r="J14" s="85"/>
      <c r="K14" s="85"/>
      <c r="L14" s="85"/>
      <c r="M14" s="85"/>
      <c r="N14" s="85"/>
      <c r="O14" s="85"/>
      <c r="P14" s="85"/>
      <c r="Q14" s="85"/>
      <c r="R14" s="85"/>
    </row>
    <row r="15" spans="2:18" ht="36.5" customHeight="1">
      <c r="B15" s="7" t="s">
        <v>353</v>
      </c>
      <c r="C15" s="8" t="s">
        <v>354</v>
      </c>
      <c r="D15" s="85" t="s">
        <v>120</v>
      </c>
      <c r="E15" s="85" t="s">
        <v>118</v>
      </c>
      <c r="F15" s="85"/>
      <c r="G15" s="85"/>
      <c r="H15" s="85"/>
      <c r="I15" s="85"/>
      <c r="J15" s="85"/>
      <c r="K15" s="85"/>
      <c r="L15" s="85"/>
      <c r="M15" s="85"/>
      <c r="N15" s="85"/>
      <c r="O15" s="85"/>
      <c r="P15" s="85"/>
      <c r="Q15" s="85"/>
      <c r="R15" s="85"/>
    </row>
    <row r="16" spans="2:18" ht="36.5" customHeight="1">
      <c r="B16" s="7" t="s">
        <v>355</v>
      </c>
      <c r="C16" s="8" t="s">
        <v>356</v>
      </c>
      <c r="D16" s="85"/>
      <c r="E16" s="85">
        <v>34662</v>
      </c>
      <c r="F16" s="85"/>
      <c r="G16" s="85"/>
      <c r="H16" s="85"/>
      <c r="I16" s="85"/>
      <c r="J16" s="85"/>
      <c r="K16" s="85"/>
      <c r="L16" s="85"/>
      <c r="M16" s="85"/>
      <c r="N16" s="85"/>
      <c r="O16" s="85"/>
      <c r="P16" s="85"/>
      <c r="Q16" s="85"/>
      <c r="R16" s="85"/>
    </row>
    <row r="17" spans="2:18" ht="36.5" customHeight="1">
      <c r="B17" s="7" t="s">
        <v>357</v>
      </c>
      <c r="C17" s="8" t="s">
        <v>294</v>
      </c>
      <c r="D17" s="85" t="s">
        <v>116</v>
      </c>
      <c r="E17" s="85" t="s">
        <v>116</v>
      </c>
      <c r="F17" s="85"/>
      <c r="G17" s="85"/>
      <c r="H17" s="85"/>
      <c r="I17" s="85"/>
      <c r="J17" s="85"/>
      <c r="K17" s="85"/>
      <c r="L17" s="85"/>
      <c r="M17" s="85"/>
      <c r="N17" s="85"/>
      <c r="O17" s="85"/>
      <c r="P17" s="85"/>
      <c r="Q17" s="85"/>
      <c r="R17" s="85"/>
    </row>
    <row r="18" spans="2:18" ht="36.5" customHeight="1">
      <c r="B18" s="9" t="s">
        <v>358</v>
      </c>
      <c r="C18" s="10" t="s">
        <v>359</v>
      </c>
      <c r="D18" s="85" t="s">
        <v>360</v>
      </c>
      <c r="E18" s="85" t="s">
        <v>360</v>
      </c>
      <c r="F18" s="85"/>
      <c r="G18" s="85"/>
      <c r="H18" s="85"/>
      <c r="I18" s="85"/>
      <c r="J18" s="85"/>
      <c r="K18" s="85"/>
      <c r="L18" s="85"/>
      <c r="M18" s="85"/>
      <c r="N18" s="85"/>
      <c r="O18" s="85"/>
      <c r="P18" s="85"/>
      <c r="Q18" s="85"/>
      <c r="R18" s="85"/>
    </row>
    <row r="19" spans="2:18" ht="36.5" customHeight="1">
      <c r="B19" s="9" t="s">
        <v>361</v>
      </c>
      <c r="C19" s="10" t="s">
        <v>362</v>
      </c>
      <c r="D19" s="85" t="s">
        <v>328</v>
      </c>
      <c r="E19" s="85" t="s">
        <v>328</v>
      </c>
      <c r="F19" s="85"/>
      <c r="G19" s="85"/>
      <c r="H19" s="85"/>
      <c r="I19" s="85"/>
      <c r="J19" s="85"/>
      <c r="K19" s="85"/>
      <c r="L19" s="85"/>
      <c r="M19" s="85"/>
      <c r="N19" s="85"/>
      <c r="O19" s="85"/>
      <c r="P19" s="85"/>
      <c r="Q19" s="85"/>
      <c r="R19" s="85"/>
    </row>
    <row r="20" spans="2:18" ht="36.5" customHeight="1">
      <c r="B20" s="9" t="s">
        <v>363</v>
      </c>
      <c r="C20" s="10" t="s">
        <v>364</v>
      </c>
      <c r="D20" s="85" t="s">
        <v>328</v>
      </c>
      <c r="E20" s="85" t="s">
        <v>498</v>
      </c>
      <c r="F20" s="85"/>
      <c r="G20" s="85"/>
      <c r="H20" s="85"/>
      <c r="I20" s="85"/>
      <c r="J20" s="85"/>
      <c r="K20" s="85"/>
      <c r="L20" s="85"/>
      <c r="M20" s="85"/>
      <c r="N20" s="85"/>
      <c r="O20" s="85"/>
      <c r="P20" s="85"/>
      <c r="Q20" s="85"/>
      <c r="R20" s="85"/>
    </row>
    <row r="21" spans="2:18" ht="36.5" customHeight="1">
      <c r="B21" s="11" t="s">
        <v>365</v>
      </c>
      <c r="C21" s="12" t="s">
        <v>366</v>
      </c>
      <c r="D21" s="85" t="s">
        <v>1353</v>
      </c>
      <c r="E21" s="85" t="s">
        <v>1353</v>
      </c>
      <c r="F21" s="85"/>
      <c r="G21" s="85"/>
      <c r="H21" s="85"/>
      <c r="I21" s="85"/>
      <c r="J21" s="85"/>
      <c r="K21" s="85"/>
      <c r="L21" s="85"/>
      <c r="M21" s="85"/>
      <c r="N21" s="85"/>
      <c r="O21" s="85"/>
      <c r="P21" s="85"/>
      <c r="Q21" s="85"/>
      <c r="R21" s="85"/>
    </row>
    <row r="22" spans="2:18" ht="36.5" customHeight="1">
      <c r="B22" s="11" t="s">
        <v>369</v>
      </c>
      <c r="C22" s="12" t="s">
        <v>370</v>
      </c>
      <c r="D22" s="85" t="s">
        <v>1354</v>
      </c>
      <c r="E22" s="85" t="s">
        <v>1355</v>
      </c>
      <c r="F22" s="85"/>
      <c r="G22" s="85"/>
      <c r="H22" s="85"/>
      <c r="I22" s="85"/>
      <c r="J22" s="85"/>
      <c r="K22" s="85"/>
      <c r="L22" s="85"/>
      <c r="M22" s="85"/>
      <c r="N22" s="85"/>
      <c r="O22" s="85"/>
      <c r="P22" s="85"/>
      <c r="Q22" s="85"/>
      <c r="R22" s="85"/>
    </row>
    <row r="23" spans="2:18" ht="36.5" customHeight="1">
      <c r="B23" s="13"/>
      <c r="C23" s="87" t="s">
        <v>374</v>
      </c>
      <c r="D23" s="131" t="s">
        <v>374</v>
      </c>
      <c r="E23" s="131" t="s">
        <v>374</v>
      </c>
      <c r="F23" s="131"/>
      <c r="G23" s="131"/>
      <c r="H23" s="131"/>
      <c r="I23" s="131"/>
      <c r="J23" s="131"/>
      <c r="K23" s="131"/>
      <c r="L23" s="131"/>
      <c r="M23" s="131"/>
      <c r="N23" s="131"/>
      <c r="O23" s="131"/>
      <c r="P23" s="131"/>
      <c r="Q23" s="131"/>
      <c r="R23" s="131"/>
    </row>
    <row r="24" spans="2:18" ht="36.5" customHeight="1">
      <c r="B24" s="13" t="s">
        <v>375</v>
      </c>
      <c r="C24" s="14" t="s">
        <v>376</v>
      </c>
      <c r="D24" s="88">
        <v>1450</v>
      </c>
      <c r="E24" s="88">
        <v>830</v>
      </c>
      <c r="F24" s="88"/>
      <c r="G24" s="88"/>
      <c r="H24" s="88"/>
      <c r="I24" s="88"/>
      <c r="J24" s="88"/>
      <c r="K24" s="88"/>
      <c r="L24" s="88"/>
      <c r="M24" s="88"/>
      <c r="N24" s="88"/>
      <c r="O24" s="88"/>
      <c r="P24" s="88"/>
      <c r="Q24" s="88"/>
      <c r="R24" s="88"/>
    </row>
    <row r="25" spans="2:18" ht="36.5" customHeight="1">
      <c r="B25" s="15" t="s">
        <v>377</v>
      </c>
      <c r="C25" s="16" t="s">
        <v>378</v>
      </c>
      <c r="D25" s="119">
        <v>6</v>
      </c>
      <c r="E25" s="119">
        <v>12</v>
      </c>
      <c r="F25" s="85"/>
      <c r="G25" s="85"/>
      <c r="H25" s="85"/>
      <c r="I25" s="85"/>
      <c r="J25" s="85"/>
      <c r="K25" s="85"/>
      <c r="L25" s="85"/>
      <c r="M25" s="85"/>
      <c r="N25" s="85"/>
      <c r="O25" s="85"/>
      <c r="P25" s="85"/>
      <c r="Q25" s="85"/>
      <c r="R25" s="85"/>
    </row>
    <row r="26" spans="2:18" ht="36.5" customHeight="1">
      <c r="B26" s="15" t="s">
        <v>380</v>
      </c>
      <c r="C26" s="16" t="s">
        <v>381</v>
      </c>
      <c r="D26" s="89" t="s">
        <v>1356</v>
      </c>
      <c r="E26" s="89" t="s">
        <v>1356</v>
      </c>
      <c r="F26" s="88"/>
      <c r="G26" s="85"/>
      <c r="H26" s="85"/>
      <c r="I26" s="85"/>
      <c r="J26" s="85"/>
      <c r="K26" s="85"/>
      <c r="L26" s="85"/>
      <c r="M26" s="85"/>
      <c r="N26" s="85"/>
      <c r="O26" s="85"/>
      <c r="P26" s="85"/>
      <c r="Q26" s="85"/>
      <c r="R26" s="85"/>
    </row>
    <row r="27" spans="2:18" ht="36.5" customHeight="1">
      <c r="B27" s="323" t="s">
        <v>383</v>
      </c>
      <c r="C27" s="324" t="s">
        <v>383</v>
      </c>
      <c r="D27" s="89">
        <v>240000</v>
      </c>
      <c r="E27" s="89">
        <v>472950</v>
      </c>
      <c r="F27" s="88"/>
      <c r="G27" s="85"/>
      <c r="H27" s="85"/>
      <c r="I27" s="85"/>
      <c r="J27" s="85"/>
      <c r="K27" s="85"/>
      <c r="L27" s="85"/>
      <c r="M27" s="85"/>
      <c r="N27" s="85"/>
      <c r="O27" s="85"/>
      <c r="P27" s="85"/>
      <c r="Q27" s="85"/>
      <c r="R27" s="85"/>
    </row>
    <row r="28" spans="2:18" ht="36.5" customHeight="1">
      <c r="B28" s="15" t="s">
        <v>384</v>
      </c>
      <c r="C28" s="16" t="s">
        <v>450</v>
      </c>
      <c r="D28" s="120"/>
      <c r="E28" s="120"/>
      <c r="F28" s="88"/>
      <c r="G28" s="85"/>
      <c r="H28" s="85"/>
      <c r="I28" s="85"/>
      <c r="J28" s="85"/>
      <c r="K28" s="85"/>
      <c r="L28" s="85"/>
      <c r="M28" s="85"/>
      <c r="N28" s="85"/>
      <c r="O28" s="85"/>
      <c r="P28" s="85"/>
      <c r="Q28" s="85"/>
      <c r="R28" s="85"/>
    </row>
    <row r="29" spans="2:18" ht="36.5" customHeight="1">
      <c r="B29" s="15" t="s">
        <v>387</v>
      </c>
      <c r="C29" s="16" t="s">
        <v>388</v>
      </c>
      <c r="D29" s="89" t="s">
        <v>1357</v>
      </c>
      <c r="E29" s="89" t="s">
        <v>1357</v>
      </c>
      <c r="F29" s="88"/>
      <c r="G29" s="85"/>
      <c r="H29" s="85"/>
      <c r="I29" s="85"/>
      <c r="J29" s="85"/>
      <c r="K29" s="85"/>
      <c r="L29" s="85"/>
      <c r="M29" s="85"/>
      <c r="N29" s="85"/>
      <c r="O29" s="85"/>
      <c r="P29" s="85"/>
      <c r="Q29" s="85"/>
      <c r="R29" s="85"/>
    </row>
    <row r="30" spans="2:18" ht="36.5" customHeight="1">
      <c r="B30" s="13" t="s">
        <v>390</v>
      </c>
      <c r="C30" s="17" t="s">
        <v>453</v>
      </c>
      <c r="D30" s="85">
        <f>210*12</f>
        <v>2520</v>
      </c>
      <c r="E30" s="85">
        <f>210*12</f>
        <v>2520</v>
      </c>
      <c r="F30" s="85"/>
      <c r="G30" s="85"/>
      <c r="H30" s="85"/>
      <c r="I30" s="85"/>
      <c r="J30" s="85"/>
      <c r="K30" s="85"/>
      <c r="L30" s="85"/>
      <c r="M30" s="85"/>
      <c r="N30" s="85"/>
      <c r="O30" s="85"/>
      <c r="P30" s="85"/>
      <c r="Q30" s="85"/>
      <c r="R30" s="85"/>
    </row>
    <row r="31" spans="2:18" ht="36.5" customHeight="1">
      <c r="B31" s="326"/>
      <c r="C31" s="327" t="s">
        <v>393</v>
      </c>
      <c r="D31" s="85"/>
      <c r="E31" s="85"/>
      <c r="F31" s="85"/>
      <c r="G31" s="85"/>
      <c r="H31" s="85"/>
      <c r="I31" s="85"/>
      <c r="J31" s="85"/>
      <c r="K31" s="85"/>
      <c r="L31" s="85"/>
      <c r="M31" s="85"/>
      <c r="N31" s="85"/>
      <c r="O31" s="85"/>
      <c r="P31" s="85"/>
      <c r="Q31" s="85"/>
      <c r="R31" s="85"/>
    </row>
    <row r="32" spans="2:18" ht="36.5" customHeight="1">
      <c r="B32" s="13" t="s">
        <v>394</v>
      </c>
      <c r="C32" s="17" t="s">
        <v>395</v>
      </c>
      <c r="D32" s="85" t="s">
        <v>1358</v>
      </c>
      <c r="E32" s="85" t="s">
        <v>1358</v>
      </c>
      <c r="F32" s="85"/>
      <c r="G32" s="85"/>
      <c r="H32" s="85"/>
      <c r="I32" s="85"/>
      <c r="J32" s="85"/>
      <c r="K32" s="85"/>
      <c r="L32" s="85"/>
      <c r="M32" s="85"/>
      <c r="N32" s="85"/>
      <c r="O32" s="85"/>
      <c r="P32" s="85"/>
      <c r="Q32" s="85"/>
      <c r="R32" s="85"/>
    </row>
    <row r="33" spans="2:18" ht="36.5" customHeight="1">
      <c r="B33" s="18" t="s">
        <v>397</v>
      </c>
      <c r="C33" s="19" t="s">
        <v>313</v>
      </c>
      <c r="D33" s="91">
        <v>42767</v>
      </c>
      <c r="E33" s="91">
        <v>43132</v>
      </c>
      <c r="F33" s="91"/>
      <c r="G33" s="91"/>
      <c r="H33" s="91"/>
      <c r="I33" s="91"/>
      <c r="J33" s="85"/>
      <c r="K33" s="85"/>
      <c r="L33" s="85"/>
      <c r="M33" s="85"/>
      <c r="N33" s="85"/>
      <c r="O33" s="85"/>
      <c r="P33" s="85"/>
      <c r="Q33" s="85"/>
      <c r="R33" s="85"/>
    </row>
    <row r="34" spans="2:18" ht="36.5" customHeight="1">
      <c r="B34" s="20" t="s">
        <v>398</v>
      </c>
      <c r="C34" s="19" t="s">
        <v>315</v>
      </c>
      <c r="D34" s="91">
        <v>46539</v>
      </c>
      <c r="E34" s="91">
        <v>46539</v>
      </c>
      <c r="F34" s="91"/>
      <c r="G34" s="91"/>
      <c r="H34" s="91"/>
      <c r="I34" s="91"/>
      <c r="J34" s="85"/>
      <c r="K34" s="85"/>
      <c r="L34" s="85"/>
      <c r="M34" s="85"/>
      <c r="N34" s="85"/>
      <c r="O34" s="85"/>
      <c r="P34" s="85"/>
      <c r="Q34" s="85"/>
      <c r="R34" s="85"/>
    </row>
    <row r="35" spans="2:18" ht="36.5" customHeight="1">
      <c r="B35" s="20" t="s">
        <v>399</v>
      </c>
      <c r="C35" s="19" t="s">
        <v>400</v>
      </c>
      <c r="D35" s="85" t="s">
        <v>1359</v>
      </c>
      <c r="E35" s="85" t="s">
        <v>1359</v>
      </c>
      <c r="F35" s="85"/>
      <c r="G35" s="85"/>
      <c r="H35" s="85"/>
      <c r="I35" s="85"/>
      <c r="J35" s="85"/>
      <c r="K35" s="85"/>
      <c r="L35" s="85"/>
      <c r="M35" s="85"/>
      <c r="N35" s="85"/>
      <c r="O35" s="85"/>
      <c r="P35" s="85"/>
      <c r="Q35" s="85"/>
      <c r="R35" s="85"/>
    </row>
    <row r="36" spans="2:18" ht="36.5" customHeight="1">
      <c r="B36" s="20" t="s">
        <v>402</v>
      </c>
      <c r="C36" s="21" t="s">
        <v>403</v>
      </c>
      <c r="D36" s="92" t="s">
        <v>1359</v>
      </c>
      <c r="E36" s="92" t="s">
        <v>1359</v>
      </c>
      <c r="F36" s="93"/>
      <c r="G36" s="93"/>
      <c r="H36" s="93"/>
      <c r="I36" s="93"/>
      <c r="J36" s="85"/>
      <c r="K36" s="85"/>
      <c r="L36" s="85"/>
      <c r="M36" s="85"/>
      <c r="N36" s="85"/>
      <c r="O36" s="85"/>
      <c r="P36" s="85"/>
      <c r="Q36" s="85"/>
      <c r="R36" s="85"/>
    </row>
    <row r="37" spans="2:18" ht="36.5" customHeight="1">
      <c r="B37" s="20" t="s">
        <v>404</v>
      </c>
      <c r="C37" s="21" t="s">
        <v>405</v>
      </c>
      <c r="D37" s="92" t="s">
        <v>1360</v>
      </c>
      <c r="E37" s="92" t="s">
        <v>1360</v>
      </c>
      <c r="F37" s="93"/>
      <c r="G37" s="93"/>
      <c r="H37" s="93"/>
      <c r="I37" s="93"/>
      <c r="J37" s="85"/>
      <c r="K37" s="85"/>
      <c r="L37" s="85"/>
      <c r="M37" s="85"/>
      <c r="N37" s="85"/>
      <c r="O37" s="85"/>
      <c r="P37" s="85"/>
      <c r="Q37" s="85"/>
      <c r="R37" s="85"/>
    </row>
    <row r="38" spans="2:18" ht="36.5" customHeight="1">
      <c r="B38" s="20" t="s">
        <v>406</v>
      </c>
      <c r="C38" s="21" t="s">
        <v>407</v>
      </c>
      <c r="D38" s="92" t="s">
        <v>674</v>
      </c>
      <c r="E38" s="92" t="s">
        <v>674</v>
      </c>
      <c r="F38" s="93"/>
      <c r="G38" s="93"/>
      <c r="H38" s="93"/>
      <c r="I38" s="93"/>
      <c r="J38" s="85"/>
      <c r="K38" s="85"/>
      <c r="L38" s="85"/>
      <c r="M38" s="85"/>
      <c r="N38" s="85"/>
      <c r="O38" s="85"/>
      <c r="P38" s="85"/>
      <c r="Q38" s="85"/>
      <c r="R38" s="85"/>
    </row>
    <row r="39" spans="2:18" ht="36.5" customHeight="1">
      <c r="B39" s="20" t="s">
        <v>408</v>
      </c>
      <c r="C39" s="21" t="s">
        <v>409</v>
      </c>
      <c r="D39" s="136" t="s">
        <v>1361</v>
      </c>
      <c r="E39" s="136" t="s">
        <v>1361</v>
      </c>
      <c r="F39" s="95"/>
      <c r="G39" s="93"/>
      <c r="H39" s="93"/>
      <c r="I39" s="93"/>
      <c r="J39" s="85"/>
      <c r="K39" s="85"/>
      <c r="L39" s="85"/>
      <c r="M39" s="85"/>
      <c r="N39" s="85"/>
      <c r="O39" s="85"/>
      <c r="P39" s="85"/>
      <c r="Q39" s="85"/>
      <c r="R39" s="85"/>
    </row>
    <row r="40" spans="2:18" ht="36.5" customHeight="1">
      <c r="B40" s="20" t="s">
        <v>411</v>
      </c>
      <c r="C40" s="21" t="s">
        <v>314</v>
      </c>
      <c r="D40" s="92">
        <v>46539</v>
      </c>
      <c r="E40" s="92">
        <v>46539</v>
      </c>
      <c r="F40" s="93"/>
      <c r="G40" s="93"/>
      <c r="H40" s="93"/>
      <c r="I40" s="93"/>
      <c r="J40" s="85"/>
      <c r="K40" s="85"/>
      <c r="L40" s="85"/>
      <c r="M40" s="85"/>
      <c r="N40" s="85"/>
      <c r="O40" s="85"/>
      <c r="P40" s="85"/>
      <c r="Q40" s="85"/>
      <c r="R40" s="85"/>
    </row>
    <row r="41" spans="2:18" ht="36.5" customHeight="1">
      <c r="B41" s="22" t="s">
        <v>412</v>
      </c>
      <c r="C41" s="23" t="s">
        <v>413</v>
      </c>
      <c r="D41" s="92" t="s">
        <v>414</v>
      </c>
      <c r="E41" s="92" t="s">
        <v>414</v>
      </c>
      <c r="F41" s="92"/>
      <c r="G41" s="92"/>
      <c r="H41" s="92"/>
      <c r="I41" s="92"/>
      <c r="J41" s="92"/>
      <c r="K41" s="92"/>
      <c r="L41" s="92"/>
      <c r="M41" s="92"/>
      <c r="N41" s="92"/>
      <c r="O41" s="92"/>
      <c r="P41" s="92"/>
      <c r="Q41" s="92"/>
      <c r="R41" s="92"/>
    </row>
    <row r="42" spans="2:18" ht="36.5" customHeight="1">
      <c r="B42" s="24" t="s">
        <v>457</v>
      </c>
      <c r="C42" s="23" t="s">
        <v>458</v>
      </c>
      <c r="D42" s="95" t="s">
        <v>328</v>
      </c>
      <c r="E42" s="95" t="s">
        <v>328</v>
      </c>
      <c r="F42" s="95" t="s">
        <v>326</v>
      </c>
      <c r="G42" s="95"/>
      <c r="H42" s="95"/>
      <c r="I42" s="95"/>
      <c r="J42" s="95"/>
      <c r="K42" s="95"/>
      <c r="L42" s="95"/>
      <c r="M42" s="95"/>
      <c r="N42" s="95"/>
      <c r="O42" s="95"/>
      <c r="P42" s="95"/>
      <c r="Q42" s="95"/>
      <c r="R42" s="95"/>
    </row>
    <row r="43" spans="2:18" ht="36.5" customHeight="1">
      <c r="B43" s="25" t="s">
        <v>418</v>
      </c>
      <c r="C43" s="26" t="s">
        <v>419</v>
      </c>
      <c r="D43" s="85" t="s">
        <v>328</v>
      </c>
      <c r="E43" s="85" t="s">
        <v>328</v>
      </c>
      <c r="F43" s="85"/>
      <c r="G43" s="85"/>
      <c r="H43" s="85"/>
      <c r="I43" s="85"/>
      <c r="J43" s="85"/>
      <c r="K43" s="85"/>
      <c r="L43" s="85"/>
      <c r="M43" s="85"/>
      <c r="N43" s="85"/>
      <c r="O43" s="85"/>
      <c r="P43" s="85"/>
      <c r="Q43" s="85"/>
      <c r="R43" s="85"/>
    </row>
    <row r="44" spans="2:18" ht="36.5" customHeight="1">
      <c r="B44" s="25" t="s">
        <v>420</v>
      </c>
      <c r="C44" s="26" t="s">
        <v>421</v>
      </c>
      <c r="D44" s="85" t="s">
        <v>328</v>
      </c>
      <c r="E44" s="85" t="s">
        <v>328</v>
      </c>
      <c r="F44" s="85"/>
      <c r="G44" s="85"/>
      <c r="H44" s="85"/>
      <c r="I44" s="85"/>
      <c r="J44" s="85"/>
      <c r="K44" s="85"/>
      <c r="L44" s="85"/>
      <c r="M44" s="85"/>
      <c r="N44" s="85"/>
      <c r="O44" s="85"/>
      <c r="P44" s="85"/>
      <c r="Q44" s="85"/>
      <c r="R44" s="85"/>
    </row>
    <row r="45" spans="2:18" ht="36.5" customHeight="1">
      <c r="B45" s="27"/>
      <c r="C45" s="27"/>
      <c r="D45" s="27"/>
      <c r="E45" s="27"/>
      <c r="F45" s="27"/>
      <c r="G45" s="27"/>
      <c r="H45" s="27"/>
      <c r="I45" s="27"/>
      <c r="J45" s="27"/>
      <c r="K45" s="27"/>
      <c r="L45" s="27"/>
      <c r="M45" s="27"/>
      <c r="N45" s="27"/>
      <c r="O45" s="27"/>
      <c r="P45" s="27"/>
      <c r="Q45" s="27"/>
      <c r="R45" s="27"/>
    </row>
    <row r="46" spans="2:18" ht="36.5" customHeight="1">
      <c r="B46" s="27"/>
      <c r="C46" s="28" t="s">
        <v>423</v>
      </c>
      <c r="D46" s="85">
        <v>145</v>
      </c>
      <c r="E46" s="85">
        <v>125</v>
      </c>
      <c r="F46" s="85"/>
      <c r="G46" s="85"/>
      <c r="H46" s="85"/>
      <c r="I46" s="85"/>
      <c r="J46" s="85"/>
      <c r="K46" s="85"/>
      <c r="L46" s="85"/>
      <c r="M46" s="85"/>
      <c r="N46" s="85"/>
      <c r="O46" s="85"/>
      <c r="P46" s="85"/>
      <c r="Q46" s="85"/>
      <c r="R46" s="85"/>
    </row>
    <row r="47" spans="2:18" ht="36.5" customHeight="1">
      <c r="B47" s="27"/>
      <c r="C47" s="29" t="s">
        <v>424</v>
      </c>
      <c r="D47" s="85">
        <v>6</v>
      </c>
      <c r="E47" s="85">
        <v>59</v>
      </c>
      <c r="F47" s="85"/>
      <c r="G47" s="85"/>
      <c r="H47" s="85"/>
      <c r="I47" s="85"/>
      <c r="J47" s="85"/>
      <c r="K47" s="85"/>
      <c r="L47" s="85"/>
      <c r="M47" s="85"/>
      <c r="N47" s="85"/>
      <c r="O47" s="85"/>
      <c r="P47" s="85"/>
      <c r="Q47" s="85"/>
      <c r="R47" s="85"/>
    </row>
    <row r="48" spans="2:18" ht="36.5" customHeight="1">
      <c r="B48" s="27"/>
      <c r="C48" s="29" t="s">
        <v>425</v>
      </c>
      <c r="D48" s="85">
        <v>139</v>
      </c>
      <c r="E48" s="85">
        <v>66</v>
      </c>
      <c r="F48" s="85"/>
      <c r="G48" s="85"/>
      <c r="H48" s="85"/>
      <c r="I48" s="85"/>
      <c r="J48" s="85"/>
      <c r="K48" s="85"/>
      <c r="L48" s="85"/>
      <c r="M48" s="85"/>
      <c r="N48" s="85"/>
      <c r="O48" s="85"/>
      <c r="P48" s="85"/>
      <c r="Q48" s="85"/>
      <c r="R48" s="85"/>
    </row>
    <row r="49" spans="2:18" ht="10" customHeight="1">
      <c r="B49" s="27"/>
      <c r="C49" s="30"/>
      <c r="D49" s="96"/>
      <c r="E49" s="96"/>
      <c r="F49" s="96"/>
      <c r="G49" s="96"/>
      <c r="H49" s="96"/>
      <c r="I49" s="96"/>
      <c r="J49" s="96"/>
      <c r="K49" s="96"/>
      <c r="L49" s="96"/>
      <c r="M49" s="96"/>
      <c r="N49" s="96"/>
      <c r="O49" s="96"/>
      <c r="P49" s="96"/>
      <c r="Q49" s="96"/>
      <c r="R49" s="96"/>
    </row>
    <row r="50" spans="2:18" ht="36.5" customHeight="1">
      <c r="B50" s="27"/>
      <c r="C50" s="28" t="s">
        <v>1362</v>
      </c>
      <c r="D50" s="85" t="s">
        <v>410</v>
      </c>
      <c r="E50" s="85" t="s">
        <v>410</v>
      </c>
      <c r="F50" s="85"/>
      <c r="G50" s="85"/>
      <c r="H50" s="85"/>
      <c r="I50" s="85"/>
      <c r="J50" s="85"/>
      <c r="K50" s="85"/>
      <c r="L50" s="85"/>
      <c r="M50" s="85"/>
      <c r="N50" s="85"/>
      <c r="O50" s="85"/>
      <c r="P50" s="85"/>
      <c r="Q50" s="85"/>
      <c r="R50" s="85"/>
    </row>
    <row r="51" spans="2:18" ht="33.5" customHeight="1">
      <c r="B51" s="27"/>
      <c r="C51" s="29" t="s">
        <v>424</v>
      </c>
      <c r="D51" s="85" t="s">
        <v>410</v>
      </c>
      <c r="E51" s="85" t="s">
        <v>410</v>
      </c>
      <c r="F51" s="85"/>
      <c r="G51" s="85"/>
      <c r="H51" s="85"/>
      <c r="I51" s="85"/>
      <c r="J51" s="85"/>
      <c r="K51" s="85"/>
      <c r="L51" s="85"/>
      <c r="M51" s="85"/>
      <c r="N51" s="85"/>
      <c r="O51" s="85"/>
      <c r="P51" s="85"/>
      <c r="Q51" s="85"/>
      <c r="R51" s="85"/>
    </row>
    <row r="52" spans="2:18" ht="36.5" customHeight="1">
      <c r="B52" s="27"/>
      <c r="C52" s="29" t="s">
        <v>425</v>
      </c>
      <c r="D52" s="131" t="s">
        <v>410</v>
      </c>
      <c r="E52" s="131" t="s">
        <v>410</v>
      </c>
      <c r="F52" s="85"/>
      <c r="G52" s="85"/>
      <c r="H52" s="85"/>
      <c r="I52" s="85"/>
      <c r="J52" s="85"/>
      <c r="K52" s="85"/>
      <c r="L52" s="85"/>
      <c r="M52" s="85"/>
      <c r="N52" s="85"/>
      <c r="O52" s="85"/>
      <c r="P52" s="85"/>
      <c r="Q52" s="85"/>
      <c r="R52" s="85"/>
    </row>
    <row r="53" spans="2:18" ht="12" customHeight="1">
      <c r="B53" s="27"/>
      <c r="C53" s="31"/>
      <c r="D53" s="379"/>
      <c r="E53" s="379"/>
      <c r="F53" s="96"/>
      <c r="G53" s="96"/>
      <c r="H53" s="96"/>
      <c r="I53" s="96"/>
      <c r="J53" s="96"/>
      <c r="K53" s="96"/>
      <c r="L53" s="96"/>
      <c r="M53" s="96"/>
      <c r="N53" s="96"/>
      <c r="O53" s="96"/>
      <c r="P53" s="96"/>
      <c r="Q53" s="96"/>
      <c r="R53" s="96"/>
    </row>
    <row r="54" spans="2:18" ht="29" customHeight="1">
      <c r="B54" s="27"/>
      <c r="C54" s="28" t="s">
        <v>427</v>
      </c>
      <c r="D54" s="131" t="s">
        <v>414</v>
      </c>
      <c r="E54" s="131" t="s">
        <v>414</v>
      </c>
      <c r="F54" s="131"/>
      <c r="G54" s="131"/>
      <c r="H54" s="131"/>
      <c r="I54" s="131"/>
      <c r="J54" s="131"/>
      <c r="K54" s="131"/>
      <c r="L54" s="131"/>
      <c r="M54" s="131"/>
      <c r="N54" s="131"/>
      <c r="O54" s="131"/>
      <c r="P54" s="131"/>
      <c r="Q54" s="131"/>
      <c r="R54" s="131"/>
    </row>
    <row r="55" spans="2:18" ht="36.5" customHeight="1">
      <c r="B55" s="27"/>
      <c r="C55" s="28" t="s">
        <v>428</v>
      </c>
      <c r="D55" s="131">
        <v>10</v>
      </c>
      <c r="E55" s="131">
        <v>10</v>
      </c>
      <c r="F55" s="85"/>
      <c r="G55" s="85"/>
      <c r="H55" s="85"/>
      <c r="I55" s="85"/>
      <c r="J55" s="85"/>
      <c r="K55" s="85"/>
      <c r="L55" s="85"/>
      <c r="M55" s="85"/>
      <c r="N55" s="85"/>
      <c r="O55" s="85"/>
      <c r="P55" s="85"/>
      <c r="Q55" s="85"/>
      <c r="R55" s="85"/>
    </row>
    <row r="56" spans="2:18" ht="33.5" customHeight="1">
      <c r="B56" s="27"/>
      <c r="C56" s="330" t="s">
        <v>429</v>
      </c>
      <c r="D56" s="350">
        <v>17</v>
      </c>
      <c r="E56" s="350">
        <v>17</v>
      </c>
      <c r="F56" s="95"/>
      <c r="G56" s="95"/>
      <c r="H56" s="95"/>
      <c r="I56" s="95"/>
      <c r="J56" s="95"/>
      <c r="K56" s="95"/>
      <c r="L56" s="95"/>
      <c r="M56" s="95"/>
      <c r="N56" s="95"/>
      <c r="O56" s="95"/>
      <c r="P56" s="95"/>
      <c r="Q56" s="95"/>
      <c r="R56" s="95"/>
    </row>
    <row r="57" spans="2:18" ht="56" customHeight="1">
      <c r="C57" s="331" t="s">
        <v>430</v>
      </c>
      <c r="D57" s="71">
        <v>2</v>
      </c>
      <c r="E57" s="71">
        <v>2</v>
      </c>
      <c r="F57" s="71"/>
      <c r="G57" s="71"/>
      <c r="H57" s="71"/>
      <c r="I57" s="71"/>
      <c r="J57" s="71"/>
      <c r="K57" s="71"/>
      <c r="L57" s="71"/>
      <c r="M57" s="71"/>
      <c r="N57" s="71"/>
      <c r="O57" s="71"/>
      <c r="P57" s="71"/>
      <c r="Q57" s="71"/>
      <c r="R57" s="71"/>
    </row>
    <row r="58" spans="2:18" ht="57" customHeight="1">
      <c r="C58" s="331" t="s">
        <v>431</v>
      </c>
      <c r="D58" s="71">
        <v>2</v>
      </c>
      <c r="E58" s="71">
        <v>2</v>
      </c>
      <c r="F58" s="71"/>
      <c r="G58" s="71"/>
      <c r="H58" s="71"/>
      <c r="I58" s="71"/>
      <c r="J58" s="71"/>
      <c r="K58" s="71"/>
      <c r="L58" s="71"/>
      <c r="M58" s="71"/>
      <c r="N58" s="71"/>
      <c r="O58" s="71"/>
      <c r="P58" s="71"/>
      <c r="Q58" s="71"/>
      <c r="R58" s="71"/>
    </row>
    <row r="60" spans="2:18" ht="17" customHeight="1">
      <c r="D60" s="1" t="s">
        <v>432</v>
      </c>
    </row>
    <row r="61" spans="2:18" ht="17" customHeight="1">
      <c r="D61" s="97" t="s">
        <v>433</v>
      </c>
    </row>
    <row r="62" spans="2:18" ht="17" customHeight="1">
      <c r="D62" s="98" t="s">
        <v>434</v>
      </c>
    </row>
    <row r="63" spans="2:18" ht="17" customHeight="1">
      <c r="D63" s="98" t="s">
        <v>435</v>
      </c>
    </row>
    <row r="64" spans="2:18" ht="17" customHeight="1">
      <c r="D64" s="98" t="s">
        <v>436</v>
      </c>
    </row>
    <row r="65" spans="4:4" ht="17" customHeight="1">
      <c r="D65" s="98" t="s">
        <v>437</v>
      </c>
    </row>
    <row r="66" spans="4:4" ht="17" customHeight="1">
      <c r="D66" s="98" t="s">
        <v>438</v>
      </c>
    </row>
    <row r="67" spans="4:4" ht="17" customHeight="1"/>
    <row r="68" spans="4:4" ht="17" customHeight="1">
      <c r="D68" s="99" t="s">
        <v>439</v>
      </c>
    </row>
  </sheetData>
  <mergeCells count="2">
    <mergeCell ref="C6:D6"/>
    <mergeCell ref="C7:D7"/>
  </mergeCells>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48" priority="3">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2 B30">
    <cfRule type="colorScale" priority="6">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47" priority="5">
      <formula>#REF!="Owned"</formula>
    </cfRule>
  </conditionalFormatting>
  <conditionalFormatting sqref="C27:C32">
    <cfRule type="expression" dxfId="46" priority="1">
      <formula>#REF!="Owned"</formula>
    </cfRule>
  </conditionalFormatting>
  <dataValidations count="1">
    <dataValidation type="list" allowBlank="1" showInputMessage="1" showErrorMessage="1" sqref="E6" xr:uid="{D989C302-C583-417D-AF9D-DC95D4E596F4}">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C1A9-6031-4AB0-9263-2FAD5C599E7E}">
  <sheetPr codeName="Feuil44">
    <tabColor rgb="FF00B050"/>
  </sheetPr>
  <dimension ref="B2:M58"/>
  <sheetViews>
    <sheetView zoomScale="70" zoomScaleNormal="70" workbookViewId="0">
      <selection activeCell="H41" sqref="H41"/>
    </sheetView>
  </sheetViews>
  <sheetFormatPr baseColWidth="10" defaultColWidth="11.5" defaultRowHeight="13"/>
  <cols>
    <col min="3" max="13" width="22.83203125" customWidth="1"/>
  </cols>
  <sheetData>
    <row r="2" spans="2:13">
      <c r="C2" s="504" t="s">
        <v>323</v>
      </c>
      <c r="D2" s="502">
        <v>45925</v>
      </c>
      <c r="E2" s="1"/>
      <c r="F2" s="3"/>
      <c r="G2" s="3"/>
      <c r="H2" s="3"/>
      <c r="I2" s="4"/>
      <c r="J2" s="1"/>
      <c r="K2" s="1"/>
      <c r="L2" s="1"/>
      <c r="M2" s="1"/>
    </row>
    <row r="3" spans="2:13">
      <c r="C3" s="1"/>
      <c r="D3" s="1"/>
      <c r="E3" s="1"/>
      <c r="F3" s="1"/>
      <c r="G3" s="1"/>
      <c r="H3" s="1"/>
      <c r="I3" s="1"/>
      <c r="J3" s="1"/>
      <c r="K3" s="1"/>
      <c r="L3" s="1"/>
      <c r="M3" s="1"/>
    </row>
    <row r="4" spans="2:13">
      <c r="C4" s="33" t="s">
        <v>324</v>
      </c>
      <c r="D4" s="258" t="s">
        <v>256</v>
      </c>
      <c r="E4" s="258" t="s">
        <v>256</v>
      </c>
      <c r="F4" s="258" t="s">
        <v>256</v>
      </c>
      <c r="G4" s="258" t="s">
        <v>256</v>
      </c>
      <c r="H4" s="258" t="s">
        <v>256</v>
      </c>
      <c r="I4" s="5"/>
      <c r="J4" s="1"/>
      <c r="K4" s="1"/>
      <c r="L4" s="1"/>
      <c r="M4" s="1"/>
    </row>
    <row r="5" spans="2:13">
      <c r="C5" s="35"/>
      <c r="E5" s="1"/>
      <c r="F5" s="1"/>
      <c r="G5" s="1"/>
      <c r="H5" s="1"/>
      <c r="I5" s="1"/>
      <c r="J5" s="1"/>
      <c r="K5" s="1"/>
      <c r="L5" s="1"/>
      <c r="M5" s="1"/>
    </row>
    <row r="6" spans="2:13">
      <c r="C6" s="589" t="s">
        <v>327</v>
      </c>
      <c r="D6" s="591"/>
      <c r="E6" s="6" t="s">
        <v>414</v>
      </c>
      <c r="F6" s="124"/>
      <c r="G6" s="124"/>
      <c r="H6" s="124"/>
      <c r="J6" s="1"/>
      <c r="K6" s="1"/>
      <c r="L6" s="1"/>
      <c r="M6" s="1"/>
    </row>
    <row r="7" spans="2:13">
      <c r="C7" s="589" t="s">
        <v>329</v>
      </c>
      <c r="D7" s="591"/>
      <c r="E7" s="6">
        <v>23</v>
      </c>
      <c r="F7" s="124"/>
      <c r="G7" s="124"/>
      <c r="H7" s="124"/>
      <c r="J7" s="1"/>
      <c r="K7" s="1"/>
      <c r="L7" s="1"/>
      <c r="M7" s="1"/>
    </row>
    <row r="8" spans="2:13">
      <c r="C8" s="68"/>
      <c r="D8" s="68"/>
      <c r="E8" s="68"/>
      <c r="F8" s="68"/>
      <c r="G8" s="68"/>
      <c r="H8" s="68"/>
      <c r="I8" s="42"/>
      <c r="J8" s="1"/>
      <c r="K8" s="1"/>
      <c r="L8" s="1"/>
      <c r="M8" s="1"/>
    </row>
    <row r="9" spans="2:13">
      <c r="C9" s="69" t="s">
        <v>441</v>
      </c>
      <c r="D9" s="74" t="s">
        <v>1363</v>
      </c>
      <c r="E9" s="74" t="s">
        <v>1363</v>
      </c>
      <c r="F9" s="74" t="s">
        <v>1363</v>
      </c>
      <c r="G9" s="74" t="s">
        <v>1363</v>
      </c>
      <c r="H9" s="74" t="s">
        <v>1364</v>
      </c>
      <c r="I9" s="67"/>
      <c r="J9" s="67"/>
      <c r="K9" s="67"/>
      <c r="L9" s="67"/>
      <c r="M9" s="67"/>
    </row>
    <row r="10" spans="2:13" ht="28">
      <c r="C10" s="70" t="s">
        <v>331</v>
      </c>
      <c r="D10" s="417" t="s">
        <v>1365</v>
      </c>
      <c r="E10" s="417" t="s">
        <v>1366</v>
      </c>
      <c r="F10" s="417" t="s">
        <v>1367</v>
      </c>
      <c r="G10" s="417" t="s">
        <v>1368</v>
      </c>
      <c r="H10" s="417" t="s">
        <v>1369</v>
      </c>
      <c r="I10" s="84" t="s">
        <v>466</v>
      </c>
      <c r="J10" s="84" t="s">
        <v>467</v>
      </c>
      <c r="K10" s="84" t="s">
        <v>468</v>
      </c>
      <c r="L10" s="84" t="s">
        <v>469</v>
      </c>
      <c r="M10" s="84" t="s">
        <v>470</v>
      </c>
    </row>
    <row r="11" spans="2:13" ht="14">
      <c r="C11" s="104" t="s">
        <v>299</v>
      </c>
      <c r="D11" s="417" t="s">
        <v>1370</v>
      </c>
      <c r="E11" s="417" t="s">
        <v>1371</v>
      </c>
      <c r="F11" s="417" t="s">
        <v>1371</v>
      </c>
      <c r="G11" s="417" t="s">
        <v>1372</v>
      </c>
      <c r="H11" s="417" t="s">
        <v>1373</v>
      </c>
      <c r="I11" s="84"/>
      <c r="J11" s="84"/>
      <c r="K11" s="84"/>
      <c r="L11" s="84"/>
      <c r="M11" s="84"/>
    </row>
    <row r="12" spans="2:13" ht="14">
      <c r="C12" s="32"/>
      <c r="D12" s="418"/>
      <c r="E12" s="418"/>
      <c r="F12" s="418"/>
      <c r="G12" s="418"/>
      <c r="H12" s="419"/>
      <c r="I12" s="46"/>
      <c r="J12" s="44"/>
      <c r="K12" s="47"/>
      <c r="L12" s="48"/>
      <c r="M12" s="44"/>
    </row>
    <row r="13" spans="2:13" ht="48">
      <c r="B13" s="7" t="s">
        <v>348</v>
      </c>
      <c r="C13" s="398" t="s">
        <v>349</v>
      </c>
      <c r="D13" s="422" t="s">
        <v>1374</v>
      </c>
      <c r="E13" s="422" t="s">
        <v>1375</v>
      </c>
      <c r="F13" s="422" t="s">
        <v>1376</v>
      </c>
      <c r="G13" s="422" t="s">
        <v>1377</v>
      </c>
      <c r="H13" s="422" t="s">
        <v>1378</v>
      </c>
      <c r="I13" s="71"/>
      <c r="J13" s="71"/>
      <c r="K13" s="71"/>
      <c r="L13" s="71"/>
      <c r="M13" s="71"/>
    </row>
    <row r="14" spans="2:13" ht="56">
      <c r="B14" s="7" t="s">
        <v>352</v>
      </c>
      <c r="C14" s="398" t="s">
        <v>297</v>
      </c>
      <c r="D14" s="422" t="s">
        <v>286</v>
      </c>
      <c r="E14" s="422" t="s">
        <v>290</v>
      </c>
      <c r="F14" s="422" t="s">
        <v>290</v>
      </c>
      <c r="G14" s="422" t="s">
        <v>288</v>
      </c>
      <c r="H14" s="422" t="s">
        <v>284</v>
      </c>
      <c r="I14" s="71"/>
      <c r="J14" s="71"/>
      <c r="K14" s="71"/>
      <c r="L14" s="71"/>
      <c r="M14" s="71"/>
    </row>
    <row r="15" spans="2:13" ht="36">
      <c r="B15" s="7" t="s">
        <v>353</v>
      </c>
      <c r="C15" s="398" t="s">
        <v>354</v>
      </c>
      <c r="D15" s="422" t="s">
        <v>287</v>
      </c>
      <c r="E15" s="422" t="s">
        <v>287</v>
      </c>
      <c r="F15" s="422" t="s">
        <v>287</v>
      </c>
      <c r="G15" s="422" t="s">
        <v>289</v>
      </c>
      <c r="H15" s="422" t="s">
        <v>285</v>
      </c>
      <c r="I15" s="71"/>
      <c r="J15" s="71"/>
      <c r="K15" s="71"/>
      <c r="L15" s="71"/>
      <c r="M15" s="71"/>
    </row>
    <row r="16" spans="2:13" ht="24">
      <c r="B16" s="7" t="s">
        <v>355</v>
      </c>
      <c r="C16" s="398" t="s">
        <v>356</v>
      </c>
      <c r="D16" s="422">
        <v>80864</v>
      </c>
      <c r="E16" s="422">
        <v>80864</v>
      </c>
      <c r="F16" s="422">
        <v>80864</v>
      </c>
      <c r="G16" s="422" t="s">
        <v>410</v>
      </c>
      <c r="H16" s="422">
        <v>340536</v>
      </c>
      <c r="I16" s="71"/>
      <c r="J16" s="71"/>
      <c r="K16" s="71"/>
      <c r="L16" s="71"/>
      <c r="M16" s="71"/>
    </row>
    <row r="17" spans="2:13" ht="24">
      <c r="B17" s="7" t="s">
        <v>357</v>
      </c>
      <c r="C17" s="398" t="s">
        <v>294</v>
      </c>
      <c r="D17" s="422" t="s">
        <v>283</v>
      </c>
      <c r="E17" s="422" t="s">
        <v>283</v>
      </c>
      <c r="F17" s="422" t="s">
        <v>283</v>
      </c>
      <c r="G17" s="422" t="s">
        <v>283</v>
      </c>
      <c r="H17" s="422" t="s">
        <v>283</v>
      </c>
      <c r="I17" s="71"/>
      <c r="J17" s="71"/>
      <c r="K17" s="71"/>
      <c r="L17" s="71"/>
      <c r="M17" s="71"/>
    </row>
    <row r="18" spans="2:13" ht="14">
      <c r="B18" s="9" t="s">
        <v>358</v>
      </c>
      <c r="C18" s="399" t="s">
        <v>359</v>
      </c>
      <c r="D18" s="422" t="s">
        <v>360</v>
      </c>
      <c r="E18" s="422" t="s">
        <v>360</v>
      </c>
      <c r="F18" s="422" t="s">
        <v>360</v>
      </c>
      <c r="G18" s="422" t="s">
        <v>360</v>
      </c>
      <c r="H18" s="422" t="s">
        <v>360</v>
      </c>
      <c r="I18" s="71"/>
      <c r="J18" s="71"/>
      <c r="K18" s="71"/>
      <c r="L18" s="71"/>
      <c r="M18" s="71"/>
    </row>
    <row r="19" spans="2:13" ht="36">
      <c r="B19" s="9" t="s">
        <v>361</v>
      </c>
      <c r="C19" s="399" t="s">
        <v>362</v>
      </c>
      <c r="D19" s="422" t="s">
        <v>328</v>
      </c>
      <c r="E19" s="422" t="s">
        <v>328</v>
      </c>
      <c r="F19" s="422" t="s">
        <v>328</v>
      </c>
      <c r="G19" s="422" t="s">
        <v>328</v>
      </c>
      <c r="H19" s="422" t="s">
        <v>328</v>
      </c>
      <c r="I19" s="71"/>
      <c r="J19" s="71"/>
      <c r="K19" s="71"/>
      <c r="L19" s="71"/>
      <c r="M19" s="71"/>
    </row>
    <row r="20" spans="2:13" ht="72">
      <c r="B20" s="9" t="s">
        <v>363</v>
      </c>
      <c r="C20" s="399" t="s">
        <v>364</v>
      </c>
      <c r="D20" s="422" t="s">
        <v>328</v>
      </c>
      <c r="E20" s="422" t="s">
        <v>328</v>
      </c>
      <c r="F20" s="422" t="s">
        <v>328</v>
      </c>
      <c r="G20" s="422" t="s">
        <v>328</v>
      </c>
      <c r="H20" s="422" t="s">
        <v>328</v>
      </c>
      <c r="I20" s="71"/>
      <c r="J20" s="71"/>
      <c r="K20" s="71"/>
      <c r="L20" s="71"/>
      <c r="M20" s="71"/>
    </row>
    <row r="21" spans="2:13" ht="42">
      <c r="B21" s="11" t="s">
        <v>365</v>
      </c>
      <c r="C21" s="400" t="s">
        <v>366</v>
      </c>
      <c r="D21" s="422" t="s">
        <v>1379</v>
      </c>
      <c r="E21" s="422" t="s">
        <v>1380</v>
      </c>
      <c r="F21" s="422" t="s">
        <v>1380</v>
      </c>
      <c r="G21" s="422" t="s">
        <v>1381</v>
      </c>
      <c r="H21" s="422" t="s">
        <v>1382</v>
      </c>
      <c r="I21" s="71"/>
      <c r="J21" s="71"/>
      <c r="K21" s="71"/>
      <c r="L21" s="71"/>
      <c r="M21" s="71"/>
    </row>
    <row r="22" spans="2:13" ht="36">
      <c r="B22" s="11" t="s">
        <v>369</v>
      </c>
      <c r="C22" s="400" t="s">
        <v>370</v>
      </c>
      <c r="D22" s="422" t="s">
        <v>1383</v>
      </c>
      <c r="E22" s="422" t="s">
        <v>1384</v>
      </c>
      <c r="F22" s="422" t="s">
        <v>1384</v>
      </c>
      <c r="G22" s="422" t="s">
        <v>1385</v>
      </c>
      <c r="H22" s="422" t="s">
        <v>1386</v>
      </c>
      <c r="I22" s="71"/>
      <c r="J22" s="71"/>
      <c r="K22" s="71"/>
      <c r="L22" s="71"/>
      <c r="M22" s="71"/>
    </row>
    <row r="23" spans="2:13" ht="14">
      <c r="B23" s="13" t="s">
        <v>477</v>
      </c>
      <c r="C23" s="401" t="s">
        <v>374</v>
      </c>
      <c r="D23" s="422" t="s">
        <v>374</v>
      </c>
      <c r="E23" s="422" t="s">
        <v>374</v>
      </c>
      <c r="F23" s="422" t="s">
        <v>374</v>
      </c>
      <c r="G23" s="422" t="s">
        <v>374</v>
      </c>
      <c r="H23" s="422" t="s">
        <v>374</v>
      </c>
      <c r="I23" s="71"/>
      <c r="J23" s="71"/>
      <c r="K23" s="71"/>
      <c r="L23" s="71"/>
      <c r="M23" s="71"/>
    </row>
    <row r="24" spans="2:13" ht="60">
      <c r="B24" s="13" t="s">
        <v>375</v>
      </c>
      <c r="C24" s="401" t="s">
        <v>376</v>
      </c>
      <c r="D24" s="423">
        <v>3625.05</v>
      </c>
      <c r="E24" s="423">
        <v>607.49</v>
      </c>
      <c r="F24" s="423">
        <v>124.59</v>
      </c>
      <c r="G24" s="423">
        <v>38</v>
      </c>
      <c r="H24" s="423">
        <v>275.14999999999998</v>
      </c>
      <c r="I24" s="71"/>
      <c r="J24" s="71"/>
      <c r="K24" s="71"/>
      <c r="L24" s="71"/>
      <c r="M24" s="71"/>
    </row>
    <row r="25" spans="2:13" ht="60">
      <c r="B25" s="15" t="s">
        <v>377</v>
      </c>
      <c r="C25" s="402" t="s">
        <v>378</v>
      </c>
      <c r="D25" s="426">
        <v>60</v>
      </c>
      <c r="E25" s="426">
        <v>10</v>
      </c>
      <c r="F25" s="422">
        <v>5</v>
      </c>
      <c r="G25" s="422">
        <v>0</v>
      </c>
      <c r="H25" s="422">
        <v>2</v>
      </c>
      <c r="I25" s="71"/>
      <c r="J25" s="71"/>
      <c r="K25" s="71"/>
      <c r="L25" s="71"/>
      <c r="M25" s="71"/>
    </row>
    <row r="26" spans="2:13" ht="60">
      <c r="B26" s="15" t="s">
        <v>380</v>
      </c>
      <c r="C26" s="402" t="s">
        <v>381</v>
      </c>
      <c r="D26" s="428" t="s">
        <v>1387</v>
      </c>
      <c r="E26" s="428" t="s">
        <v>1387</v>
      </c>
      <c r="F26" s="423" t="s">
        <v>1387</v>
      </c>
      <c r="G26" s="422" t="s">
        <v>1387</v>
      </c>
      <c r="H26" s="422" t="s">
        <v>1387</v>
      </c>
      <c r="I26" s="71"/>
      <c r="J26" s="71"/>
      <c r="K26" s="71"/>
      <c r="L26" s="71"/>
      <c r="M26" s="71"/>
    </row>
    <row r="27" spans="2:13" ht="14">
      <c r="B27" s="40" t="s">
        <v>383</v>
      </c>
      <c r="C27" s="403" t="s">
        <v>1388</v>
      </c>
      <c r="D27" s="425">
        <v>3726644</v>
      </c>
      <c r="E27" s="429">
        <v>693136</v>
      </c>
      <c r="F27" s="429">
        <v>160920</v>
      </c>
      <c r="G27" s="429">
        <v>35000</v>
      </c>
      <c r="H27" s="429">
        <v>181125</v>
      </c>
      <c r="I27" s="71"/>
      <c r="J27" s="71"/>
      <c r="K27" s="71"/>
      <c r="L27" s="71"/>
      <c r="M27" s="71"/>
    </row>
    <row r="28" spans="2:13" ht="60">
      <c r="B28" s="15" t="s">
        <v>384</v>
      </c>
      <c r="C28" s="402" t="s">
        <v>450</v>
      </c>
      <c r="D28" s="432">
        <f>D27/D24</f>
        <v>1028.0255444752486</v>
      </c>
      <c r="E28" s="432">
        <f>E27/E24</f>
        <v>1140.9833906730976</v>
      </c>
      <c r="F28" s="431">
        <f>F27/F24</f>
        <v>1291.5964363111004</v>
      </c>
      <c r="G28" s="431">
        <f>G27/G24</f>
        <v>921.0526315789474</v>
      </c>
      <c r="H28" s="431">
        <f>H27/H24</f>
        <v>658.27730328911514</v>
      </c>
      <c r="I28" s="71"/>
      <c r="J28" s="71"/>
      <c r="K28" s="71"/>
      <c r="L28" s="71"/>
      <c r="M28" s="71"/>
    </row>
    <row r="29" spans="2:13" ht="84">
      <c r="B29" s="15" t="s">
        <v>387</v>
      </c>
      <c r="C29" s="402" t="s">
        <v>388</v>
      </c>
      <c r="D29" s="428" t="s">
        <v>1389</v>
      </c>
      <c r="E29" s="428" t="s">
        <v>1390</v>
      </c>
      <c r="F29" s="434" t="s">
        <v>1391</v>
      </c>
      <c r="G29" s="422" t="s">
        <v>1392</v>
      </c>
      <c r="H29" s="422" t="s">
        <v>1393</v>
      </c>
      <c r="I29" s="71"/>
      <c r="J29" s="71"/>
      <c r="K29" s="71"/>
      <c r="L29" s="71"/>
      <c r="M29" s="71"/>
    </row>
    <row r="30" spans="2:13" ht="58">
      <c r="B30" s="13" t="s">
        <v>390</v>
      </c>
      <c r="C30" s="404" t="s">
        <v>453</v>
      </c>
      <c r="D30" s="433">
        <f>D31/D24</f>
        <v>117.7269968690087</v>
      </c>
      <c r="E30" s="433">
        <f>E31/E24</f>
        <v>115.27243246802418</v>
      </c>
      <c r="F30" s="433">
        <f>F31/F24</f>
        <v>15.568665221927922</v>
      </c>
      <c r="G30" s="433">
        <f>G31/G24</f>
        <v>203.37157894736842</v>
      </c>
      <c r="H30" s="433">
        <f>H31/H24</f>
        <v>0</v>
      </c>
      <c r="I30" s="71"/>
      <c r="J30" s="71"/>
      <c r="K30" s="71"/>
      <c r="L30" s="71"/>
      <c r="M30" s="71"/>
    </row>
    <row r="31" spans="2:13" ht="28">
      <c r="B31" s="13"/>
      <c r="C31" s="405" t="s">
        <v>393</v>
      </c>
      <c r="D31" s="433">
        <v>426766.25</v>
      </c>
      <c r="E31" s="433">
        <v>70026.850000000006</v>
      </c>
      <c r="F31" s="433">
        <v>1939.6999999999998</v>
      </c>
      <c r="G31" s="433">
        <v>7728.12</v>
      </c>
      <c r="H31" s="433"/>
      <c r="I31" s="71"/>
      <c r="J31" s="71"/>
      <c r="K31" s="71"/>
      <c r="L31" s="71"/>
      <c r="M31" s="71"/>
    </row>
    <row r="32" spans="2:13" ht="72">
      <c r="B32" s="13" t="s">
        <v>394</v>
      </c>
      <c r="C32" s="404" t="s">
        <v>395</v>
      </c>
      <c r="D32" s="75"/>
      <c r="E32" s="75"/>
      <c r="F32" s="75"/>
      <c r="G32" s="75"/>
      <c r="H32" s="75"/>
      <c r="I32" s="71"/>
      <c r="J32" s="71"/>
      <c r="K32" s="71"/>
      <c r="L32" s="71"/>
      <c r="M32" s="71"/>
    </row>
    <row r="33" spans="2:13" ht="24">
      <c r="B33" s="18" t="s">
        <v>397</v>
      </c>
      <c r="C33" s="406" t="s">
        <v>313</v>
      </c>
      <c r="D33" s="436">
        <v>44136</v>
      </c>
      <c r="E33" s="436">
        <v>44824</v>
      </c>
      <c r="F33" s="436">
        <v>45007</v>
      </c>
      <c r="G33" s="436">
        <v>45566</v>
      </c>
      <c r="H33" s="436">
        <v>44986</v>
      </c>
      <c r="I33" s="71"/>
      <c r="J33" s="71"/>
      <c r="K33" s="71"/>
      <c r="L33" s="71"/>
      <c r="M33" s="71"/>
    </row>
    <row r="34" spans="2:13" ht="42">
      <c r="B34" s="20" t="s">
        <v>398</v>
      </c>
      <c r="C34" s="406" t="s">
        <v>315</v>
      </c>
      <c r="D34" s="438" t="s">
        <v>1394</v>
      </c>
      <c r="E34" s="436" t="s">
        <v>1395</v>
      </c>
      <c r="F34" s="436" t="s">
        <v>1395</v>
      </c>
      <c r="G34" s="436" t="s">
        <v>1396</v>
      </c>
      <c r="H34" s="436" t="s">
        <v>1395</v>
      </c>
      <c r="I34" s="71"/>
      <c r="J34" s="71"/>
      <c r="K34" s="71"/>
      <c r="L34" s="71"/>
      <c r="M34" s="71"/>
    </row>
    <row r="35" spans="2:13" ht="36">
      <c r="B35" s="20" t="s">
        <v>399</v>
      </c>
      <c r="C35" s="406" t="s">
        <v>400</v>
      </c>
      <c r="D35" s="438"/>
      <c r="E35" s="422" t="s">
        <v>480</v>
      </c>
      <c r="F35" s="422" t="s">
        <v>480</v>
      </c>
      <c r="G35" s="422" t="s">
        <v>480</v>
      </c>
      <c r="H35" s="422" t="s">
        <v>480</v>
      </c>
      <c r="I35" s="71"/>
      <c r="J35" s="71"/>
      <c r="K35" s="71"/>
      <c r="L35" s="71"/>
      <c r="M35" s="71"/>
    </row>
    <row r="36" spans="2:13" ht="48">
      <c r="B36" s="20" t="s">
        <v>402</v>
      </c>
      <c r="C36" s="21" t="s">
        <v>403</v>
      </c>
      <c r="D36" s="438" t="s">
        <v>414</v>
      </c>
      <c r="E36" s="438" t="s">
        <v>414</v>
      </c>
      <c r="F36" s="436" t="s">
        <v>414</v>
      </c>
      <c r="G36" s="436" t="s">
        <v>414</v>
      </c>
      <c r="H36" s="436" t="s">
        <v>328</v>
      </c>
      <c r="I36" s="71"/>
      <c r="J36" s="71"/>
      <c r="K36" s="71"/>
      <c r="L36" s="71"/>
      <c r="M36" s="71"/>
    </row>
    <row r="37" spans="2:13" ht="98">
      <c r="B37" s="20" t="s">
        <v>404</v>
      </c>
      <c r="C37" s="21" t="s">
        <v>405</v>
      </c>
      <c r="D37" s="438" t="s">
        <v>1397</v>
      </c>
      <c r="E37" s="438" t="s">
        <v>1397</v>
      </c>
      <c r="F37" s="436" t="s">
        <v>1398</v>
      </c>
      <c r="G37" s="436" t="s">
        <v>1399</v>
      </c>
      <c r="H37" s="438" t="s">
        <v>1400</v>
      </c>
      <c r="I37" s="71"/>
      <c r="J37" s="71"/>
      <c r="K37" s="71"/>
      <c r="L37" s="71"/>
      <c r="M37" s="71"/>
    </row>
    <row r="38" spans="2:13" ht="36">
      <c r="B38" s="20" t="s">
        <v>406</v>
      </c>
      <c r="C38" s="21" t="s">
        <v>407</v>
      </c>
      <c r="D38" s="438" t="s">
        <v>328</v>
      </c>
      <c r="E38" s="438" t="s">
        <v>328</v>
      </c>
      <c r="F38" s="436" t="s">
        <v>328</v>
      </c>
      <c r="G38" s="436" t="s">
        <v>328</v>
      </c>
      <c r="H38" s="436" t="s">
        <v>328</v>
      </c>
      <c r="I38" s="71"/>
      <c r="J38" s="71"/>
      <c r="K38" s="71"/>
      <c r="L38" s="71"/>
      <c r="M38" s="71"/>
    </row>
    <row r="39" spans="2:13" ht="36">
      <c r="B39" s="20" t="s">
        <v>408</v>
      </c>
      <c r="C39" s="21" t="s">
        <v>409</v>
      </c>
      <c r="D39" s="439" t="s">
        <v>410</v>
      </c>
      <c r="E39" s="439" t="s">
        <v>410</v>
      </c>
      <c r="F39" s="422" t="s">
        <v>410</v>
      </c>
      <c r="G39" s="436" t="s">
        <v>410</v>
      </c>
      <c r="H39" s="436" t="s">
        <v>328</v>
      </c>
      <c r="I39" s="71"/>
      <c r="J39" s="71"/>
      <c r="K39" s="71"/>
      <c r="L39" s="71"/>
      <c r="M39" s="71"/>
    </row>
    <row r="40" spans="2:13" ht="48">
      <c r="B40" s="20" t="s">
        <v>411</v>
      </c>
      <c r="C40" s="21" t="s">
        <v>314</v>
      </c>
      <c r="D40" s="438">
        <v>47695</v>
      </c>
      <c r="E40" s="438" t="s">
        <v>555</v>
      </c>
      <c r="F40" s="436">
        <v>46649</v>
      </c>
      <c r="G40" s="436">
        <v>46295</v>
      </c>
      <c r="H40" s="436">
        <v>46811</v>
      </c>
      <c r="I40" s="71"/>
      <c r="J40" s="71"/>
      <c r="K40" s="71"/>
      <c r="L40" s="71"/>
      <c r="M40" s="71"/>
    </row>
    <row r="41" spans="2:13" ht="60">
      <c r="B41" s="22" t="s">
        <v>412</v>
      </c>
      <c r="C41" s="23" t="s">
        <v>413</v>
      </c>
      <c r="D41" s="438" t="s">
        <v>328</v>
      </c>
      <c r="E41" s="438" t="s">
        <v>328</v>
      </c>
      <c r="F41" s="438" t="s">
        <v>328</v>
      </c>
      <c r="G41" s="438" t="s">
        <v>328</v>
      </c>
      <c r="H41" s="438" t="s">
        <v>328</v>
      </c>
      <c r="I41" s="71"/>
      <c r="J41" s="71"/>
      <c r="K41" s="71"/>
      <c r="L41" s="71"/>
      <c r="M41" s="71"/>
    </row>
    <row r="42" spans="2:13" ht="72">
      <c r="B42" s="24" t="s">
        <v>457</v>
      </c>
      <c r="C42" s="23" t="s">
        <v>483</v>
      </c>
      <c r="D42" s="422" t="s">
        <v>328</v>
      </c>
      <c r="E42" s="422" t="s">
        <v>328</v>
      </c>
      <c r="F42" s="422" t="s">
        <v>328</v>
      </c>
      <c r="G42" s="422" t="s">
        <v>328</v>
      </c>
      <c r="H42" s="422" t="s">
        <v>328</v>
      </c>
      <c r="I42" s="71"/>
      <c r="J42" s="71"/>
      <c r="K42" s="71"/>
      <c r="L42" s="71"/>
      <c r="M42" s="71"/>
    </row>
    <row r="43" spans="2:13" ht="84">
      <c r="B43" s="25" t="s">
        <v>418</v>
      </c>
      <c r="C43" s="407" t="s">
        <v>419</v>
      </c>
      <c r="D43" s="422" t="s">
        <v>410</v>
      </c>
      <c r="E43" s="422" t="s">
        <v>410</v>
      </c>
      <c r="F43" s="422" t="s">
        <v>410</v>
      </c>
      <c r="G43" s="422" t="s">
        <v>410</v>
      </c>
      <c r="H43" s="422" t="s">
        <v>410</v>
      </c>
      <c r="I43" s="71"/>
      <c r="J43" s="71"/>
      <c r="K43" s="71"/>
      <c r="L43" s="71"/>
      <c r="M43" s="71"/>
    </row>
    <row r="44" spans="2:13" ht="132">
      <c r="B44" s="25" t="s">
        <v>420</v>
      </c>
      <c r="C44" s="407" t="s">
        <v>421</v>
      </c>
      <c r="D44" s="422" t="s">
        <v>328</v>
      </c>
      <c r="E44" s="422" t="s">
        <v>328</v>
      </c>
      <c r="F44" s="422" t="s">
        <v>328</v>
      </c>
      <c r="G44" s="422" t="s">
        <v>328</v>
      </c>
      <c r="H44" s="422" t="s">
        <v>328</v>
      </c>
      <c r="I44" s="71"/>
      <c r="J44" s="71"/>
      <c r="K44" s="71"/>
      <c r="L44" s="71"/>
      <c r="M44" s="71"/>
    </row>
    <row r="45" spans="2:13" ht="14">
      <c r="B45" s="27"/>
      <c r="C45" s="27"/>
      <c r="D45" s="72"/>
      <c r="E45" s="72"/>
      <c r="F45" s="72"/>
      <c r="G45" s="72"/>
      <c r="H45" s="72"/>
    </row>
    <row r="46" spans="2:13" ht="28">
      <c r="B46" s="27"/>
      <c r="C46" s="28" t="s">
        <v>484</v>
      </c>
      <c r="D46" s="417">
        <v>927</v>
      </c>
      <c r="E46" s="417">
        <v>63</v>
      </c>
      <c r="F46" s="417">
        <v>21</v>
      </c>
      <c r="G46" s="417">
        <v>3</v>
      </c>
      <c r="H46" s="417">
        <v>21</v>
      </c>
      <c r="I46" s="71"/>
      <c r="J46" s="71"/>
      <c r="K46" s="71"/>
      <c r="L46" s="71"/>
      <c r="M46" s="71"/>
    </row>
    <row r="47" spans="2:13" ht="42">
      <c r="B47" s="27"/>
      <c r="C47" s="29" t="s">
        <v>485</v>
      </c>
      <c r="D47" s="417"/>
      <c r="E47" s="417">
        <v>63</v>
      </c>
      <c r="F47" s="417">
        <v>21</v>
      </c>
      <c r="G47" s="417">
        <v>0</v>
      </c>
      <c r="H47" s="417">
        <v>5</v>
      </c>
      <c r="I47" s="71"/>
      <c r="J47" s="71"/>
      <c r="K47" s="71"/>
      <c r="L47" s="71"/>
      <c r="M47" s="71"/>
    </row>
    <row r="48" spans="2:13" ht="42">
      <c r="B48" s="27"/>
      <c r="C48" s="29" t="s">
        <v>486</v>
      </c>
      <c r="D48" s="417"/>
      <c r="E48" s="417">
        <v>0</v>
      </c>
      <c r="F48" s="417">
        <v>0</v>
      </c>
      <c r="G48" s="417">
        <v>3</v>
      </c>
      <c r="H48" s="417">
        <f>6+3+1+4+2</f>
        <v>16</v>
      </c>
      <c r="I48" s="71"/>
      <c r="J48" s="71"/>
      <c r="K48" s="71"/>
      <c r="L48" s="71"/>
      <c r="M48" s="71"/>
    </row>
    <row r="49" spans="2:13">
      <c r="B49" s="27"/>
      <c r="C49" s="30"/>
      <c r="D49" s="442"/>
      <c r="E49" s="442"/>
      <c r="F49" s="442"/>
      <c r="G49" s="442"/>
      <c r="H49" s="442"/>
    </row>
    <row r="50" spans="2:13" ht="30">
      <c r="B50" s="27"/>
      <c r="C50" s="28" t="s">
        <v>426</v>
      </c>
      <c r="D50" s="417">
        <v>520</v>
      </c>
      <c r="E50" s="417">
        <v>83</v>
      </c>
      <c r="F50" s="417">
        <v>22</v>
      </c>
      <c r="G50" s="417">
        <v>7</v>
      </c>
      <c r="H50" s="417">
        <v>22</v>
      </c>
      <c r="I50" s="71"/>
      <c r="J50" s="71"/>
      <c r="K50" s="71"/>
      <c r="L50" s="71"/>
      <c r="M50" s="71"/>
    </row>
    <row r="51" spans="2:13" ht="28">
      <c r="B51" s="27"/>
      <c r="C51" s="29" t="s">
        <v>487</v>
      </c>
      <c r="D51" s="417">
        <v>386</v>
      </c>
      <c r="E51" s="417">
        <v>63</v>
      </c>
      <c r="F51" s="417">
        <v>21</v>
      </c>
      <c r="G51" s="417">
        <v>0</v>
      </c>
      <c r="H51" s="417">
        <v>5</v>
      </c>
      <c r="I51" s="71"/>
      <c r="J51" s="71"/>
      <c r="K51" s="71"/>
      <c r="L51" s="71"/>
      <c r="M51" s="71"/>
    </row>
    <row r="52" spans="2:13" ht="28">
      <c r="B52" s="27"/>
      <c r="C52" s="29" t="s">
        <v>488</v>
      </c>
      <c r="D52" s="417">
        <v>134</v>
      </c>
      <c r="E52" s="417">
        <v>0</v>
      </c>
      <c r="F52" s="417">
        <v>0</v>
      </c>
      <c r="G52" s="417">
        <v>3</v>
      </c>
      <c r="H52" s="417">
        <v>16</v>
      </c>
      <c r="I52" s="71"/>
      <c r="J52" s="71"/>
      <c r="K52" s="71"/>
      <c r="L52" s="71"/>
      <c r="M52" s="71"/>
    </row>
    <row r="53" spans="2:13">
      <c r="B53" s="27"/>
      <c r="C53" s="31"/>
      <c r="D53" s="442"/>
      <c r="E53" s="442"/>
      <c r="F53" s="442"/>
      <c r="G53" s="442"/>
      <c r="H53" s="442"/>
    </row>
    <row r="54" spans="2:13" ht="28">
      <c r="B54" s="27"/>
      <c r="C54" s="28" t="s">
        <v>427</v>
      </c>
      <c r="D54" s="417" t="s">
        <v>546</v>
      </c>
      <c r="E54" s="417" t="s">
        <v>555</v>
      </c>
      <c r="F54" s="417" t="s">
        <v>555</v>
      </c>
      <c r="G54" s="417" t="s">
        <v>555</v>
      </c>
      <c r="H54" s="417" t="s">
        <v>555</v>
      </c>
      <c r="I54" s="71"/>
      <c r="J54" s="71"/>
      <c r="K54" s="71"/>
      <c r="L54" s="71"/>
      <c r="M54" s="71"/>
    </row>
    <row r="55" spans="2:13" ht="28">
      <c r="B55" s="27"/>
      <c r="C55" s="28" t="s">
        <v>489</v>
      </c>
      <c r="D55" s="417">
        <v>3</v>
      </c>
      <c r="E55" s="417">
        <v>1</v>
      </c>
      <c r="F55" s="417">
        <v>1</v>
      </c>
      <c r="G55" s="417">
        <v>1</v>
      </c>
      <c r="H55" s="417">
        <v>2</v>
      </c>
      <c r="I55" s="71"/>
      <c r="J55" s="71"/>
      <c r="K55" s="71"/>
      <c r="L55" s="71"/>
      <c r="M55" s="71"/>
    </row>
    <row r="56" spans="2:13" ht="28">
      <c r="B56" s="27"/>
      <c r="C56" s="28" t="s">
        <v>490</v>
      </c>
      <c r="D56" s="417">
        <v>3</v>
      </c>
      <c r="E56" s="417">
        <v>1</v>
      </c>
      <c r="F56" s="417">
        <v>1</v>
      </c>
      <c r="G56" s="417">
        <v>1</v>
      </c>
      <c r="H56" s="417">
        <v>2</v>
      </c>
      <c r="I56" s="71"/>
      <c r="J56" s="71"/>
      <c r="K56" s="71"/>
      <c r="L56" s="71"/>
      <c r="M56" s="71"/>
    </row>
    <row r="57" spans="2:13" ht="56">
      <c r="B57" s="27"/>
      <c r="C57" s="28" t="s">
        <v>430</v>
      </c>
      <c r="D57" s="444"/>
      <c r="E57" s="75"/>
      <c r="F57" s="75"/>
      <c r="G57" s="75"/>
      <c r="H57" s="75"/>
      <c r="I57" s="71"/>
      <c r="J57" s="71"/>
      <c r="K57" s="71"/>
      <c r="L57" s="71"/>
      <c r="M57" s="71"/>
    </row>
    <row r="58" spans="2:13" ht="56">
      <c r="B58" s="27"/>
      <c r="C58" s="28" t="s">
        <v>431</v>
      </c>
      <c r="D58" s="444"/>
      <c r="E58" s="75"/>
      <c r="F58" s="75"/>
      <c r="G58" s="75"/>
      <c r="H58" s="75"/>
      <c r="I58" s="71"/>
      <c r="J58" s="71"/>
      <c r="K58" s="71"/>
      <c r="L58" s="71"/>
      <c r="M58" s="71"/>
    </row>
  </sheetData>
  <mergeCells count="2">
    <mergeCell ref="C6:D6"/>
    <mergeCell ref="C7:D7"/>
  </mergeCells>
  <conditionalFormatting sqref="B13:B17">
    <cfRule type="colorScale" priority="12">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8">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45" priority="2">
      <formula>#REF!="Owned"</formula>
    </cfRule>
  </conditionalFormatting>
  <conditionalFormatting sqref="B28:B29 B26">
    <cfRule type="colorScale" priority="9">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1">
      <colorScale>
        <cfvo type="min"/>
        <cfvo type="percentile" val="50"/>
        <cfvo type="max"/>
        <color rgb="FFF8696B"/>
        <color rgb="FFFCFCFF"/>
        <color rgb="FF63BE7B"/>
      </colorScale>
    </cfRule>
  </conditionalFormatting>
  <conditionalFormatting sqref="B36:B44">
    <cfRule type="colorScale" priority="10">
      <colorScale>
        <cfvo type="min"/>
        <cfvo type="percentile" val="50"/>
        <cfvo type="max"/>
        <color rgb="FFF8696B"/>
        <color rgb="FFFCFCFF"/>
        <color rgb="FF63BE7B"/>
      </colorScale>
    </cfRule>
  </conditionalFormatting>
  <conditionalFormatting sqref="B25:C26">
    <cfRule type="expression" dxfId="44" priority="4">
      <formula>#REF!="Owned"</formula>
    </cfRule>
  </conditionalFormatting>
  <conditionalFormatting sqref="C27:C32">
    <cfRule type="expression" dxfId="43" priority="1">
      <formula>#REF!="Owned"</formula>
    </cfRule>
  </conditionalFormatting>
  <dataValidations count="1">
    <dataValidation type="list" allowBlank="1" showInputMessage="1" showErrorMessage="1" sqref="E6" xr:uid="{2CB4417C-9F2E-469F-A321-968D60399673}">
      <formula1>"Yes, No"</formula1>
    </dataValidation>
  </dataValidations>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59C08-B09A-486F-B833-097661A7770C}">
  <sheetPr codeName="Feuil45">
    <tabColor rgb="FF00B050"/>
    <pageSetUpPr fitToPage="1"/>
  </sheetPr>
  <dimension ref="B2:R68"/>
  <sheetViews>
    <sheetView topLeftCell="B23" zoomScale="70" zoomScaleNormal="70" workbookViewId="0">
      <selection activeCell="G30" sqref="G30"/>
    </sheetView>
  </sheetViews>
  <sheetFormatPr baseColWidth="10" defaultColWidth="9.1640625" defaultRowHeight="36.5" customHeight="1"/>
  <cols>
    <col min="1" max="1" width="19.5" style="1" customWidth="1"/>
    <col min="2" max="2" width="24.1640625" style="1" customWidth="1"/>
    <col min="3" max="3" width="25.5" style="1" customWidth="1"/>
    <col min="4" max="4" width="36.1640625" style="1" customWidth="1"/>
    <col min="5" max="5" width="26.83203125" style="1" customWidth="1"/>
    <col min="6" max="6" width="51.5" style="1" customWidth="1"/>
    <col min="7" max="7" width="39.6640625" style="1" customWidth="1"/>
    <col min="8" max="18" width="22.83203125" style="1" customWidth="1"/>
    <col min="19" max="16384" width="9.1640625" style="1"/>
  </cols>
  <sheetData>
    <row r="2" spans="2:18" ht="36.5" customHeight="1">
      <c r="C2" s="506" t="s">
        <v>323</v>
      </c>
      <c r="D2" s="100">
        <v>45931</v>
      </c>
      <c r="E2" s="315"/>
      <c r="F2" s="3"/>
      <c r="G2" s="3"/>
      <c r="H2" s="3"/>
      <c r="I2" s="4"/>
    </row>
    <row r="4" spans="2:18" ht="36.5" customHeight="1">
      <c r="C4" s="316" t="s">
        <v>324</v>
      </c>
      <c r="D4" s="82" t="s">
        <v>121</v>
      </c>
      <c r="E4" s="82" t="s">
        <v>121</v>
      </c>
      <c r="F4" s="82" t="s">
        <v>121</v>
      </c>
      <c r="I4" s="5"/>
    </row>
    <row r="6" spans="2:18" ht="36.5" customHeight="1">
      <c r="B6" s="1" t="s">
        <v>326</v>
      </c>
      <c r="C6" s="589" t="s">
        <v>327</v>
      </c>
      <c r="D6" s="591"/>
      <c r="E6" s="6" t="s">
        <v>414</v>
      </c>
      <c r="F6" s="101"/>
      <c r="G6" s="101"/>
      <c r="H6" s="101"/>
    </row>
    <row r="7" spans="2:18" ht="36.5" customHeight="1">
      <c r="B7" s="1" t="s">
        <v>326</v>
      </c>
      <c r="C7" s="589" t="s">
        <v>329</v>
      </c>
      <c r="D7" s="591"/>
      <c r="E7" s="6">
        <v>2</v>
      </c>
      <c r="F7" s="101"/>
      <c r="G7" s="101"/>
      <c r="H7" s="101"/>
    </row>
    <row r="8" spans="2:18" ht="36.5" customHeight="1">
      <c r="C8" s="113"/>
      <c r="D8" s="113"/>
      <c r="E8" s="42"/>
      <c r="F8" s="101"/>
      <c r="G8" s="101"/>
      <c r="H8" s="101"/>
    </row>
    <row r="9" spans="2:18" ht="36.5" customHeight="1">
      <c r="C9" s="70" t="s">
        <v>441</v>
      </c>
      <c r="D9" s="392"/>
      <c r="E9" s="6"/>
      <c r="F9" s="408" t="s">
        <v>241</v>
      </c>
      <c r="G9" s="393"/>
      <c r="H9" s="393"/>
      <c r="I9" s="71"/>
      <c r="J9" s="71"/>
      <c r="K9" s="71"/>
      <c r="L9" s="71"/>
      <c r="M9" s="71"/>
      <c r="N9" s="71"/>
      <c r="O9" s="71"/>
      <c r="P9" s="71"/>
      <c r="Q9" s="71"/>
      <c r="R9" s="71"/>
    </row>
    <row r="10" spans="2:18" ht="36.5" customHeight="1">
      <c r="C10" s="104" t="s">
        <v>331</v>
      </c>
      <c r="D10" s="84" t="s">
        <v>1401</v>
      </c>
      <c r="E10" s="84" t="s">
        <v>1402</v>
      </c>
      <c r="F10" s="408" t="s">
        <v>1403</v>
      </c>
      <c r="G10" s="84" t="s">
        <v>335</v>
      </c>
      <c r="H10" s="84" t="s">
        <v>336</v>
      </c>
      <c r="I10" s="84" t="s">
        <v>337</v>
      </c>
      <c r="J10" s="84" t="s">
        <v>338</v>
      </c>
      <c r="K10" s="84" t="s">
        <v>339</v>
      </c>
      <c r="L10" s="84" t="s">
        <v>340</v>
      </c>
      <c r="M10" s="84" t="s">
        <v>341</v>
      </c>
      <c r="N10" s="84" t="s">
        <v>342</v>
      </c>
      <c r="O10" s="84" t="s">
        <v>343</v>
      </c>
      <c r="P10" s="84" t="s">
        <v>344</v>
      </c>
      <c r="Q10" s="84" t="s">
        <v>345</v>
      </c>
      <c r="R10" s="84" t="s">
        <v>346</v>
      </c>
    </row>
    <row r="11" spans="2:18" ht="36.5" customHeight="1">
      <c r="C11" s="104" t="s">
        <v>299</v>
      </c>
      <c r="D11" s="84" t="s">
        <v>1404</v>
      </c>
      <c r="E11" s="84" t="s">
        <v>1405</v>
      </c>
      <c r="F11" s="408"/>
      <c r="G11" s="84"/>
      <c r="H11" s="84"/>
      <c r="I11" s="84"/>
      <c r="J11" s="84"/>
      <c r="K11" s="84"/>
      <c r="L11" s="84"/>
      <c r="M11" s="84"/>
      <c r="N11" s="84"/>
      <c r="O11" s="84"/>
      <c r="P11" s="84"/>
      <c r="Q11" s="84"/>
      <c r="R11" s="84"/>
    </row>
    <row r="12" spans="2:18" ht="36.5" customHeight="1">
      <c r="C12" s="68"/>
      <c r="D12" s="320"/>
      <c r="E12" s="321"/>
      <c r="F12" s="132"/>
      <c r="G12" s="321"/>
      <c r="H12" s="321"/>
      <c r="I12" s="321"/>
      <c r="J12" s="322"/>
      <c r="K12" s="322"/>
      <c r="L12" s="322"/>
      <c r="M12" s="322"/>
      <c r="N12" s="322"/>
      <c r="O12" s="322"/>
      <c r="P12" s="322"/>
      <c r="Q12" s="322"/>
      <c r="R12" s="322"/>
    </row>
    <row r="13" spans="2:18" ht="36.5" customHeight="1">
      <c r="B13" s="7" t="s">
        <v>348</v>
      </c>
      <c r="C13" s="8" t="s">
        <v>349</v>
      </c>
      <c r="D13" s="118" t="s">
        <v>1406</v>
      </c>
      <c r="E13" s="118" t="s">
        <v>1407</v>
      </c>
      <c r="F13" s="409" t="s">
        <v>1408</v>
      </c>
      <c r="G13" s="118"/>
      <c r="H13" s="118"/>
      <c r="I13" s="118"/>
      <c r="J13" s="118"/>
      <c r="K13" s="118"/>
      <c r="L13" s="118"/>
      <c r="M13" s="118"/>
      <c r="N13" s="118"/>
      <c r="O13" s="118"/>
      <c r="P13" s="118"/>
      <c r="Q13" s="118"/>
      <c r="R13" s="118"/>
    </row>
    <row r="14" spans="2:18" ht="36.5" customHeight="1">
      <c r="B14" s="7" t="s">
        <v>352</v>
      </c>
      <c r="C14" s="8" t="s">
        <v>297</v>
      </c>
      <c r="D14" s="85" t="s">
        <v>126</v>
      </c>
      <c r="E14" s="85" t="s">
        <v>128</v>
      </c>
      <c r="F14" s="409" t="s">
        <v>123</v>
      </c>
      <c r="G14" s="85"/>
      <c r="H14" s="85"/>
      <c r="I14" s="85"/>
      <c r="J14" s="85"/>
      <c r="K14" s="85"/>
      <c r="L14" s="85"/>
      <c r="M14" s="85"/>
      <c r="N14" s="85"/>
      <c r="O14" s="85"/>
      <c r="P14" s="85"/>
      <c r="Q14" s="85"/>
      <c r="R14" s="85"/>
    </row>
    <row r="15" spans="2:18" ht="36.5" customHeight="1">
      <c r="B15" s="7" t="s">
        <v>353</v>
      </c>
      <c r="C15" s="8" t="s">
        <v>354</v>
      </c>
      <c r="D15" s="85" t="s">
        <v>127</v>
      </c>
      <c r="E15" s="85" t="s">
        <v>129</v>
      </c>
      <c r="F15" s="409" t="s">
        <v>124</v>
      </c>
      <c r="G15" s="85"/>
      <c r="H15" s="85"/>
      <c r="I15" s="85"/>
      <c r="J15" s="85"/>
      <c r="K15" s="85"/>
      <c r="L15" s="85"/>
      <c r="M15" s="85"/>
      <c r="N15" s="85"/>
      <c r="O15" s="85"/>
      <c r="P15" s="85"/>
      <c r="Q15" s="85"/>
      <c r="R15" s="85"/>
    </row>
    <row r="16" spans="2:18" ht="36.5" customHeight="1">
      <c r="B16" s="7" t="s">
        <v>355</v>
      </c>
      <c r="C16" s="8" t="s">
        <v>356</v>
      </c>
      <c r="D16" s="85" t="s">
        <v>1409</v>
      </c>
      <c r="E16" s="85" t="s">
        <v>1410</v>
      </c>
      <c r="F16" s="409" t="s">
        <v>1411</v>
      </c>
      <c r="G16" s="85"/>
      <c r="H16" s="85"/>
      <c r="I16" s="85"/>
      <c r="J16" s="85"/>
      <c r="K16" s="85"/>
      <c r="L16" s="85"/>
      <c r="M16" s="85"/>
      <c r="N16" s="85"/>
      <c r="O16" s="85"/>
      <c r="P16" s="85"/>
      <c r="Q16" s="85"/>
      <c r="R16" s="85"/>
    </row>
    <row r="17" spans="2:18" ht="36.5" customHeight="1">
      <c r="B17" s="7" t="s">
        <v>357</v>
      </c>
      <c r="C17" s="8" t="s">
        <v>294</v>
      </c>
      <c r="D17" s="85" t="s">
        <v>125</v>
      </c>
      <c r="E17" s="85" t="s">
        <v>125</v>
      </c>
      <c r="F17" s="409" t="s">
        <v>122</v>
      </c>
      <c r="G17" s="85"/>
      <c r="H17" s="85"/>
      <c r="I17" s="85"/>
      <c r="J17" s="85"/>
      <c r="K17" s="85"/>
      <c r="L17" s="85"/>
      <c r="M17" s="85"/>
      <c r="N17" s="85"/>
      <c r="O17" s="85"/>
      <c r="P17" s="85"/>
      <c r="Q17" s="85"/>
      <c r="R17" s="85"/>
    </row>
    <row r="18" spans="2:18" ht="36.5" customHeight="1">
      <c r="B18" s="9" t="s">
        <v>358</v>
      </c>
      <c r="C18" s="10" t="s">
        <v>359</v>
      </c>
      <c r="D18" s="85" t="s">
        <v>360</v>
      </c>
      <c r="E18" s="85" t="s">
        <v>360</v>
      </c>
      <c r="F18" s="409" t="s">
        <v>527</v>
      </c>
      <c r="G18" s="85"/>
      <c r="H18" s="85"/>
      <c r="I18" s="85"/>
      <c r="J18" s="85"/>
      <c r="K18" s="85"/>
      <c r="L18" s="85"/>
      <c r="M18" s="85"/>
      <c r="N18" s="85"/>
      <c r="O18" s="85"/>
      <c r="P18" s="85"/>
      <c r="Q18" s="85"/>
      <c r="R18" s="85"/>
    </row>
    <row r="19" spans="2:18" ht="36.5" customHeight="1">
      <c r="B19" s="9" t="s">
        <v>361</v>
      </c>
      <c r="C19" s="10" t="s">
        <v>362</v>
      </c>
      <c r="D19" s="85" t="s">
        <v>328</v>
      </c>
      <c r="E19" s="85" t="s">
        <v>328</v>
      </c>
      <c r="F19" s="409" t="s">
        <v>581</v>
      </c>
      <c r="G19" s="85"/>
      <c r="H19" s="85"/>
      <c r="I19" s="85"/>
      <c r="J19" s="85"/>
      <c r="K19" s="85"/>
      <c r="L19" s="85"/>
      <c r="M19" s="85"/>
      <c r="N19" s="85"/>
      <c r="O19" s="85"/>
      <c r="P19" s="85"/>
      <c r="Q19" s="85"/>
      <c r="R19" s="85"/>
    </row>
    <row r="20" spans="2:18" ht="36.5" customHeight="1">
      <c r="B20" s="9" t="s">
        <v>363</v>
      </c>
      <c r="C20" s="10" t="s">
        <v>364</v>
      </c>
      <c r="D20" s="85" t="s">
        <v>328</v>
      </c>
      <c r="E20" s="85" t="s">
        <v>328</v>
      </c>
      <c r="F20" s="409" t="s">
        <v>581</v>
      </c>
      <c r="G20" s="85"/>
      <c r="H20" s="85"/>
      <c r="I20" s="85"/>
      <c r="J20" s="85"/>
      <c r="K20" s="85"/>
      <c r="L20" s="85"/>
      <c r="M20" s="85"/>
      <c r="N20" s="85"/>
      <c r="O20" s="85"/>
      <c r="P20" s="85"/>
      <c r="Q20" s="85"/>
      <c r="R20" s="85"/>
    </row>
    <row r="21" spans="2:18" ht="36.5" customHeight="1">
      <c r="B21" s="11" t="s">
        <v>365</v>
      </c>
      <c r="C21" s="12" t="s">
        <v>366</v>
      </c>
      <c r="D21" s="85" t="s">
        <v>1412</v>
      </c>
      <c r="E21" s="85" t="s">
        <v>1413</v>
      </c>
      <c r="F21" s="409" t="s">
        <v>1414</v>
      </c>
      <c r="G21" s="85"/>
      <c r="H21" s="85"/>
      <c r="I21" s="85"/>
      <c r="J21" s="85"/>
      <c r="K21" s="85"/>
      <c r="L21" s="85"/>
      <c r="M21" s="85"/>
      <c r="N21" s="85"/>
      <c r="O21" s="85"/>
      <c r="P21" s="85"/>
      <c r="Q21" s="85"/>
      <c r="R21" s="85"/>
    </row>
    <row r="22" spans="2:18" ht="36.5" customHeight="1">
      <c r="B22" s="11" t="s">
        <v>369</v>
      </c>
      <c r="C22" s="12" t="s">
        <v>370</v>
      </c>
      <c r="D22" s="85" t="s">
        <v>1415</v>
      </c>
      <c r="E22" s="85" t="s">
        <v>1416</v>
      </c>
      <c r="F22" s="409" t="s">
        <v>1417</v>
      </c>
      <c r="G22" s="85"/>
      <c r="H22" s="85"/>
      <c r="I22" s="85"/>
      <c r="J22" s="85"/>
      <c r="K22" s="85"/>
      <c r="L22" s="85"/>
      <c r="M22" s="85"/>
      <c r="N22" s="85"/>
      <c r="O22" s="85"/>
      <c r="P22" s="85"/>
      <c r="Q22" s="85"/>
      <c r="R22" s="85"/>
    </row>
    <row r="23" spans="2:18" ht="36.5" customHeight="1">
      <c r="B23" s="13"/>
      <c r="C23" s="87" t="s">
        <v>374</v>
      </c>
      <c r="D23" s="394" t="s">
        <v>374</v>
      </c>
      <c r="E23" s="131" t="s">
        <v>374</v>
      </c>
      <c r="F23" s="409" t="s">
        <v>410</v>
      </c>
      <c r="G23" s="131"/>
      <c r="H23" s="131"/>
      <c r="I23" s="131"/>
      <c r="J23" s="131"/>
      <c r="K23" s="131"/>
      <c r="L23" s="131"/>
      <c r="M23" s="131"/>
      <c r="N23" s="131"/>
      <c r="O23" s="131"/>
      <c r="P23" s="131"/>
      <c r="Q23" s="131"/>
      <c r="R23" s="131"/>
    </row>
    <row r="24" spans="2:18" ht="36.5" customHeight="1">
      <c r="B24" s="13" t="s">
        <v>375</v>
      </c>
      <c r="C24" s="14" t="s">
        <v>376</v>
      </c>
      <c r="D24" s="90">
        <v>4937.7944500000003</v>
      </c>
      <c r="E24" s="88">
        <v>703</v>
      </c>
      <c r="F24" s="410" t="s">
        <v>1418</v>
      </c>
      <c r="G24" s="88"/>
      <c r="H24" s="88"/>
      <c r="I24" s="88"/>
      <c r="J24" s="88"/>
      <c r="K24" s="88"/>
      <c r="L24" s="88"/>
      <c r="M24" s="88"/>
      <c r="N24" s="88"/>
      <c r="O24" s="88"/>
      <c r="P24" s="88"/>
      <c r="Q24" s="88"/>
      <c r="R24" s="88"/>
    </row>
    <row r="25" spans="2:18" ht="36.5" customHeight="1">
      <c r="B25" s="15" t="s">
        <v>377</v>
      </c>
      <c r="C25" s="16" t="s">
        <v>378</v>
      </c>
      <c r="D25" s="119">
        <v>42</v>
      </c>
      <c r="E25" s="119">
        <v>5</v>
      </c>
      <c r="F25" s="409">
        <v>0</v>
      </c>
      <c r="G25" s="85"/>
      <c r="H25" s="85"/>
      <c r="I25" s="85"/>
      <c r="J25" s="85"/>
      <c r="K25" s="85"/>
      <c r="L25" s="85"/>
      <c r="M25" s="85"/>
      <c r="N25" s="85"/>
      <c r="O25" s="85"/>
      <c r="P25" s="85"/>
      <c r="Q25" s="85"/>
      <c r="R25" s="85"/>
    </row>
    <row r="26" spans="2:18" ht="36.5" customHeight="1">
      <c r="B26" s="15" t="s">
        <v>380</v>
      </c>
      <c r="C26" s="16" t="s">
        <v>381</v>
      </c>
      <c r="D26" s="89" t="s">
        <v>1419</v>
      </c>
      <c r="E26" s="89" t="s">
        <v>1419</v>
      </c>
      <c r="F26" s="409" t="s">
        <v>1420</v>
      </c>
      <c r="G26" s="85"/>
      <c r="H26" s="85"/>
      <c r="I26" s="85"/>
      <c r="J26" s="85"/>
      <c r="K26" s="85"/>
      <c r="L26" s="85"/>
      <c r="M26" s="85"/>
      <c r="N26" s="85"/>
      <c r="O26" s="85"/>
      <c r="P26" s="85"/>
      <c r="Q26" s="85"/>
      <c r="R26" s="85"/>
    </row>
    <row r="27" spans="2:18" ht="36.5" customHeight="1">
      <c r="B27" s="323" t="s">
        <v>383</v>
      </c>
      <c r="C27" s="324" t="s">
        <v>383</v>
      </c>
      <c r="D27" s="88">
        <v>1541350.08</v>
      </c>
      <c r="E27" s="395">
        <v>480343.4</v>
      </c>
      <c r="F27" s="409" t="s">
        <v>1421</v>
      </c>
      <c r="G27" s="85"/>
      <c r="H27" s="85"/>
      <c r="I27" s="85"/>
      <c r="J27" s="85"/>
      <c r="K27" s="85"/>
      <c r="L27" s="85"/>
      <c r="M27" s="85"/>
      <c r="N27" s="85"/>
      <c r="O27" s="85"/>
      <c r="P27" s="85"/>
      <c r="Q27" s="85"/>
      <c r="R27" s="85"/>
    </row>
    <row r="28" spans="2:18" ht="36.5" customHeight="1">
      <c r="B28" s="15" t="s">
        <v>384</v>
      </c>
      <c r="C28" s="16" t="s">
        <v>450</v>
      </c>
      <c r="D28" s="396">
        <f>D27/D24</f>
        <v>312.15355268585552</v>
      </c>
      <c r="E28" s="120">
        <f>E27/E24</f>
        <v>683.27652916073976</v>
      </c>
      <c r="F28" s="409" t="s">
        <v>1422</v>
      </c>
      <c r="G28" s="85"/>
      <c r="H28" s="85"/>
      <c r="I28" s="85"/>
      <c r="J28" s="85"/>
      <c r="K28" s="85"/>
      <c r="L28" s="85"/>
      <c r="M28" s="85"/>
      <c r="N28" s="85"/>
      <c r="O28" s="85"/>
      <c r="P28" s="85"/>
      <c r="Q28" s="85"/>
      <c r="R28" s="85"/>
    </row>
    <row r="29" spans="2:18" ht="36.5" customHeight="1">
      <c r="B29" s="15" t="s">
        <v>387</v>
      </c>
      <c r="C29" s="16" t="s">
        <v>388</v>
      </c>
      <c r="D29" s="336" t="s">
        <v>1423</v>
      </c>
      <c r="E29" s="89" t="s">
        <v>1424</v>
      </c>
      <c r="F29" s="409" t="s">
        <v>1425</v>
      </c>
      <c r="G29" s="85"/>
      <c r="H29" s="85"/>
      <c r="I29" s="85"/>
      <c r="J29" s="85"/>
      <c r="K29" s="85"/>
      <c r="L29" s="85"/>
      <c r="M29" s="85"/>
      <c r="N29" s="85"/>
      <c r="O29" s="85"/>
      <c r="P29" s="85"/>
      <c r="Q29" s="85"/>
      <c r="R29" s="85"/>
    </row>
    <row r="30" spans="2:18" ht="36.5" customHeight="1">
      <c r="B30" s="13" t="s">
        <v>390</v>
      </c>
      <c r="C30" s="17" t="s">
        <v>453</v>
      </c>
      <c r="D30" s="395">
        <f>D31/D24</f>
        <v>230.57723676610311</v>
      </c>
      <c r="E30" s="395">
        <f>E31/E24</f>
        <v>306.94051209103839</v>
      </c>
      <c r="F30" s="409" t="s">
        <v>1426</v>
      </c>
      <c r="G30" s="85"/>
      <c r="H30" s="85"/>
      <c r="I30" s="85"/>
      <c r="J30" s="85"/>
      <c r="K30" s="85"/>
      <c r="L30" s="85"/>
      <c r="M30" s="85"/>
      <c r="N30" s="85"/>
      <c r="O30" s="85"/>
      <c r="P30" s="85"/>
      <c r="Q30" s="85"/>
      <c r="R30" s="85"/>
    </row>
    <row r="31" spans="2:18" ht="36.5" customHeight="1">
      <c r="B31" s="326"/>
      <c r="C31" s="327" t="s">
        <v>393</v>
      </c>
      <c r="D31" s="395">
        <v>1138543</v>
      </c>
      <c r="E31" s="85">
        <v>215779.18</v>
      </c>
      <c r="F31" s="409" t="s">
        <v>1427</v>
      </c>
      <c r="G31" s="85"/>
      <c r="H31" s="85"/>
      <c r="I31" s="85"/>
      <c r="J31" s="85"/>
      <c r="K31" s="85"/>
      <c r="L31" s="85"/>
      <c r="M31" s="85"/>
      <c r="N31" s="85"/>
      <c r="O31" s="85"/>
      <c r="P31" s="85"/>
      <c r="Q31" s="85"/>
      <c r="R31" s="85"/>
    </row>
    <row r="32" spans="2:18" ht="36.5" customHeight="1">
      <c r="B32" s="13" t="s">
        <v>394</v>
      </c>
      <c r="C32" s="17" t="s">
        <v>395</v>
      </c>
      <c r="D32" s="85" t="s">
        <v>1428</v>
      </c>
      <c r="E32" s="85" t="s">
        <v>1424</v>
      </c>
      <c r="F32" s="409" t="s">
        <v>1427</v>
      </c>
      <c r="G32" s="85"/>
      <c r="H32" s="85"/>
      <c r="I32" s="85"/>
      <c r="J32" s="85"/>
      <c r="K32" s="85"/>
      <c r="L32" s="85"/>
      <c r="M32" s="85"/>
      <c r="N32" s="85"/>
      <c r="O32" s="85"/>
      <c r="P32" s="85"/>
      <c r="Q32" s="85"/>
      <c r="R32" s="85"/>
    </row>
    <row r="33" spans="2:18" ht="36.5" customHeight="1">
      <c r="B33" s="18" t="s">
        <v>397</v>
      </c>
      <c r="C33" s="19" t="s">
        <v>313</v>
      </c>
      <c r="D33" s="91" t="s">
        <v>1429</v>
      </c>
      <c r="E33" s="91" t="s">
        <v>1430</v>
      </c>
      <c r="F33" s="411" t="s">
        <v>1431</v>
      </c>
      <c r="G33" s="91"/>
      <c r="H33" s="91"/>
      <c r="I33" s="91"/>
      <c r="J33" s="85"/>
      <c r="K33" s="85"/>
      <c r="L33" s="85"/>
      <c r="M33" s="85"/>
      <c r="N33" s="85"/>
      <c r="O33" s="85"/>
      <c r="P33" s="85"/>
      <c r="Q33" s="85"/>
      <c r="R33" s="85"/>
    </row>
    <row r="34" spans="2:18" ht="36.5" customHeight="1">
      <c r="B34" s="20" t="s">
        <v>398</v>
      </c>
      <c r="C34" s="19" t="s">
        <v>315</v>
      </c>
      <c r="D34" s="91" t="s">
        <v>1432</v>
      </c>
      <c r="E34" s="91" t="s">
        <v>1433</v>
      </c>
      <c r="F34" s="411" t="s">
        <v>1434</v>
      </c>
      <c r="G34" s="91"/>
      <c r="H34" s="91"/>
      <c r="I34" s="91"/>
      <c r="J34" s="85"/>
      <c r="K34" s="85"/>
      <c r="L34" s="85"/>
      <c r="M34" s="85"/>
      <c r="N34" s="85"/>
      <c r="O34" s="85"/>
      <c r="P34" s="85"/>
      <c r="Q34" s="85"/>
      <c r="R34" s="85"/>
    </row>
    <row r="35" spans="2:18" ht="36.5" customHeight="1">
      <c r="B35" s="20" t="s">
        <v>399</v>
      </c>
      <c r="C35" s="19" t="s">
        <v>400</v>
      </c>
      <c r="D35" s="85" t="s">
        <v>410</v>
      </c>
      <c r="E35" s="85" t="s">
        <v>1435</v>
      </c>
      <c r="F35" s="409" t="s">
        <v>1436</v>
      </c>
      <c r="G35" s="85"/>
      <c r="H35" s="85"/>
      <c r="I35" s="85"/>
      <c r="J35" s="85"/>
      <c r="K35" s="85"/>
      <c r="L35" s="85"/>
      <c r="M35" s="85"/>
      <c r="N35" s="85"/>
      <c r="O35" s="85"/>
      <c r="P35" s="85"/>
      <c r="Q35" s="85"/>
      <c r="R35" s="85"/>
    </row>
    <row r="36" spans="2:18" ht="36.5" customHeight="1">
      <c r="B36" s="20" t="s">
        <v>402</v>
      </c>
      <c r="C36" s="21" t="s">
        <v>403</v>
      </c>
      <c r="D36" s="92" t="s">
        <v>328</v>
      </c>
      <c r="E36" s="92" t="s">
        <v>414</v>
      </c>
      <c r="F36" s="412" t="s">
        <v>546</v>
      </c>
      <c r="G36" s="93"/>
      <c r="H36" s="93"/>
      <c r="I36" s="93"/>
      <c r="J36" s="85"/>
      <c r="K36" s="85"/>
      <c r="L36" s="85"/>
      <c r="M36" s="85"/>
      <c r="N36" s="85"/>
      <c r="O36" s="85"/>
      <c r="P36" s="85"/>
      <c r="Q36" s="85"/>
      <c r="R36" s="85"/>
    </row>
    <row r="37" spans="2:18" ht="36.5" customHeight="1">
      <c r="B37" s="20" t="s">
        <v>404</v>
      </c>
      <c r="C37" s="21" t="s">
        <v>405</v>
      </c>
      <c r="D37" s="92"/>
      <c r="E37" s="92" t="s">
        <v>1437</v>
      </c>
      <c r="F37" s="412" t="s">
        <v>1438</v>
      </c>
      <c r="G37" s="93"/>
      <c r="H37" s="93"/>
      <c r="I37" s="93"/>
      <c r="J37" s="85"/>
      <c r="K37" s="85"/>
      <c r="L37" s="85"/>
      <c r="M37" s="85"/>
      <c r="N37" s="85"/>
      <c r="O37" s="85"/>
      <c r="P37" s="85"/>
      <c r="Q37" s="85"/>
      <c r="R37" s="85"/>
    </row>
    <row r="38" spans="2:18" ht="36.5" customHeight="1">
      <c r="B38" s="20" t="s">
        <v>406</v>
      </c>
      <c r="C38" s="21" t="s">
        <v>407</v>
      </c>
      <c r="D38" s="92" t="s">
        <v>328</v>
      </c>
      <c r="E38" s="92"/>
      <c r="F38" s="412" t="s">
        <v>1439</v>
      </c>
      <c r="G38" s="93"/>
      <c r="H38" s="93"/>
      <c r="I38" s="93"/>
      <c r="J38" s="85"/>
      <c r="K38" s="85"/>
      <c r="L38" s="85"/>
      <c r="M38" s="85"/>
      <c r="N38" s="85"/>
      <c r="O38" s="85"/>
      <c r="P38" s="85"/>
      <c r="Q38" s="85"/>
      <c r="R38" s="85"/>
    </row>
    <row r="39" spans="2:18" ht="36.5" customHeight="1">
      <c r="B39" s="20" t="s">
        <v>408</v>
      </c>
      <c r="C39" s="21" t="s">
        <v>409</v>
      </c>
      <c r="D39" s="92" t="s">
        <v>410</v>
      </c>
      <c r="E39" s="92"/>
      <c r="F39" s="412" t="s">
        <v>1440</v>
      </c>
      <c r="G39" s="93"/>
      <c r="H39" s="93"/>
      <c r="I39" s="93"/>
      <c r="J39" s="85"/>
      <c r="K39" s="85"/>
      <c r="L39" s="85"/>
      <c r="M39" s="85"/>
      <c r="N39" s="85"/>
      <c r="O39" s="85"/>
      <c r="P39" s="85"/>
      <c r="Q39" s="85"/>
      <c r="R39" s="85"/>
    </row>
    <row r="40" spans="2:18" ht="36.5" customHeight="1">
      <c r="B40" s="20" t="s">
        <v>411</v>
      </c>
      <c r="C40" s="21" t="s">
        <v>314</v>
      </c>
      <c r="D40" s="92">
        <v>48165</v>
      </c>
      <c r="E40" s="93">
        <v>46709</v>
      </c>
      <c r="F40" s="412" t="s">
        <v>1441</v>
      </c>
      <c r="G40" s="93"/>
      <c r="H40" s="93"/>
      <c r="I40" s="93"/>
      <c r="J40" s="85"/>
      <c r="K40" s="85"/>
      <c r="L40" s="85"/>
      <c r="M40" s="85"/>
      <c r="N40" s="85"/>
      <c r="O40" s="85"/>
      <c r="P40" s="85"/>
      <c r="Q40" s="85"/>
      <c r="R40" s="85"/>
    </row>
    <row r="41" spans="2:18" ht="36.5" customHeight="1">
      <c r="B41" s="22" t="s">
        <v>412</v>
      </c>
      <c r="C41" s="23" t="s">
        <v>413</v>
      </c>
      <c r="D41" s="92" t="s">
        <v>1442</v>
      </c>
      <c r="E41" s="92" t="s">
        <v>328</v>
      </c>
      <c r="F41" s="413" t="s">
        <v>410</v>
      </c>
      <c r="G41" s="92"/>
      <c r="H41" s="92"/>
      <c r="I41" s="92"/>
      <c r="J41" s="92"/>
      <c r="K41" s="92"/>
      <c r="L41" s="92"/>
      <c r="M41" s="92"/>
      <c r="N41" s="92"/>
      <c r="O41" s="92"/>
      <c r="P41" s="92"/>
      <c r="Q41" s="92"/>
      <c r="R41" s="92"/>
    </row>
    <row r="42" spans="2:18" ht="36.5" customHeight="1">
      <c r="B42" s="24" t="s">
        <v>457</v>
      </c>
      <c r="C42" s="23" t="s">
        <v>458</v>
      </c>
      <c r="D42" s="95" t="s">
        <v>328</v>
      </c>
      <c r="E42" s="95" t="s">
        <v>328</v>
      </c>
      <c r="F42" s="414" t="s">
        <v>1443</v>
      </c>
      <c r="G42" s="95"/>
      <c r="H42" s="95"/>
      <c r="I42" s="95"/>
      <c r="J42" s="95"/>
      <c r="K42" s="95"/>
      <c r="L42" s="95"/>
      <c r="M42" s="95"/>
      <c r="N42" s="95"/>
      <c r="O42" s="95"/>
      <c r="P42" s="95"/>
      <c r="Q42" s="95"/>
      <c r="R42" s="95"/>
    </row>
    <row r="43" spans="2:18" ht="36.5" customHeight="1">
      <c r="B43" s="25" t="s">
        <v>418</v>
      </c>
      <c r="C43" s="26" t="s">
        <v>419</v>
      </c>
      <c r="D43" s="85" t="s">
        <v>674</v>
      </c>
      <c r="E43" s="85" t="s">
        <v>1424</v>
      </c>
      <c r="F43" s="409" t="s">
        <v>546</v>
      </c>
      <c r="G43" s="85"/>
      <c r="H43" s="85"/>
      <c r="I43" s="85"/>
      <c r="J43" s="85"/>
      <c r="K43" s="85"/>
      <c r="L43" s="85"/>
      <c r="M43" s="85"/>
      <c r="N43" s="85"/>
      <c r="O43" s="85"/>
      <c r="P43" s="85"/>
      <c r="Q43" s="85"/>
      <c r="R43" s="85"/>
    </row>
    <row r="44" spans="2:18" ht="36.5" customHeight="1">
      <c r="B44" s="25" t="s">
        <v>420</v>
      </c>
      <c r="C44" s="26" t="s">
        <v>421</v>
      </c>
      <c r="D44" s="85" t="s">
        <v>328</v>
      </c>
      <c r="E44" s="85" t="s">
        <v>328</v>
      </c>
      <c r="F44" s="409" t="s">
        <v>499</v>
      </c>
      <c r="G44" s="85"/>
      <c r="H44" s="85"/>
      <c r="I44" s="85"/>
      <c r="J44" s="85"/>
      <c r="K44" s="85"/>
      <c r="L44" s="85"/>
      <c r="M44" s="85"/>
      <c r="N44" s="85"/>
      <c r="O44" s="85"/>
      <c r="P44" s="85"/>
      <c r="Q44" s="85"/>
      <c r="R44" s="85"/>
    </row>
    <row r="45" spans="2:18" ht="36.5" customHeight="1">
      <c r="B45" s="27"/>
      <c r="C45" s="27"/>
      <c r="D45" s="27"/>
      <c r="E45" s="27"/>
      <c r="F45" s="27"/>
      <c r="G45" s="27"/>
      <c r="H45" s="27"/>
      <c r="I45" s="27"/>
      <c r="J45" s="27"/>
      <c r="K45" s="27"/>
      <c r="L45" s="27"/>
      <c r="M45" s="27"/>
      <c r="N45" s="27"/>
      <c r="O45" s="27"/>
      <c r="P45" s="27"/>
      <c r="Q45" s="27"/>
      <c r="R45" s="27"/>
    </row>
    <row r="46" spans="2:18" ht="36.5" customHeight="1">
      <c r="B46" s="27"/>
      <c r="C46" s="28" t="s">
        <v>423</v>
      </c>
      <c r="D46" s="85">
        <v>395</v>
      </c>
      <c r="E46" s="85">
        <v>47</v>
      </c>
      <c r="F46" s="85" t="s">
        <v>1444</v>
      </c>
      <c r="G46" s="85"/>
      <c r="H46" s="85"/>
      <c r="I46" s="85"/>
      <c r="J46" s="85"/>
      <c r="K46" s="85"/>
      <c r="L46" s="85"/>
      <c r="M46" s="85"/>
      <c r="N46" s="85"/>
      <c r="O46" s="85"/>
      <c r="P46" s="85"/>
      <c r="Q46" s="85"/>
      <c r="R46" s="85"/>
    </row>
    <row r="47" spans="2:18" ht="36.5" customHeight="1">
      <c r="B47" s="27"/>
      <c r="C47" s="29" t="s">
        <v>424</v>
      </c>
      <c r="D47" s="85" t="s">
        <v>1445</v>
      </c>
      <c r="E47" s="85"/>
      <c r="F47" s="85"/>
      <c r="G47" s="85"/>
      <c r="H47" s="85"/>
      <c r="I47" s="85"/>
      <c r="J47" s="85"/>
      <c r="K47" s="85"/>
      <c r="L47" s="85"/>
      <c r="M47" s="85"/>
      <c r="N47" s="85"/>
      <c r="O47" s="85"/>
      <c r="P47" s="85"/>
      <c r="Q47" s="85"/>
      <c r="R47" s="85"/>
    </row>
    <row r="48" spans="2:18" ht="36.5" customHeight="1">
      <c r="B48" s="27"/>
      <c r="C48" s="29" t="s">
        <v>425</v>
      </c>
      <c r="D48" s="85" t="s">
        <v>1446</v>
      </c>
      <c r="E48" s="85"/>
      <c r="F48" s="85"/>
      <c r="G48" s="85"/>
      <c r="H48" s="85"/>
      <c r="I48" s="85"/>
      <c r="J48" s="85"/>
      <c r="K48" s="85"/>
      <c r="L48" s="85"/>
      <c r="M48" s="85"/>
      <c r="N48" s="85"/>
      <c r="O48" s="85"/>
      <c r="P48" s="85"/>
      <c r="Q48" s="85"/>
      <c r="R48" s="85"/>
    </row>
    <row r="49" spans="2:18" ht="10" customHeight="1">
      <c r="B49" s="27"/>
      <c r="C49" s="30"/>
      <c r="D49" s="96"/>
      <c r="E49" s="96"/>
      <c r="F49" s="96"/>
      <c r="G49" s="96"/>
      <c r="H49" s="96"/>
      <c r="I49" s="96"/>
      <c r="J49" s="96"/>
      <c r="K49" s="96"/>
      <c r="L49" s="96"/>
      <c r="M49" s="96"/>
      <c r="N49" s="96"/>
      <c r="O49" s="96"/>
      <c r="P49" s="96"/>
      <c r="Q49" s="96"/>
      <c r="R49" s="96"/>
    </row>
    <row r="50" spans="2:18" ht="36.5" customHeight="1">
      <c r="B50" s="27"/>
      <c r="C50" s="28" t="s">
        <v>426</v>
      </c>
      <c r="D50" s="85">
        <v>321</v>
      </c>
      <c r="E50" s="85">
        <v>47</v>
      </c>
      <c r="F50" s="85"/>
      <c r="G50" s="85"/>
      <c r="H50" s="85"/>
      <c r="I50" s="85"/>
      <c r="J50" s="85"/>
      <c r="K50" s="85"/>
      <c r="L50" s="85"/>
      <c r="M50" s="85"/>
      <c r="N50" s="85"/>
      <c r="O50" s="85"/>
      <c r="P50" s="85"/>
      <c r="Q50" s="85"/>
      <c r="R50" s="85"/>
    </row>
    <row r="51" spans="2:18" ht="33.5" customHeight="1">
      <c r="B51" s="27"/>
      <c r="C51" s="29" t="s">
        <v>424</v>
      </c>
      <c r="D51" s="85">
        <v>80</v>
      </c>
      <c r="E51" s="85"/>
      <c r="F51" s="85"/>
      <c r="G51" s="85"/>
      <c r="H51" s="85"/>
      <c r="I51" s="85"/>
      <c r="J51" s="85"/>
      <c r="K51" s="85"/>
      <c r="L51" s="85"/>
      <c r="M51" s="85"/>
      <c r="N51" s="85"/>
      <c r="O51" s="85"/>
      <c r="P51" s="85"/>
      <c r="Q51" s="85"/>
      <c r="R51" s="85"/>
    </row>
    <row r="52" spans="2:18" ht="36.5" customHeight="1">
      <c r="B52" s="27"/>
      <c r="C52" s="29" t="s">
        <v>425</v>
      </c>
      <c r="D52" s="85">
        <v>241</v>
      </c>
      <c r="E52" s="85"/>
      <c r="F52" s="85"/>
      <c r="G52" s="85"/>
      <c r="H52" s="85"/>
      <c r="I52" s="85"/>
      <c r="J52" s="85"/>
      <c r="K52" s="85"/>
      <c r="L52" s="85"/>
      <c r="M52" s="85"/>
      <c r="N52" s="85"/>
      <c r="O52" s="85"/>
      <c r="P52" s="85"/>
      <c r="Q52" s="85"/>
      <c r="R52" s="85"/>
    </row>
    <row r="53" spans="2:18" ht="12" customHeight="1">
      <c r="B53" s="27"/>
      <c r="C53" s="31"/>
      <c r="D53" s="96"/>
      <c r="E53" s="96"/>
      <c r="F53" s="96"/>
      <c r="G53" s="96"/>
      <c r="H53" s="96"/>
      <c r="I53" s="96"/>
      <c r="J53" s="96"/>
      <c r="K53" s="96"/>
      <c r="L53" s="96"/>
      <c r="M53" s="96"/>
      <c r="N53" s="96"/>
      <c r="O53" s="96"/>
      <c r="P53" s="96"/>
      <c r="Q53" s="96"/>
      <c r="R53" s="96"/>
    </row>
    <row r="54" spans="2:18" ht="29" customHeight="1">
      <c r="B54" s="27"/>
      <c r="C54" s="28" t="s">
        <v>427</v>
      </c>
      <c r="D54" s="85"/>
      <c r="E54" s="85"/>
      <c r="F54" s="85"/>
      <c r="G54" s="85"/>
      <c r="H54" s="85"/>
      <c r="I54" s="85"/>
      <c r="J54" s="85"/>
      <c r="K54" s="85"/>
      <c r="L54" s="85"/>
      <c r="M54" s="85"/>
      <c r="N54" s="85"/>
      <c r="O54" s="85"/>
      <c r="P54" s="85"/>
      <c r="Q54" s="85"/>
      <c r="R54" s="85"/>
    </row>
    <row r="55" spans="2:18" ht="36.5" customHeight="1">
      <c r="B55" s="27"/>
      <c r="C55" s="28" t="s">
        <v>428</v>
      </c>
      <c r="D55" s="85"/>
      <c r="E55" s="85"/>
      <c r="F55" s="85"/>
      <c r="G55" s="85"/>
      <c r="H55" s="85"/>
      <c r="I55" s="85"/>
      <c r="J55" s="85"/>
      <c r="K55" s="85"/>
      <c r="L55" s="85"/>
      <c r="M55" s="85"/>
      <c r="N55" s="85"/>
      <c r="O55" s="85"/>
      <c r="P55" s="85"/>
      <c r="Q55" s="85"/>
      <c r="R55" s="85"/>
    </row>
    <row r="56" spans="2:18" ht="33.5" customHeight="1">
      <c r="B56" s="27"/>
      <c r="C56" s="330" t="s">
        <v>429</v>
      </c>
      <c r="D56" s="95"/>
      <c r="E56" s="95"/>
      <c r="F56" s="85"/>
      <c r="G56" s="95"/>
      <c r="H56" s="95"/>
      <c r="I56" s="95"/>
      <c r="J56" s="95"/>
      <c r="K56" s="95"/>
      <c r="L56" s="95"/>
      <c r="M56" s="95"/>
      <c r="N56" s="95"/>
      <c r="O56" s="95"/>
      <c r="P56" s="95"/>
      <c r="Q56" s="95"/>
      <c r="R56" s="95"/>
    </row>
    <row r="57" spans="2:18" ht="56" customHeight="1">
      <c r="C57" s="331" t="s">
        <v>430</v>
      </c>
      <c r="D57" s="71"/>
      <c r="E57" s="71"/>
      <c r="F57" s="85"/>
      <c r="G57" s="71"/>
      <c r="H57" s="71"/>
      <c r="I57" s="71"/>
      <c r="J57" s="71"/>
      <c r="K57" s="71"/>
      <c r="L57" s="71"/>
      <c r="M57" s="71"/>
      <c r="N57" s="71"/>
      <c r="O57" s="71"/>
      <c r="P57" s="71"/>
      <c r="Q57" s="71"/>
      <c r="R57" s="71"/>
    </row>
    <row r="58" spans="2:18" ht="57" customHeight="1">
      <c r="C58" s="331" t="s">
        <v>431</v>
      </c>
      <c r="D58" s="71"/>
      <c r="E58" s="71"/>
      <c r="F58" s="85"/>
      <c r="G58" s="71"/>
      <c r="H58" s="71"/>
      <c r="I58" s="71"/>
      <c r="J58" s="71"/>
      <c r="K58" s="71"/>
      <c r="L58" s="71"/>
      <c r="M58" s="71"/>
      <c r="N58" s="71"/>
      <c r="O58" s="71"/>
      <c r="P58" s="71"/>
      <c r="Q58" s="71"/>
      <c r="R58" s="71"/>
    </row>
    <row r="60" spans="2:18" ht="17" customHeight="1">
      <c r="D60" s="1" t="s">
        <v>432</v>
      </c>
    </row>
    <row r="61" spans="2:18" ht="17" customHeight="1">
      <c r="D61" s="97" t="s">
        <v>433</v>
      </c>
    </row>
    <row r="62" spans="2:18" ht="17" customHeight="1">
      <c r="D62" s="98" t="s">
        <v>434</v>
      </c>
    </row>
    <row r="63" spans="2:18" ht="17" customHeight="1">
      <c r="D63" s="98" t="s">
        <v>435</v>
      </c>
    </row>
    <row r="64" spans="2:18" ht="17" customHeight="1">
      <c r="D64" s="98" t="s">
        <v>436</v>
      </c>
    </row>
    <row r="65" spans="4:4" ht="17" customHeight="1">
      <c r="D65" s="98" t="s">
        <v>437</v>
      </c>
    </row>
    <row r="66" spans="4:4" ht="17" customHeight="1">
      <c r="D66" s="98" t="s">
        <v>438</v>
      </c>
    </row>
    <row r="67" spans="4:4" ht="17" customHeight="1"/>
    <row r="68" spans="4:4" ht="17" customHeight="1">
      <c r="D68" s="99" t="s">
        <v>439</v>
      </c>
    </row>
  </sheetData>
  <mergeCells count="2">
    <mergeCell ref="C6:D6"/>
    <mergeCell ref="C7:D7"/>
  </mergeCells>
  <conditionalFormatting sqref="B13:B17">
    <cfRule type="colorScale" priority="9">
      <colorScale>
        <cfvo type="min"/>
        <cfvo type="percentile" val="50"/>
        <cfvo type="max"/>
        <color rgb="FFF8696B"/>
        <color rgb="FFFCFCFF"/>
        <color rgb="FF63BE7B"/>
      </colorScale>
    </cfRule>
  </conditionalFormatting>
  <conditionalFormatting sqref="B19:B20">
    <cfRule type="colorScale" priority="8">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7">
      <colorScale>
        <cfvo type="min"/>
        <cfvo type="percentile" val="50"/>
        <cfvo type="max"/>
        <color rgb="FFF8696B"/>
        <color rgb="FFFCFCFF"/>
        <color rgb="FF63BE7B"/>
      </colorScale>
    </cfRule>
  </conditionalFormatting>
  <conditionalFormatting sqref="B27">
    <cfRule type="colorScale" priority="4">
      <colorScale>
        <cfvo type="min"/>
        <cfvo type="percentile" val="50"/>
        <cfvo type="max"/>
        <color rgb="FFF8696B"/>
        <color rgb="FFFCFCFF"/>
        <color rgb="FF63BE7B"/>
      </colorScale>
    </cfRule>
  </conditionalFormatting>
  <conditionalFormatting sqref="B27:B29">
    <cfRule type="expression" dxfId="42" priority="3">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0 B32">
    <cfRule type="colorScale" priority="6">
      <colorScale>
        <cfvo type="min"/>
        <cfvo type="percentile" val="50"/>
        <cfvo type="max"/>
        <color rgb="FFF8696B"/>
        <color rgb="FFFCFCFF"/>
        <color rgb="FF63BE7B"/>
      </colorScale>
    </cfRule>
  </conditionalFormatting>
  <conditionalFormatting sqref="B31">
    <cfRule type="colorScale" priority="2">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41" priority="5">
      <formula>#REF!="Owned"</formula>
    </cfRule>
  </conditionalFormatting>
  <conditionalFormatting sqref="C27:C32">
    <cfRule type="expression" dxfId="40" priority="1">
      <formula>#REF!="Owned"</formula>
    </cfRule>
  </conditionalFormatting>
  <dataValidations count="1">
    <dataValidation type="list" allowBlank="1" showInputMessage="1" showErrorMessage="1" sqref="E6" xr:uid="{1C3D338D-CE14-4F42-8896-D8AA5B89F6C5}">
      <formula1>"Yes, No"</formula1>
    </dataValidation>
  </dataValidations>
  <pageMargins left="0.7" right="0.7" top="0.75" bottom="0.75" header="0.3" footer="0.3"/>
  <pageSetup scale="22" orientation="portrait" horizontalDpi="90" verticalDpi="90" r:id="rId1"/>
  <headerFooter>
    <oddHeader>&amp;C&amp;"Calibri"&amp;10&amp;K000000Internal&amp;1#_x000D_&amp;"Arial"&amp;10&amp;K000000</oddHeader>
  </headerFooter>
  <colBreaks count="1" manualBreakCount="1">
    <brk id="8" max="1048575" man="1"/>
  </colBreaks>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F074-BD72-44C1-B5FC-F12E938CBF2B}">
  <sheetPr codeName="Feuil46">
    <tabColor rgb="FF00B050"/>
    <pageSetUpPr fitToPage="1"/>
  </sheetPr>
  <dimension ref="B1:R68"/>
  <sheetViews>
    <sheetView topLeftCell="A8" zoomScale="70" zoomScaleNormal="70" workbookViewId="0">
      <selection activeCell="D24" sqref="D24"/>
    </sheetView>
  </sheetViews>
  <sheetFormatPr baseColWidth="10" defaultColWidth="9.1640625" defaultRowHeight="13"/>
  <cols>
    <col min="1" max="1" width="19.5" style="1" customWidth="1"/>
    <col min="2" max="2" width="24.1640625" style="1" customWidth="1"/>
    <col min="3" max="3" width="23.1640625" style="1" customWidth="1"/>
    <col min="4" max="4" width="25.1640625" style="1" customWidth="1"/>
    <col min="5" max="18" width="22.83203125" style="1" customWidth="1"/>
    <col min="19" max="16384" width="9.1640625" style="1"/>
  </cols>
  <sheetData>
    <row r="1" spans="2:18" ht="7.5" customHeight="1"/>
    <row r="2" spans="2:18">
      <c r="C2" s="505" t="s">
        <v>323</v>
      </c>
      <c r="D2" s="109">
        <v>45961</v>
      </c>
      <c r="F2" s="110"/>
      <c r="G2" s="110"/>
      <c r="H2" s="110"/>
      <c r="I2" s="4"/>
    </row>
    <row r="3" spans="2:18">
      <c r="F3"/>
      <c r="G3"/>
      <c r="H3"/>
    </row>
    <row r="4" spans="2:18">
      <c r="C4" s="81" t="s">
        <v>324</v>
      </c>
      <c r="D4" s="82" t="s">
        <v>228</v>
      </c>
      <c r="E4" s="82" t="s">
        <v>228</v>
      </c>
      <c r="F4" s="592"/>
      <c r="G4" s="592"/>
      <c r="H4" s="112"/>
      <c r="I4" s="5"/>
    </row>
    <row r="5" spans="2:18" ht="15.75" customHeight="1">
      <c r="C5" s="2"/>
    </row>
    <row r="6" spans="2:18" ht="26.25" customHeight="1">
      <c r="B6" s="1" t="s">
        <v>326</v>
      </c>
      <c r="C6" s="589" t="s">
        <v>327</v>
      </c>
      <c r="D6" s="591"/>
      <c r="E6" s="6" t="s">
        <v>328</v>
      </c>
      <c r="F6" s="101"/>
      <c r="G6" s="101"/>
      <c r="H6" s="101"/>
    </row>
    <row r="7" spans="2:18" ht="26.25" customHeight="1">
      <c r="B7" s="1" t="s">
        <v>326</v>
      </c>
      <c r="C7" s="589" t="s">
        <v>329</v>
      </c>
      <c r="D7" s="591"/>
      <c r="E7" s="6">
        <v>1</v>
      </c>
      <c r="F7" s="101"/>
      <c r="G7" s="101"/>
      <c r="H7" s="101"/>
    </row>
    <row r="8" spans="2:18" ht="26.25" customHeight="1">
      <c r="C8" s="113"/>
      <c r="D8" s="113"/>
      <c r="E8" s="42"/>
      <c r="F8" s="101"/>
      <c r="G8" s="101"/>
      <c r="H8" s="101"/>
    </row>
    <row r="9" spans="2:18">
      <c r="C9" s="69" t="s">
        <v>441</v>
      </c>
      <c r="D9" s="67"/>
      <c r="E9" s="67"/>
      <c r="F9" s="67"/>
      <c r="G9" s="67"/>
      <c r="H9" s="67"/>
      <c r="I9" s="67"/>
      <c r="J9" s="67"/>
      <c r="K9" s="67"/>
      <c r="L9" s="67"/>
      <c r="M9" s="67"/>
      <c r="N9" s="67"/>
      <c r="O9" s="67"/>
      <c r="P9" s="67"/>
      <c r="Q9" s="67"/>
    </row>
    <row r="10" spans="2:18" ht="15" customHeight="1">
      <c r="C10" s="104" t="s">
        <v>331</v>
      </c>
      <c r="D10" s="114" t="s">
        <v>1447</v>
      </c>
      <c r="E10" s="114" t="s">
        <v>1448</v>
      </c>
      <c r="F10" s="114" t="s">
        <v>334</v>
      </c>
      <c r="G10" s="114" t="s">
        <v>335</v>
      </c>
      <c r="H10" s="114" t="s">
        <v>336</v>
      </c>
      <c r="I10" s="114" t="s">
        <v>337</v>
      </c>
      <c r="J10" s="114" t="s">
        <v>338</v>
      </c>
      <c r="K10" s="114" t="s">
        <v>339</v>
      </c>
      <c r="L10" s="114" t="s">
        <v>340</v>
      </c>
      <c r="M10" s="114" t="s">
        <v>341</v>
      </c>
      <c r="N10" s="114" t="s">
        <v>342</v>
      </c>
      <c r="O10" s="114" t="s">
        <v>343</v>
      </c>
      <c r="P10" s="114" t="s">
        <v>344</v>
      </c>
      <c r="Q10" s="114" t="s">
        <v>345</v>
      </c>
      <c r="R10" s="84" t="s">
        <v>346</v>
      </c>
    </row>
    <row r="11" spans="2:18" ht="15" customHeight="1">
      <c r="C11" s="104" t="s">
        <v>299</v>
      </c>
      <c r="D11" s="84" t="s">
        <v>1449</v>
      </c>
      <c r="E11" s="84" t="s">
        <v>1450</v>
      </c>
      <c r="F11" s="84"/>
      <c r="G11" s="84"/>
      <c r="H11" s="84"/>
      <c r="I11" s="84"/>
      <c r="J11" s="84"/>
      <c r="K11" s="84"/>
      <c r="L11" s="84"/>
      <c r="M11" s="84"/>
      <c r="N11" s="84"/>
      <c r="O11" s="84"/>
      <c r="P11" s="84"/>
      <c r="Q11" s="84"/>
      <c r="R11" s="125"/>
    </row>
    <row r="12" spans="2:18" ht="15" customHeight="1">
      <c r="C12" s="32"/>
      <c r="D12" s="115"/>
      <c r="E12" s="116"/>
      <c r="F12" s="116"/>
      <c r="G12" s="116"/>
      <c r="H12" s="116"/>
      <c r="I12" s="116"/>
      <c r="J12" s="117"/>
      <c r="K12" s="117"/>
      <c r="L12" s="117"/>
      <c r="M12" s="117"/>
      <c r="N12" s="117"/>
      <c r="O12" s="117"/>
      <c r="P12" s="117"/>
      <c r="Q12" s="117"/>
      <c r="R12" s="126"/>
    </row>
    <row r="13" spans="2:18" ht="30" customHeight="1">
      <c r="B13" s="7" t="s">
        <v>348</v>
      </c>
      <c r="C13" s="8" t="s">
        <v>349</v>
      </c>
      <c r="D13" s="118" t="s">
        <v>764</v>
      </c>
      <c r="E13" s="118" t="s">
        <v>1451</v>
      </c>
      <c r="F13" s="118"/>
      <c r="G13" s="118"/>
      <c r="H13" s="118"/>
      <c r="I13" s="118"/>
      <c r="J13" s="118"/>
      <c r="K13" s="118"/>
      <c r="L13" s="118"/>
      <c r="M13" s="118"/>
      <c r="N13" s="118"/>
      <c r="O13" s="118"/>
      <c r="P13" s="118"/>
      <c r="Q13" s="118"/>
      <c r="R13" s="85"/>
    </row>
    <row r="14" spans="2:18" ht="77.25" customHeight="1">
      <c r="B14" s="7" t="s">
        <v>352</v>
      </c>
      <c r="C14" s="8" t="s">
        <v>297</v>
      </c>
      <c r="D14" s="85" t="s">
        <v>232</v>
      </c>
      <c r="E14" s="85" t="s">
        <v>230</v>
      </c>
      <c r="F14" s="85"/>
      <c r="G14" s="85"/>
      <c r="H14" s="85"/>
      <c r="I14" s="85"/>
      <c r="J14" s="85"/>
      <c r="K14" s="85"/>
      <c r="L14" s="85"/>
      <c r="M14" s="85"/>
      <c r="N14" s="85"/>
      <c r="O14" s="85"/>
      <c r="P14" s="85"/>
      <c r="Q14" s="85"/>
      <c r="R14" s="85"/>
    </row>
    <row r="15" spans="2:18" ht="30" customHeight="1">
      <c r="B15" s="7" t="s">
        <v>353</v>
      </c>
      <c r="C15" s="8" t="s">
        <v>354</v>
      </c>
      <c r="D15" s="85" t="s">
        <v>233</v>
      </c>
      <c r="E15" s="85" t="s">
        <v>231</v>
      </c>
      <c r="F15" s="85"/>
      <c r="G15" s="85"/>
      <c r="H15" s="85"/>
      <c r="I15" s="85"/>
      <c r="J15" s="85"/>
      <c r="K15" s="85"/>
      <c r="L15" s="85"/>
      <c r="M15" s="85"/>
      <c r="N15" s="85"/>
      <c r="O15" s="85"/>
      <c r="P15" s="85"/>
      <c r="Q15" s="85"/>
      <c r="R15" s="85"/>
    </row>
    <row r="16" spans="2:18" ht="15" customHeight="1">
      <c r="B16" s="7" t="s">
        <v>355</v>
      </c>
      <c r="C16" s="8" t="s">
        <v>356</v>
      </c>
      <c r="D16" s="85">
        <v>23233</v>
      </c>
      <c r="E16" s="85">
        <v>33811</v>
      </c>
      <c r="F16" s="85"/>
      <c r="G16" s="85"/>
      <c r="H16" s="85"/>
      <c r="I16" s="85"/>
      <c r="J16" s="85"/>
      <c r="K16" s="85"/>
      <c r="L16" s="85"/>
      <c r="M16" s="85"/>
      <c r="N16" s="85"/>
      <c r="O16" s="85"/>
      <c r="P16" s="85"/>
      <c r="Q16" s="85"/>
      <c r="R16" s="85"/>
    </row>
    <row r="17" spans="2:18" ht="15" customHeight="1">
      <c r="B17" s="7" t="s">
        <v>357</v>
      </c>
      <c r="C17" s="8" t="s">
        <v>294</v>
      </c>
      <c r="D17" s="85" t="s">
        <v>229</v>
      </c>
      <c r="E17" s="85" t="s">
        <v>229</v>
      </c>
      <c r="F17" s="85"/>
      <c r="G17" s="85"/>
      <c r="H17" s="85"/>
      <c r="I17" s="85"/>
      <c r="J17" s="85"/>
      <c r="K17" s="85"/>
      <c r="L17" s="85"/>
      <c r="M17" s="85"/>
      <c r="N17" s="85"/>
      <c r="O17" s="85"/>
      <c r="P17" s="85"/>
      <c r="Q17" s="85"/>
      <c r="R17" s="85"/>
    </row>
    <row r="18" spans="2:18" ht="15" customHeight="1">
      <c r="B18" s="9" t="s">
        <v>358</v>
      </c>
      <c r="C18" s="10" t="s">
        <v>359</v>
      </c>
      <c r="D18" s="85" t="s">
        <v>360</v>
      </c>
      <c r="E18" s="85" t="s">
        <v>360</v>
      </c>
      <c r="F18" s="85"/>
      <c r="G18" s="85"/>
      <c r="H18" s="85"/>
      <c r="I18" s="85"/>
      <c r="J18" s="85"/>
      <c r="K18" s="85"/>
      <c r="L18" s="85"/>
      <c r="M18" s="85"/>
      <c r="N18" s="85"/>
      <c r="O18" s="85"/>
      <c r="P18" s="85"/>
      <c r="Q18" s="85"/>
      <c r="R18" s="85"/>
    </row>
    <row r="19" spans="2:18" ht="45.75" customHeight="1">
      <c r="B19" s="9" t="s">
        <v>361</v>
      </c>
      <c r="C19" s="10" t="s">
        <v>362</v>
      </c>
      <c r="D19" s="85" t="s">
        <v>328</v>
      </c>
      <c r="E19" s="85" t="s">
        <v>328</v>
      </c>
      <c r="F19" s="85"/>
      <c r="G19" s="85"/>
      <c r="H19" s="85"/>
      <c r="I19" s="85"/>
      <c r="J19" s="85"/>
      <c r="K19" s="85"/>
      <c r="L19" s="85"/>
      <c r="M19" s="85"/>
      <c r="N19" s="85"/>
      <c r="O19" s="85"/>
      <c r="P19" s="85"/>
      <c r="Q19" s="85"/>
      <c r="R19" s="85"/>
    </row>
    <row r="20" spans="2:18" ht="45" customHeight="1">
      <c r="B20" s="9" t="s">
        <v>363</v>
      </c>
      <c r="C20" s="10" t="s">
        <v>364</v>
      </c>
      <c r="D20" s="85" t="s">
        <v>410</v>
      </c>
      <c r="E20" s="85" t="s">
        <v>410</v>
      </c>
      <c r="F20" s="85"/>
      <c r="G20" s="85"/>
      <c r="H20" s="85"/>
      <c r="I20" s="85"/>
      <c r="J20" s="85"/>
      <c r="K20" s="85"/>
      <c r="L20" s="85"/>
      <c r="M20" s="85"/>
      <c r="N20" s="85"/>
      <c r="O20" s="85"/>
      <c r="P20" s="85"/>
      <c r="Q20" s="85"/>
      <c r="R20" s="85"/>
    </row>
    <row r="21" spans="2:18" ht="30" customHeight="1">
      <c r="B21" s="11" t="s">
        <v>365</v>
      </c>
      <c r="C21" s="12" t="s">
        <v>366</v>
      </c>
      <c r="D21" s="85" t="s">
        <v>1452</v>
      </c>
      <c r="E21" s="85" t="s">
        <v>1453</v>
      </c>
      <c r="F21" s="85"/>
      <c r="G21" s="85"/>
      <c r="H21" s="85"/>
      <c r="I21" s="85"/>
      <c r="J21" s="85"/>
      <c r="K21" s="85"/>
      <c r="L21" s="85"/>
      <c r="M21" s="85"/>
      <c r="N21" s="85"/>
      <c r="O21" s="85"/>
      <c r="P21" s="85"/>
      <c r="Q21" s="85"/>
      <c r="R21" s="85"/>
    </row>
    <row r="22" spans="2:18" ht="30" customHeight="1">
      <c r="B22" s="11" t="s">
        <v>369</v>
      </c>
      <c r="C22" s="12" t="s">
        <v>370</v>
      </c>
      <c r="D22" s="85" t="s">
        <v>1454</v>
      </c>
      <c r="E22" s="85" t="s">
        <v>1455</v>
      </c>
      <c r="F22" s="85"/>
      <c r="G22" s="85"/>
      <c r="H22" s="85"/>
      <c r="I22" s="85"/>
      <c r="J22" s="85"/>
      <c r="K22" s="85"/>
      <c r="L22" s="85"/>
      <c r="M22" s="85"/>
      <c r="N22" s="85"/>
      <c r="O22" s="85"/>
      <c r="P22" s="85"/>
      <c r="Q22" s="85"/>
      <c r="R22" s="85"/>
    </row>
    <row r="23" spans="2:18" ht="30" customHeight="1">
      <c r="B23" s="13" t="s">
        <v>372</v>
      </c>
      <c r="C23" s="14" t="s">
        <v>373</v>
      </c>
      <c r="D23" s="85" t="s">
        <v>374</v>
      </c>
      <c r="E23" s="85" t="s">
        <v>374</v>
      </c>
      <c r="F23" s="85"/>
      <c r="G23" s="85"/>
      <c r="H23" s="85"/>
      <c r="I23" s="85"/>
      <c r="J23" s="85"/>
      <c r="K23" s="85"/>
      <c r="L23" s="85"/>
      <c r="M23" s="85"/>
      <c r="N23" s="85"/>
      <c r="O23" s="85"/>
      <c r="P23" s="85"/>
      <c r="Q23" s="85"/>
      <c r="R23" s="85"/>
    </row>
    <row r="24" spans="2:18" ht="45" customHeight="1">
      <c r="B24" s="13" t="s">
        <v>375</v>
      </c>
      <c r="C24" s="14" t="s">
        <v>376</v>
      </c>
      <c r="D24" s="88">
        <f>120254*0.092903</f>
        <v>11171.957361999999</v>
      </c>
      <c r="E24" s="88" t="s">
        <v>1456</v>
      </c>
      <c r="F24" s="88"/>
      <c r="G24" s="88"/>
      <c r="H24" s="88"/>
      <c r="I24" s="88"/>
      <c r="J24" s="88"/>
      <c r="K24" s="88"/>
      <c r="L24" s="88"/>
      <c r="M24" s="88"/>
      <c r="N24" s="88"/>
      <c r="O24" s="88"/>
      <c r="P24" s="88"/>
      <c r="Q24" s="88"/>
      <c r="R24" s="88"/>
    </row>
    <row r="25" spans="2:18" ht="45" customHeight="1">
      <c r="B25" s="15" t="s">
        <v>377</v>
      </c>
      <c r="C25" s="16" t="s">
        <v>378</v>
      </c>
      <c r="D25" s="119">
        <v>489</v>
      </c>
      <c r="E25" s="119" t="s">
        <v>1457</v>
      </c>
      <c r="F25" s="85"/>
      <c r="G25" s="85"/>
      <c r="H25" s="85"/>
      <c r="I25" s="85"/>
      <c r="J25" s="85"/>
      <c r="K25" s="85"/>
      <c r="L25" s="85"/>
      <c r="M25" s="85"/>
      <c r="N25" s="85"/>
      <c r="O25" s="85"/>
      <c r="P25" s="85"/>
      <c r="Q25" s="85"/>
      <c r="R25" s="85"/>
    </row>
    <row r="26" spans="2:18" ht="45" customHeight="1">
      <c r="B26" s="15" t="s">
        <v>380</v>
      </c>
      <c r="C26" s="16" t="s">
        <v>381</v>
      </c>
      <c r="D26" s="89" t="s">
        <v>1066</v>
      </c>
      <c r="E26" s="89" t="s">
        <v>1066</v>
      </c>
      <c r="F26" s="88"/>
      <c r="G26" s="85"/>
      <c r="H26" s="85"/>
      <c r="I26" s="85"/>
      <c r="J26" s="85"/>
      <c r="K26" s="85"/>
      <c r="L26" s="85"/>
      <c r="M26" s="85"/>
      <c r="N26" s="85"/>
      <c r="O26" s="85"/>
      <c r="P26" s="85"/>
      <c r="Q26" s="85"/>
      <c r="R26" s="85"/>
    </row>
    <row r="27" spans="2:18" ht="45" customHeight="1">
      <c r="B27" s="15"/>
      <c r="C27" s="16" t="s">
        <v>517</v>
      </c>
      <c r="D27" s="89"/>
      <c r="E27" s="89"/>
      <c r="F27" s="88"/>
      <c r="G27" s="85"/>
      <c r="H27" s="85"/>
      <c r="I27" s="85"/>
      <c r="J27" s="85"/>
      <c r="K27" s="85"/>
      <c r="L27" s="85"/>
      <c r="M27" s="85"/>
      <c r="N27" s="85"/>
      <c r="O27" s="85"/>
      <c r="P27" s="85"/>
      <c r="Q27" s="85"/>
      <c r="R27" s="85"/>
    </row>
    <row r="28" spans="2:18" ht="45" customHeight="1">
      <c r="B28" s="15" t="s">
        <v>384</v>
      </c>
      <c r="C28" s="16" t="s">
        <v>450</v>
      </c>
      <c r="D28" s="137">
        <f>21.5*12</f>
        <v>258</v>
      </c>
      <c r="E28" s="138">
        <v>13350</v>
      </c>
      <c r="F28" s="88"/>
      <c r="G28" s="85"/>
      <c r="H28" s="85"/>
      <c r="I28" s="85"/>
      <c r="J28" s="85"/>
      <c r="K28" s="85"/>
      <c r="L28" s="85"/>
      <c r="M28" s="85"/>
      <c r="N28" s="85"/>
      <c r="O28" s="85"/>
      <c r="P28" s="85"/>
      <c r="Q28" s="85"/>
      <c r="R28" s="85"/>
    </row>
    <row r="29" spans="2:18" ht="45" customHeight="1">
      <c r="B29" s="15" t="s">
        <v>387</v>
      </c>
      <c r="C29" s="16" t="s">
        <v>388</v>
      </c>
      <c r="D29" s="121">
        <v>0.03</v>
      </c>
      <c r="E29" s="89" t="s">
        <v>410</v>
      </c>
      <c r="F29" s="88"/>
      <c r="G29" s="85"/>
      <c r="H29" s="85"/>
      <c r="I29" s="85"/>
      <c r="J29" s="85"/>
      <c r="K29" s="85"/>
      <c r="L29" s="85"/>
      <c r="M29" s="85"/>
      <c r="N29" s="85"/>
      <c r="O29" s="85"/>
      <c r="P29" s="85"/>
      <c r="Q29" s="85"/>
      <c r="R29" s="85"/>
    </row>
    <row r="30" spans="2:18" ht="60" customHeight="1">
      <c r="B30" s="13" t="s">
        <v>390</v>
      </c>
      <c r="C30" s="17" t="s">
        <v>453</v>
      </c>
      <c r="D30" s="85" t="s">
        <v>1127</v>
      </c>
      <c r="E30" s="85" t="s">
        <v>1458</v>
      </c>
      <c r="F30" s="85"/>
      <c r="G30" s="85"/>
      <c r="H30" s="85"/>
      <c r="I30" s="85"/>
      <c r="J30" s="85"/>
      <c r="K30" s="85"/>
      <c r="L30" s="85"/>
      <c r="M30" s="85"/>
      <c r="N30" s="85"/>
      <c r="O30" s="85"/>
      <c r="P30" s="85"/>
      <c r="Q30" s="85"/>
      <c r="R30" s="85"/>
    </row>
    <row r="31" spans="2:18" ht="60" customHeight="1">
      <c r="B31" s="13"/>
      <c r="C31" s="17" t="s">
        <v>393</v>
      </c>
      <c r="D31" s="85"/>
      <c r="E31" s="85"/>
      <c r="F31" s="85"/>
      <c r="G31" s="85"/>
      <c r="H31" s="85"/>
      <c r="I31" s="85"/>
      <c r="J31" s="85"/>
      <c r="K31" s="85"/>
      <c r="L31" s="85"/>
      <c r="M31" s="85"/>
      <c r="N31" s="85"/>
      <c r="O31" s="85"/>
      <c r="P31" s="85"/>
      <c r="Q31" s="85"/>
      <c r="R31" s="85"/>
    </row>
    <row r="32" spans="2:18" ht="60" customHeight="1">
      <c r="B32" s="13" t="s">
        <v>394</v>
      </c>
      <c r="C32" s="17" t="s">
        <v>395</v>
      </c>
      <c r="D32" s="85" t="s">
        <v>1459</v>
      </c>
      <c r="E32" s="85" t="s">
        <v>410</v>
      </c>
      <c r="F32" s="85"/>
      <c r="G32" s="85"/>
      <c r="H32" s="85"/>
      <c r="I32" s="85"/>
      <c r="J32" s="85"/>
      <c r="K32" s="85"/>
      <c r="L32" s="85"/>
      <c r="M32" s="85"/>
      <c r="N32" s="85"/>
      <c r="O32" s="85"/>
      <c r="P32" s="85"/>
      <c r="Q32" s="85"/>
      <c r="R32" s="85"/>
    </row>
    <row r="33" spans="2:18" ht="30" customHeight="1">
      <c r="B33" s="18" t="s">
        <v>397</v>
      </c>
      <c r="C33" s="19" t="s">
        <v>313</v>
      </c>
      <c r="D33" s="91">
        <v>45108</v>
      </c>
      <c r="E33" s="91">
        <v>44991</v>
      </c>
      <c r="F33" s="91"/>
      <c r="G33" s="91"/>
      <c r="H33" s="91"/>
      <c r="I33" s="91"/>
      <c r="J33" s="85"/>
      <c r="K33" s="85"/>
      <c r="L33" s="85"/>
      <c r="M33" s="85"/>
      <c r="N33" s="85"/>
      <c r="O33" s="85"/>
      <c r="P33" s="85"/>
      <c r="Q33" s="85"/>
      <c r="R33" s="85"/>
    </row>
    <row r="34" spans="2:18" ht="30" customHeight="1">
      <c r="B34" s="20" t="s">
        <v>398</v>
      </c>
      <c r="C34" s="19" t="s">
        <v>315</v>
      </c>
      <c r="D34" s="91">
        <v>47999</v>
      </c>
      <c r="E34" s="91" t="s">
        <v>1460</v>
      </c>
      <c r="F34" s="91"/>
      <c r="G34" s="91"/>
      <c r="H34" s="91"/>
      <c r="I34" s="91"/>
      <c r="J34" s="85"/>
      <c r="K34" s="85"/>
      <c r="L34" s="85"/>
      <c r="M34" s="85"/>
      <c r="N34" s="85"/>
      <c r="O34" s="85"/>
      <c r="P34" s="85"/>
      <c r="Q34" s="85"/>
      <c r="R34" s="85"/>
    </row>
    <row r="35" spans="2:18" ht="30" customHeight="1">
      <c r="B35" s="20" t="s">
        <v>399</v>
      </c>
      <c r="C35" s="19" t="s">
        <v>400</v>
      </c>
      <c r="D35" s="91">
        <v>47634</v>
      </c>
      <c r="E35" s="85" t="s">
        <v>410</v>
      </c>
      <c r="F35" s="85"/>
      <c r="G35" s="85"/>
      <c r="H35" s="85"/>
      <c r="I35" s="85"/>
      <c r="J35" s="85"/>
      <c r="K35" s="85"/>
      <c r="L35" s="85"/>
      <c r="M35" s="85"/>
      <c r="N35" s="85"/>
      <c r="O35" s="85"/>
      <c r="P35" s="85"/>
      <c r="Q35" s="85"/>
      <c r="R35" s="85"/>
    </row>
    <row r="36" spans="2:18" ht="30" customHeight="1">
      <c r="B36" s="20" t="s">
        <v>402</v>
      </c>
      <c r="C36" s="21" t="s">
        <v>403</v>
      </c>
      <c r="D36" s="92" t="s">
        <v>674</v>
      </c>
      <c r="E36" s="92" t="s">
        <v>410</v>
      </c>
      <c r="F36" s="93"/>
      <c r="G36" s="93"/>
      <c r="H36" s="93"/>
      <c r="I36" s="93"/>
      <c r="J36" s="85"/>
      <c r="K36" s="85"/>
      <c r="L36" s="85"/>
      <c r="M36" s="85"/>
      <c r="N36" s="85"/>
      <c r="O36" s="85"/>
      <c r="P36" s="85"/>
      <c r="Q36" s="85"/>
      <c r="R36" s="85"/>
    </row>
    <row r="37" spans="2:18" ht="45" customHeight="1">
      <c r="B37" s="20" t="s">
        <v>404</v>
      </c>
      <c r="C37" s="21" t="s">
        <v>405</v>
      </c>
      <c r="D37" s="92" t="s">
        <v>1461</v>
      </c>
      <c r="E37" s="92" t="s">
        <v>410</v>
      </c>
      <c r="F37" s="93"/>
      <c r="G37" s="93"/>
      <c r="H37" s="93"/>
      <c r="I37" s="93"/>
      <c r="J37" s="85"/>
      <c r="K37" s="85"/>
      <c r="L37" s="85"/>
      <c r="M37" s="85"/>
      <c r="N37" s="85"/>
      <c r="O37" s="85"/>
      <c r="P37" s="85"/>
      <c r="Q37" s="85"/>
      <c r="R37" s="85"/>
    </row>
    <row r="38" spans="2:18" ht="30" customHeight="1">
      <c r="B38" s="20" t="s">
        <v>406</v>
      </c>
      <c r="C38" s="21" t="s">
        <v>407</v>
      </c>
      <c r="D38" s="92" t="s">
        <v>328</v>
      </c>
      <c r="E38" s="92" t="s">
        <v>328</v>
      </c>
      <c r="F38" s="93"/>
      <c r="G38" s="93"/>
      <c r="H38" s="93"/>
      <c r="I38" s="93"/>
      <c r="J38" s="85"/>
      <c r="K38" s="85"/>
      <c r="L38" s="85"/>
      <c r="M38" s="85"/>
      <c r="N38" s="85"/>
      <c r="O38" s="85"/>
      <c r="P38" s="85"/>
      <c r="Q38" s="85"/>
      <c r="R38" s="85"/>
    </row>
    <row r="39" spans="2:18" ht="30" customHeight="1">
      <c r="B39" s="20" t="s">
        <v>408</v>
      </c>
      <c r="C39" s="21" t="s">
        <v>409</v>
      </c>
      <c r="D39" s="136" t="s">
        <v>410</v>
      </c>
      <c r="E39" s="136" t="s">
        <v>410</v>
      </c>
      <c r="F39" s="95"/>
      <c r="G39" s="93"/>
      <c r="H39" s="93"/>
      <c r="I39" s="93"/>
      <c r="J39" s="85"/>
      <c r="K39" s="85"/>
      <c r="L39" s="85"/>
      <c r="M39" s="85"/>
      <c r="N39" s="85"/>
      <c r="O39" s="85"/>
      <c r="P39" s="85"/>
      <c r="Q39" s="85"/>
      <c r="R39" s="85"/>
    </row>
    <row r="40" spans="2:18" ht="45" customHeight="1">
      <c r="B40" s="20" t="s">
        <v>411</v>
      </c>
      <c r="C40" s="21" t="s">
        <v>314</v>
      </c>
      <c r="D40" s="92">
        <v>49095</v>
      </c>
      <c r="E40" s="92" t="s">
        <v>1462</v>
      </c>
      <c r="F40" s="93"/>
      <c r="G40" s="93"/>
      <c r="H40" s="93"/>
      <c r="I40" s="93"/>
      <c r="J40" s="85"/>
      <c r="K40" s="85"/>
      <c r="L40" s="85"/>
      <c r="M40" s="85"/>
      <c r="N40" s="85"/>
      <c r="O40" s="85"/>
      <c r="P40" s="85"/>
      <c r="Q40" s="85"/>
      <c r="R40" s="85"/>
    </row>
    <row r="41" spans="2:18" ht="70">
      <c r="B41" s="22" t="s">
        <v>412</v>
      </c>
      <c r="C41" s="23" t="s">
        <v>413</v>
      </c>
      <c r="D41" s="92" t="s">
        <v>1463</v>
      </c>
      <c r="E41" s="92" t="s">
        <v>328</v>
      </c>
      <c r="F41" s="92"/>
      <c r="G41" s="92"/>
      <c r="H41" s="92"/>
      <c r="I41" s="92"/>
      <c r="J41" s="92"/>
      <c r="K41" s="92"/>
      <c r="L41" s="92"/>
      <c r="M41" s="92"/>
      <c r="N41" s="92"/>
      <c r="O41" s="92"/>
      <c r="P41" s="92"/>
      <c r="Q41" s="92"/>
      <c r="R41" s="92"/>
    </row>
    <row r="42" spans="2:18" ht="75" customHeight="1">
      <c r="B42" s="24" t="s">
        <v>457</v>
      </c>
      <c r="C42" s="23" t="s">
        <v>458</v>
      </c>
      <c r="D42" s="95" t="s">
        <v>328</v>
      </c>
      <c r="E42" s="95" t="s">
        <v>328</v>
      </c>
      <c r="F42" s="95"/>
      <c r="G42" s="95"/>
      <c r="H42" s="95"/>
      <c r="I42" s="95"/>
      <c r="J42" s="95"/>
      <c r="K42" s="95"/>
      <c r="L42" s="95"/>
      <c r="M42" s="95"/>
      <c r="N42" s="95"/>
      <c r="O42" s="95"/>
      <c r="P42" s="95"/>
      <c r="Q42" s="95"/>
      <c r="R42" s="95"/>
    </row>
    <row r="43" spans="2:18" ht="60" customHeight="1">
      <c r="B43" s="25" t="s">
        <v>418</v>
      </c>
      <c r="C43" s="26" t="s">
        <v>419</v>
      </c>
      <c r="D43" s="85" t="s">
        <v>1464</v>
      </c>
      <c r="E43" s="85" t="s">
        <v>328</v>
      </c>
      <c r="F43" s="85"/>
      <c r="G43" s="85"/>
      <c r="H43" s="85"/>
      <c r="I43" s="85"/>
      <c r="J43" s="85"/>
      <c r="K43" s="85"/>
      <c r="L43" s="85"/>
      <c r="M43" s="85"/>
      <c r="N43" s="85"/>
      <c r="O43" s="85"/>
      <c r="P43" s="85"/>
      <c r="Q43" s="85"/>
      <c r="R43" s="85"/>
    </row>
    <row r="44" spans="2:18" ht="75" customHeight="1">
      <c r="B44" s="25" t="s">
        <v>420</v>
      </c>
      <c r="C44" s="26" t="s">
        <v>421</v>
      </c>
      <c r="D44" s="85" t="s">
        <v>328</v>
      </c>
      <c r="E44" s="85" t="s">
        <v>328</v>
      </c>
      <c r="F44" s="85"/>
      <c r="G44" s="85"/>
      <c r="H44" s="85"/>
      <c r="I44" s="85"/>
      <c r="J44" s="85"/>
      <c r="K44" s="85"/>
      <c r="L44" s="85"/>
      <c r="M44" s="85"/>
      <c r="N44" s="85"/>
      <c r="O44" s="85"/>
      <c r="P44" s="85"/>
      <c r="Q44" s="85"/>
      <c r="R44" s="85"/>
    </row>
    <row r="45" spans="2:18">
      <c r="B45" s="27"/>
      <c r="C45" s="27"/>
      <c r="D45" s="27"/>
      <c r="E45" s="27"/>
      <c r="F45" s="27"/>
      <c r="G45" s="27"/>
      <c r="H45" s="27"/>
      <c r="I45" s="27"/>
      <c r="J45" s="27"/>
      <c r="K45" s="27"/>
      <c r="L45" s="27"/>
      <c r="M45" s="27"/>
      <c r="N45" s="27"/>
      <c r="O45" s="27"/>
      <c r="P45" s="27"/>
      <c r="Q45" s="27"/>
      <c r="R45" s="27"/>
    </row>
    <row r="46" spans="2:18" ht="45" customHeight="1">
      <c r="B46" s="27"/>
      <c r="C46" s="28" t="s">
        <v>423</v>
      </c>
      <c r="D46" s="85">
        <v>518</v>
      </c>
      <c r="E46" s="85" t="s">
        <v>410</v>
      </c>
      <c r="F46" s="85"/>
      <c r="G46" s="85"/>
      <c r="H46" s="85"/>
      <c r="I46" s="85"/>
      <c r="J46" s="85"/>
      <c r="K46" s="85"/>
      <c r="L46" s="85"/>
      <c r="M46" s="85"/>
      <c r="N46" s="85"/>
      <c r="O46" s="85"/>
      <c r="P46" s="85"/>
      <c r="Q46" s="85"/>
      <c r="R46" s="85"/>
    </row>
    <row r="47" spans="2:18" ht="30" customHeight="1">
      <c r="B47" s="27"/>
      <c r="C47" s="29" t="s">
        <v>424</v>
      </c>
      <c r="D47" s="85">
        <v>275</v>
      </c>
      <c r="E47" s="85" t="s">
        <v>410</v>
      </c>
      <c r="F47" s="85"/>
      <c r="G47" s="85"/>
      <c r="H47" s="85"/>
      <c r="I47" s="85"/>
      <c r="J47" s="85"/>
      <c r="K47" s="85"/>
      <c r="L47" s="85"/>
      <c r="M47" s="85"/>
      <c r="N47" s="85"/>
      <c r="O47" s="85"/>
      <c r="P47" s="85"/>
      <c r="Q47" s="85"/>
      <c r="R47" s="85"/>
    </row>
    <row r="48" spans="2:18" ht="15" customHeight="1">
      <c r="B48" s="27"/>
      <c r="C48" s="29" t="s">
        <v>425</v>
      </c>
      <c r="D48" s="85">
        <v>243</v>
      </c>
      <c r="E48" s="85" t="s">
        <v>410</v>
      </c>
      <c r="F48" s="85"/>
      <c r="G48" s="85"/>
      <c r="H48" s="85"/>
      <c r="I48" s="85"/>
      <c r="J48" s="85"/>
      <c r="K48" s="85"/>
      <c r="L48" s="85"/>
      <c r="M48" s="85"/>
      <c r="N48" s="85"/>
      <c r="O48" s="85"/>
      <c r="P48" s="85"/>
      <c r="Q48" s="85"/>
      <c r="R48" s="85"/>
    </row>
    <row r="49" spans="2:18" ht="8" customHeight="1">
      <c r="B49" s="27"/>
      <c r="C49" s="30"/>
      <c r="D49" s="96"/>
      <c r="E49" s="96"/>
      <c r="F49" s="96"/>
      <c r="G49" s="96"/>
      <c r="H49" s="96"/>
      <c r="I49" s="96"/>
      <c r="J49" s="96"/>
      <c r="K49" s="96"/>
      <c r="L49" s="96"/>
      <c r="M49" s="96"/>
      <c r="N49" s="96"/>
      <c r="O49" s="96"/>
      <c r="P49" s="96"/>
      <c r="Q49" s="96"/>
      <c r="R49" s="96"/>
    </row>
    <row r="50" spans="2:18" ht="30" customHeight="1">
      <c r="B50" s="27"/>
      <c r="C50" s="28" t="s">
        <v>426</v>
      </c>
      <c r="D50" s="85">
        <v>561</v>
      </c>
      <c r="E50" s="85" t="s">
        <v>1465</v>
      </c>
      <c r="F50" s="85"/>
      <c r="G50" s="85"/>
      <c r="H50" s="85"/>
      <c r="I50" s="85"/>
      <c r="J50" s="85"/>
      <c r="K50" s="85"/>
      <c r="L50" s="85"/>
      <c r="M50" s="85"/>
      <c r="N50" s="85"/>
      <c r="O50" s="85"/>
      <c r="P50" s="85"/>
      <c r="Q50" s="85"/>
      <c r="R50" s="85"/>
    </row>
    <row r="51" spans="2:18" ht="30" customHeight="1">
      <c r="B51" s="27"/>
      <c r="C51" s="29" t="s">
        <v>424</v>
      </c>
      <c r="D51" s="85">
        <v>474</v>
      </c>
      <c r="E51" s="85" t="s">
        <v>410</v>
      </c>
      <c r="F51" s="85"/>
      <c r="G51" s="85"/>
      <c r="H51" s="85"/>
      <c r="I51" s="85"/>
      <c r="J51" s="85"/>
      <c r="K51" s="85"/>
      <c r="L51" s="85"/>
      <c r="M51" s="85"/>
      <c r="N51" s="85"/>
      <c r="O51" s="85"/>
      <c r="P51" s="85"/>
      <c r="Q51" s="85"/>
      <c r="R51" s="85"/>
    </row>
    <row r="52" spans="2:18" ht="15" customHeight="1">
      <c r="B52" s="27"/>
      <c r="C52" s="29" t="s">
        <v>425</v>
      </c>
      <c r="D52" s="85">
        <v>87</v>
      </c>
      <c r="E52" s="85" t="s">
        <v>410</v>
      </c>
      <c r="F52" s="85"/>
      <c r="G52" s="85"/>
      <c r="H52" s="85"/>
      <c r="I52" s="85"/>
      <c r="J52" s="85"/>
      <c r="K52" s="85"/>
      <c r="L52" s="85"/>
      <c r="M52" s="85"/>
      <c r="N52" s="85"/>
      <c r="O52" s="85"/>
      <c r="P52" s="85"/>
      <c r="Q52" s="85"/>
      <c r="R52" s="85"/>
    </row>
    <row r="53" spans="2:18" ht="6" customHeight="1">
      <c r="B53" s="27"/>
      <c r="C53" s="31"/>
      <c r="D53" s="96"/>
      <c r="E53" s="96"/>
      <c r="F53" s="96"/>
      <c r="G53" s="96"/>
      <c r="H53" s="96"/>
      <c r="I53" s="96"/>
      <c r="J53" s="96"/>
      <c r="K53" s="96"/>
      <c r="L53" s="96"/>
      <c r="M53" s="96"/>
      <c r="N53" s="96"/>
      <c r="O53" s="96"/>
      <c r="P53" s="96"/>
      <c r="Q53" s="96"/>
      <c r="R53" s="96"/>
    </row>
    <row r="54" spans="2:18" ht="33" customHeight="1">
      <c r="B54" s="27"/>
      <c r="C54" s="28" t="s">
        <v>427</v>
      </c>
      <c r="D54" s="85"/>
      <c r="E54" s="85"/>
      <c r="F54" s="85"/>
      <c r="G54" s="85"/>
      <c r="H54" s="85"/>
      <c r="I54" s="85"/>
      <c r="J54" s="85"/>
      <c r="K54" s="85"/>
      <c r="L54" s="85"/>
      <c r="M54" s="85"/>
      <c r="N54" s="85"/>
      <c r="O54" s="85"/>
      <c r="P54" s="85"/>
      <c r="Q54" s="85"/>
      <c r="R54" s="96"/>
    </row>
    <row r="55" spans="2:18" ht="30" customHeight="1">
      <c r="B55" s="27"/>
      <c r="C55" s="28" t="s">
        <v>428</v>
      </c>
      <c r="D55" s="85">
        <v>24</v>
      </c>
      <c r="E55" s="85" t="s">
        <v>410</v>
      </c>
      <c r="F55" s="85"/>
      <c r="G55" s="85"/>
      <c r="H55" s="85"/>
      <c r="I55" s="85"/>
      <c r="J55" s="85"/>
      <c r="K55" s="85"/>
      <c r="L55" s="85"/>
      <c r="M55" s="85"/>
      <c r="N55" s="85"/>
      <c r="O55" s="85"/>
      <c r="P55" s="85"/>
      <c r="Q55" s="85"/>
      <c r="R55" s="85"/>
    </row>
    <row r="56" spans="2:18" ht="30" customHeight="1">
      <c r="B56" s="27"/>
      <c r="C56" s="28" t="s">
        <v>429</v>
      </c>
      <c r="D56" s="85">
        <v>27</v>
      </c>
      <c r="E56" s="85" t="s">
        <v>410</v>
      </c>
      <c r="F56" s="85"/>
      <c r="G56" s="85"/>
      <c r="H56" s="85"/>
      <c r="I56" s="85"/>
      <c r="J56" s="85"/>
      <c r="K56" s="85"/>
      <c r="L56" s="85"/>
      <c r="M56" s="85"/>
      <c r="N56" s="85"/>
      <c r="O56" s="85"/>
      <c r="P56" s="85"/>
      <c r="Q56" s="85"/>
      <c r="R56" s="85"/>
    </row>
    <row r="57" spans="2:18" ht="56">
      <c r="C57" s="28" t="s">
        <v>430</v>
      </c>
      <c r="D57" s="71"/>
      <c r="E57" s="71"/>
      <c r="F57" s="71"/>
      <c r="G57" s="71"/>
      <c r="H57" s="71"/>
      <c r="I57" s="71"/>
      <c r="J57" s="71"/>
      <c r="K57" s="71"/>
      <c r="L57" s="71"/>
      <c r="M57" s="71"/>
      <c r="N57" s="71"/>
      <c r="O57" s="71"/>
      <c r="P57" s="71"/>
      <c r="Q57" s="71"/>
      <c r="R57" s="71"/>
    </row>
    <row r="58" spans="2:18" ht="56">
      <c r="C58" s="28" t="s">
        <v>431</v>
      </c>
      <c r="D58" s="130" t="s">
        <v>541</v>
      </c>
      <c r="E58" s="71"/>
      <c r="F58" s="71"/>
      <c r="G58" s="71"/>
      <c r="H58" s="71"/>
      <c r="I58" s="71"/>
      <c r="J58" s="71"/>
      <c r="K58" s="71"/>
      <c r="L58" s="71"/>
      <c r="M58" s="71"/>
      <c r="N58" s="71"/>
      <c r="O58" s="71"/>
      <c r="P58" s="71"/>
      <c r="Q58" s="71"/>
      <c r="R58" s="71"/>
    </row>
    <row r="59" spans="2:18">
      <c r="C59" s="124"/>
    </row>
    <row r="60" spans="2:18" ht="15">
      <c r="D60" s="1" t="s">
        <v>432</v>
      </c>
    </row>
    <row r="61" spans="2:18">
      <c r="D61" s="97" t="s">
        <v>433</v>
      </c>
    </row>
    <row r="62" spans="2:18">
      <c r="D62" s="98" t="s">
        <v>434</v>
      </c>
    </row>
    <row r="63" spans="2:18">
      <c r="D63" s="98" t="s">
        <v>435</v>
      </c>
    </row>
    <row r="64" spans="2:18">
      <c r="D64" s="98" t="s">
        <v>436</v>
      </c>
    </row>
    <row r="65" spans="4:4">
      <c r="D65" s="98" t="s">
        <v>437</v>
      </c>
    </row>
    <row r="66" spans="4:4">
      <c r="D66" s="98" t="s">
        <v>438</v>
      </c>
    </row>
    <row r="68" spans="4:4" ht="15">
      <c r="D68" s="99" t="s">
        <v>439</v>
      </c>
    </row>
  </sheetData>
  <mergeCells count="3">
    <mergeCell ref="F4:G4"/>
    <mergeCell ref="C6:D6"/>
    <mergeCell ref="C7:D7"/>
  </mergeCells>
  <conditionalFormatting sqref="B13:B17">
    <cfRule type="colorScale" priority="6">
      <colorScale>
        <cfvo type="min"/>
        <cfvo type="percentile" val="50"/>
        <cfvo type="max"/>
        <color rgb="FFF8696B"/>
        <color rgb="FFFCFCFF"/>
        <color rgb="FF63BE7B"/>
      </colorScale>
    </cfRule>
  </conditionalFormatting>
  <conditionalFormatting sqref="B19:B20">
    <cfRule type="colorScale" priority="5">
      <colorScale>
        <cfvo type="min"/>
        <cfvo type="percentile" val="50"/>
        <cfvo type="max"/>
        <color rgb="FFF8696B"/>
        <color rgb="FFFCFCFF"/>
        <color rgb="FF63BE7B"/>
      </colorScale>
    </cfRule>
  </conditionalFormatting>
  <conditionalFormatting sqref="B21:B24 B18">
    <cfRule type="colorScale" priority="7">
      <colorScale>
        <cfvo type="min"/>
        <cfvo type="percentile" val="50"/>
        <cfvo type="max"/>
        <color rgb="FFF8696B"/>
        <color rgb="FFFCFCFF"/>
        <color rgb="FF63BE7B"/>
      </colorScale>
    </cfRule>
  </conditionalFormatting>
  <conditionalFormatting sqref="B25">
    <cfRule type="colorScale" priority="4">
      <colorScale>
        <cfvo type="min"/>
        <cfvo type="percentile" val="50"/>
        <cfvo type="max"/>
        <color rgb="FFF8696B"/>
        <color rgb="FFFCFCFF"/>
        <color rgb="FF63BE7B"/>
      </colorScale>
    </cfRule>
  </conditionalFormatting>
  <conditionalFormatting sqref="B25:B29">
    <cfRule type="expression" dxfId="39" priority="3">
      <formula>#REF!="Owned"</formula>
    </cfRule>
  </conditionalFormatting>
  <conditionalFormatting sqref="B26:B29">
    <cfRule type="colorScale" priority="8">
      <colorScale>
        <cfvo type="min"/>
        <cfvo type="percentile" val="50"/>
        <cfvo type="max"/>
        <color rgb="FFF8696B"/>
        <color rgb="FFFCFCFF"/>
        <color rgb="FF63BE7B"/>
      </colorScale>
    </cfRule>
  </conditionalFormatting>
  <conditionalFormatting sqref="B30:B32">
    <cfRule type="colorScale" priority="2">
      <colorScale>
        <cfvo type="min"/>
        <cfvo type="percentile" val="50"/>
        <cfvo type="max"/>
        <color rgb="FFF8696B"/>
        <color rgb="FFFCFCFF"/>
        <color rgb="FF63BE7B"/>
      </colorScale>
    </cfRule>
  </conditionalFormatting>
  <conditionalFormatting sqref="B33:B35">
    <cfRule type="colorScale" priority="10">
      <colorScale>
        <cfvo type="min"/>
        <cfvo type="percentile" val="50"/>
        <cfvo type="max"/>
        <color rgb="FFF8696B"/>
        <color rgb="FFFCFCFF"/>
        <color rgb="FF63BE7B"/>
      </colorScale>
    </cfRule>
  </conditionalFormatting>
  <conditionalFormatting sqref="B36:B44">
    <cfRule type="colorScale" priority="9">
      <colorScale>
        <cfvo type="min"/>
        <cfvo type="percentile" val="50"/>
        <cfvo type="max"/>
        <color rgb="FFF8696B"/>
        <color rgb="FFFCFCFF"/>
        <color rgb="FF63BE7B"/>
      </colorScale>
    </cfRule>
  </conditionalFormatting>
  <conditionalFormatting sqref="C25:C32">
    <cfRule type="expression" dxfId="38" priority="1">
      <formula>#REF!="Owned"</formula>
    </cfRule>
  </conditionalFormatting>
  <dataValidations count="1">
    <dataValidation type="list" allowBlank="1" showInputMessage="1" showErrorMessage="1" sqref="E6" xr:uid="{874E7EC1-5C23-4EA4-BD2C-FA96F2340BD3}">
      <formula1>"Yes, No"</formula1>
    </dataValidation>
  </dataValidations>
  <pageMargins left="0.7" right="0.7" top="0.75" bottom="0.75" header="0.3" footer="0.3"/>
  <pageSetup scale="22" orientation="portrait" horizontalDpi="90" verticalDpi="90" r:id="rId1"/>
  <headerFooter>
    <oddHeader>&amp;C&amp;"Calibri"&amp;10&amp;K000000 Internal&amp;1#_x000D_&amp;"Arial"&amp;10&amp;K000000&amp;"Arial"&amp;10&amp;K000000</oddHeader>
  </headerFooter>
  <colBreaks count="1" manualBreakCount="1">
    <brk id="8" max="1048575" man="1"/>
  </colBreaks>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E5904-876C-4953-8041-1FDC2838FDC7}">
  <sheetPr codeName="Feuil47"/>
  <dimension ref="B2:S58"/>
  <sheetViews>
    <sheetView topLeftCell="A14" zoomScale="70" zoomScaleNormal="70" workbookViewId="0">
      <selection activeCell="C28" sqref="C28"/>
    </sheetView>
  </sheetViews>
  <sheetFormatPr baseColWidth="10" defaultColWidth="11.5" defaultRowHeight="13"/>
  <cols>
    <col min="2" max="2" width="21.1640625" customWidth="1"/>
    <col min="3" max="3" width="19.83203125" customWidth="1"/>
    <col min="4" max="13" width="22.83203125" customWidth="1"/>
  </cols>
  <sheetData>
    <row r="2" spans="2:19">
      <c r="C2" s="504" t="s">
        <v>323</v>
      </c>
      <c r="D2" s="397"/>
      <c r="E2" s="1"/>
      <c r="F2" s="3"/>
      <c r="G2" s="3"/>
      <c r="H2" s="3"/>
      <c r="I2" s="4"/>
      <c r="J2" s="1"/>
      <c r="K2" s="1"/>
      <c r="L2" s="1"/>
      <c r="M2" s="1"/>
      <c r="N2" s="1"/>
      <c r="O2" s="1"/>
      <c r="P2" s="1"/>
      <c r="Q2" s="1"/>
      <c r="R2" s="1"/>
      <c r="S2" s="1"/>
    </row>
    <row r="3" spans="2:19">
      <c r="C3" s="1"/>
      <c r="D3" s="1"/>
      <c r="E3" s="1"/>
      <c r="F3" s="1"/>
      <c r="G3" s="1"/>
      <c r="H3" s="1"/>
      <c r="I3" s="1"/>
      <c r="J3" s="1"/>
      <c r="K3" s="1"/>
      <c r="L3" s="1"/>
      <c r="M3" s="1"/>
      <c r="N3" s="1"/>
      <c r="O3" s="1"/>
      <c r="P3" s="1"/>
      <c r="Q3" s="1"/>
      <c r="R3" s="1"/>
      <c r="S3" s="1"/>
    </row>
    <row r="4" spans="2:19">
      <c r="C4" s="33" t="s">
        <v>324</v>
      </c>
      <c r="D4" s="34"/>
      <c r="E4" s="1"/>
      <c r="I4" s="5"/>
      <c r="J4" s="1"/>
      <c r="K4" s="1"/>
      <c r="L4" s="1"/>
      <c r="M4" s="1"/>
      <c r="N4" s="1"/>
      <c r="O4" s="1"/>
      <c r="P4" s="1"/>
      <c r="Q4" s="1"/>
      <c r="R4" s="1"/>
      <c r="S4" s="1"/>
    </row>
    <row r="5" spans="2:19">
      <c r="C5" s="35"/>
      <c r="D5" s="36"/>
      <c r="E5" s="1"/>
      <c r="F5" s="1"/>
      <c r="G5" s="1"/>
      <c r="H5" s="1"/>
      <c r="I5" s="1"/>
      <c r="J5" s="1"/>
      <c r="K5" s="1"/>
      <c r="L5" s="1"/>
      <c r="M5" s="1"/>
      <c r="N5" s="1"/>
      <c r="O5" s="1"/>
      <c r="P5" s="1"/>
      <c r="Q5" s="1"/>
      <c r="R5" s="1"/>
      <c r="S5" s="1"/>
    </row>
    <row r="6" spans="2:19" ht="25.5" customHeight="1">
      <c r="C6" s="589" t="s">
        <v>327</v>
      </c>
      <c r="D6" s="591"/>
      <c r="E6" s="6"/>
      <c r="F6" s="124"/>
      <c r="G6" s="124"/>
      <c r="H6" s="124"/>
      <c r="J6" s="1"/>
      <c r="K6" s="1"/>
      <c r="L6" s="1"/>
      <c r="M6" s="1"/>
      <c r="N6" s="1"/>
      <c r="O6" s="1"/>
      <c r="P6" s="1"/>
      <c r="Q6" s="1"/>
      <c r="R6" s="1"/>
      <c r="S6" s="1"/>
    </row>
    <row r="7" spans="2:19" ht="27.75" customHeight="1">
      <c r="C7" s="589" t="s">
        <v>329</v>
      </c>
      <c r="D7" s="591"/>
      <c r="E7" s="6"/>
      <c r="F7" s="124"/>
      <c r="G7" s="124"/>
      <c r="H7" s="124"/>
      <c r="J7" s="1"/>
      <c r="K7" s="1"/>
      <c r="L7" s="1"/>
      <c r="M7" s="1"/>
      <c r="N7" s="1"/>
      <c r="O7" s="1"/>
      <c r="P7" s="1"/>
      <c r="Q7" s="1"/>
      <c r="R7" s="1"/>
      <c r="S7" s="1"/>
    </row>
    <row r="8" spans="2:19" ht="27.75" customHeight="1">
      <c r="C8" s="68"/>
      <c r="D8" s="68"/>
      <c r="E8" s="68"/>
      <c r="F8" s="68"/>
      <c r="G8" s="68"/>
      <c r="H8" s="68"/>
      <c r="I8" s="42"/>
      <c r="J8" s="1"/>
      <c r="K8" s="1"/>
      <c r="L8" s="1"/>
      <c r="M8" s="1"/>
      <c r="N8" s="1"/>
      <c r="O8" s="1"/>
      <c r="P8" s="1"/>
      <c r="Q8" s="1"/>
      <c r="R8" s="1"/>
      <c r="S8" s="1"/>
    </row>
    <row r="9" spans="2:19">
      <c r="C9" s="69" t="s">
        <v>441</v>
      </c>
      <c r="D9" s="67"/>
      <c r="E9" s="67"/>
      <c r="F9" s="67"/>
      <c r="G9" s="67"/>
      <c r="H9" s="67"/>
      <c r="I9" s="67"/>
      <c r="J9" s="67"/>
      <c r="K9" s="67"/>
      <c r="L9" s="67"/>
      <c r="M9" s="67"/>
      <c r="N9" s="42"/>
      <c r="O9" s="42"/>
      <c r="P9" s="42"/>
      <c r="Q9" s="42"/>
      <c r="R9" s="42"/>
      <c r="S9" s="42"/>
    </row>
    <row r="10" spans="2:19" ht="39.75" customHeight="1">
      <c r="C10" s="70" t="s">
        <v>331</v>
      </c>
      <c r="D10" s="84" t="s">
        <v>1466</v>
      </c>
      <c r="E10" s="84" t="s">
        <v>492</v>
      </c>
      <c r="F10" s="84" t="s">
        <v>463</v>
      </c>
      <c r="G10" s="84" t="s">
        <v>464</v>
      </c>
      <c r="H10" s="84" t="s">
        <v>465</v>
      </c>
      <c r="I10" s="84" t="s">
        <v>466</v>
      </c>
      <c r="J10" s="84" t="s">
        <v>467</v>
      </c>
      <c r="K10" s="84" t="s">
        <v>468</v>
      </c>
      <c r="L10" s="84" t="s">
        <v>469</v>
      </c>
      <c r="M10" s="84" t="s">
        <v>470</v>
      </c>
      <c r="N10" s="43"/>
      <c r="O10" s="43"/>
      <c r="P10" s="43"/>
      <c r="Q10" s="43"/>
      <c r="R10" s="43"/>
      <c r="S10" s="43"/>
    </row>
    <row r="11" spans="2:19" ht="21.5" customHeight="1">
      <c r="C11" s="104" t="s">
        <v>299</v>
      </c>
      <c r="D11" s="84"/>
      <c r="E11" s="84"/>
      <c r="F11" s="84"/>
      <c r="G11" s="84"/>
      <c r="H11" s="84"/>
      <c r="I11" s="84"/>
      <c r="J11" s="84"/>
      <c r="K11" s="84"/>
      <c r="L11" s="84"/>
      <c r="M11" s="84"/>
      <c r="N11" s="43"/>
      <c r="O11" s="43"/>
      <c r="P11" s="43"/>
      <c r="Q11" s="43"/>
      <c r="R11" s="43"/>
      <c r="S11" s="43"/>
    </row>
    <row r="12" spans="2:19">
      <c r="C12" s="32"/>
      <c r="D12" s="44"/>
      <c r="E12" s="44"/>
      <c r="F12" s="44"/>
      <c r="G12" s="44"/>
      <c r="H12" s="45"/>
      <c r="I12" s="46"/>
      <c r="J12" s="44"/>
      <c r="K12" s="47"/>
      <c r="L12" s="48"/>
      <c r="M12" s="44"/>
      <c r="N12" s="37"/>
      <c r="O12" s="41"/>
      <c r="P12" s="41"/>
      <c r="Q12" s="41"/>
      <c r="R12" s="37"/>
      <c r="S12" s="37"/>
    </row>
    <row r="13" spans="2:19" ht="24">
      <c r="B13" s="7" t="s">
        <v>348</v>
      </c>
      <c r="C13" s="398" t="s">
        <v>349</v>
      </c>
      <c r="D13" s="71"/>
      <c r="E13" s="71"/>
      <c r="F13" s="71"/>
      <c r="G13" s="71"/>
      <c r="H13" s="71"/>
      <c r="I13" s="71"/>
      <c r="J13" s="71"/>
      <c r="K13" s="71"/>
      <c r="L13" s="71"/>
      <c r="M13" s="71"/>
    </row>
    <row r="14" spans="2:19" ht="83" customHeight="1">
      <c r="B14" s="7" t="s">
        <v>352</v>
      </c>
      <c r="C14" s="398" t="s">
        <v>297</v>
      </c>
      <c r="D14" s="71"/>
      <c r="E14" s="71"/>
      <c r="F14" s="71"/>
      <c r="G14" s="71"/>
      <c r="H14" s="71"/>
      <c r="I14" s="71"/>
      <c r="J14" s="71"/>
      <c r="K14" s="71"/>
      <c r="L14" s="71"/>
      <c r="M14" s="71"/>
    </row>
    <row r="15" spans="2:19" ht="24">
      <c r="B15" s="7" t="s">
        <v>353</v>
      </c>
      <c r="C15" s="398" t="s">
        <v>354</v>
      </c>
      <c r="D15" s="71"/>
      <c r="E15" s="71"/>
      <c r="F15" s="71"/>
      <c r="G15" s="71"/>
      <c r="H15" s="71"/>
      <c r="I15" s="71"/>
      <c r="J15" s="71"/>
      <c r="K15" s="71"/>
      <c r="L15" s="71"/>
      <c r="M15" s="71"/>
    </row>
    <row r="16" spans="2:19" ht="14">
      <c r="B16" s="7" t="s">
        <v>355</v>
      </c>
      <c r="C16" s="398" t="s">
        <v>356</v>
      </c>
      <c r="D16" s="71"/>
      <c r="E16" s="71"/>
      <c r="F16" s="71"/>
      <c r="G16" s="71"/>
      <c r="H16" s="71"/>
      <c r="I16" s="71"/>
      <c r="J16" s="71"/>
      <c r="K16" s="71"/>
      <c r="L16" s="71"/>
      <c r="M16" s="71"/>
    </row>
    <row r="17" spans="2:13" ht="14">
      <c r="B17" s="7" t="s">
        <v>357</v>
      </c>
      <c r="C17" s="398" t="s">
        <v>294</v>
      </c>
      <c r="D17" s="71"/>
      <c r="E17" s="71"/>
      <c r="F17" s="71"/>
      <c r="G17" s="71"/>
      <c r="H17" s="71"/>
      <c r="I17" s="71"/>
      <c r="J17" s="71"/>
      <c r="K17" s="71"/>
      <c r="L17" s="71"/>
      <c r="M17" s="71"/>
    </row>
    <row r="18" spans="2:13" ht="14">
      <c r="B18" s="9" t="s">
        <v>358</v>
      </c>
      <c r="C18" s="399" t="s">
        <v>359</v>
      </c>
      <c r="D18" s="71"/>
      <c r="E18" s="71"/>
      <c r="F18" s="71"/>
      <c r="G18" s="71"/>
      <c r="H18" s="71"/>
      <c r="I18" s="71"/>
      <c r="J18" s="71"/>
      <c r="K18" s="71"/>
      <c r="L18" s="71"/>
      <c r="M18" s="71"/>
    </row>
    <row r="19" spans="2:13" ht="42">
      <c r="B19" s="9" t="s">
        <v>361</v>
      </c>
      <c r="C19" s="399" t="s">
        <v>362</v>
      </c>
      <c r="D19" s="71"/>
      <c r="E19" s="71"/>
      <c r="F19" s="71"/>
      <c r="G19" s="71"/>
      <c r="H19" s="71"/>
      <c r="I19" s="71"/>
      <c r="J19" s="71"/>
      <c r="K19" s="71"/>
      <c r="L19" s="71"/>
      <c r="M19" s="71"/>
    </row>
    <row r="20" spans="2:13" ht="56">
      <c r="B20" s="9" t="s">
        <v>363</v>
      </c>
      <c r="C20" s="399" t="s">
        <v>364</v>
      </c>
      <c r="D20" s="71"/>
      <c r="E20" s="71"/>
      <c r="F20" s="71"/>
      <c r="G20" s="71"/>
      <c r="H20" s="71"/>
      <c r="I20" s="71"/>
      <c r="J20" s="71"/>
      <c r="K20" s="71"/>
      <c r="L20" s="71"/>
      <c r="M20" s="71"/>
    </row>
    <row r="21" spans="2:13" ht="24">
      <c r="B21" s="11" t="s">
        <v>365</v>
      </c>
      <c r="C21" s="400" t="s">
        <v>366</v>
      </c>
      <c r="D21" s="71"/>
      <c r="E21" s="71"/>
      <c r="F21" s="71"/>
      <c r="G21" s="71"/>
      <c r="H21" s="71"/>
      <c r="I21" s="71"/>
      <c r="J21" s="71"/>
      <c r="K21" s="71"/>
      <c r="L21" s="71"/>
      <c r="M21" s="71"/>
    </row>
    <row r="22" spans="2:13" ht="24">
      <c r="B22" s="11" t="s">
        <v>369</v>
      </c>
      <c r="C22" s="400" t="s">
        <v>370</v>
      </c>
      <c r="D22" s="71"/>
      <c r="E22" s="71"/>
      <c r="F22" s="71"/>
      <c r="G22" s="71"/>
      <c r="H22" s="71"/>
      <c r="I22" s="71"/>
      <c r="J22" s="71"/>
      <c r="K22" s="71"/>
      <c r="L22" s="71"/>
      <c r="M22" s="71"/>
    </row>
    <row r="23" spans="2:13" ht="14">
      <c r="B23" s="13" t="s">
        <v>477</v>
      </c>
      <c r="C23" s="401" t="s">
        <v>374</v>
      </c>
      <c r="D23" s="71"/>
      <c r="E23" s="71"/>
      <c r="F23" s="71"/>
      <c r="G23" s="71"/>
      <c r="H23" s="71"/>
      <c r="I23" s="71"/>
      <c r="J23" s="71"/>
      <c r="K23" s="71"/>
      <c r="L23" s="71"/>
      <c r="M23" s="71"/>
    </row>
    <row r="24" spans="2:13" ht="36">
      <c r="B24" s="13" t="s">
        <v>375</v>
      </c>
      <c r="C24" s="401" t="s">
        <v>376</v>
      </c>
      <c r="D24" s="71"/>
      <c r="E24" s="71"/>
      <c r="F24" s="71"/>
      <c r="G24" s="71"/>
      <c r="H24" s="71"/>
      <c r="I24" s="71"/>
      <c r="J24" s="71"/>
      <c r="K24" s="71"/>
      <c r="L24" s="71"/>
      <c r="M24" s="71"/>
    </row>
    <row r="25" spans="2:13" ht="36">
      <c r="B25" s="15" t="s">
        <v>377</v>
      </c>
      <c r="C25" s="402" t="s">
        <v>378</v>
      </c>
      <c r="D25" s="71"/>
      <c r="E25" s="71"/>
      <c r="F25" s="71"/>
      <c r="G25" s="71"/>
      <c r="H25" s="71"/>
      <c r="I25" s="71"/>
      <c r="J25" s="71"/>
      <c r="K25" s="71"/>
      <c r="L25" s="71"/>
      <c r="M25" s="71"/>
    </row>
    <row r="26" spans="2:13" ht="36">
      <c r="B26" s="15" t="s">
        <v>380</v>
      </c>
      <c r="C26" s="402" t="s">
        <v>381</v>
      </c>
      <c r="D26" s="71"/>
      <c r="E26" s="71"/>
      <c r="F26" s="71"/>
      <c r="G26" s="71"/>
      <c r="H26" s="71"/>
      <c r="I26" s="71"/>
      <c r="J26" s="71"/>
      <c r="K26" s="71"/>
      <c r="L26" s="71"/>
      <c r="M26" s="71"/>
    </row>
    <row r="27" spans="2:13" ht="14">
      <c r="B27" s="40" t="s">
        <v>383</v>
      </c>
      <c r="C27" s="403" t="s">
        <v>383</v>
      </c>
      <c r="D27" s="71"/>
      <c r="E27" s="71"/>
      <c r="F27" s="71"/>
      <c r="G27" s="71"/>
      <c r="H27" s="71"/>
      <c r="I27" s="71"/>
      <c r="J27" s="71"/>
      <c r="K27" s="71"/>
      <c r="L27" s="71"/>
      <c r="M27" s="71"/>
    </row>
    <row r="28" spans="2:13" ht="42">
      <c r="B28" s="15" t="s">
        <v>384</v>
      </c>
      <c r="C28" s="402" t="s">
        <v>450</v>
      </c>
      <c r="D28" s="71"/>
      <c r="E28" s="71"/>
      <c r="F28" s="71"/>
      <c r="G28" s="71"/>
      <c r="H28" s="71"/>
      <c r="I28" s="71"/>
      <c r="J28" s="71"/>
      <c r="K28" s="71"/>
      <c r="L28" s="71"/>
      <c r="M28" s="71"/>
    </row>
    <row r="29" spans="2:13" ht="48">
      <c r="B29" s="15" t="s">
        <v>387</v>
      </c>
      <c r="C29" s="402" t="s">
        <v>388</v>
      </c>
      <c r="D29" s="71"/>
      <c r="E29" s="71"/>
      <c r="F29" s="71"/>
      <c r="G29" s="71"/>
      <c r="H29" s="71"/>
      <c r="I29" s="71"/>
      <c r="J29" s="71"/>
      <c r="K29" s="71"/>
      <c r="L29" s="71"/>
      <c r="M29" s="71"/>
    </row>
    <row r="30" spans="2:13" ht="72">
      <c r="B30" s="13" t="s">
        <v>390</v>
      </c>
      <c r="C30" s="404" t="s">
        <v>453</v>
      </c>
      <c r="D30" s="71"/>
      <c r="E30" s="71"/>
      <c r="F30" s="71"/>
      <c r="G30" s="71"/>
      <c r="H30" s="71"/>
      <c r="I30" s="71"/>
      <c r="J30" s="71"/>
      <c r="K30" s="71"/>
      <c r="L30" s="71"/>
      <c r="M30" s="71"/>
    </row>
    <row r="31" spans="2:13" ht="28">
      <c r="B31" s="13"/>
      <c r="C31" s="405" t="s">
        <v>393</v>
      </c>
      <c r="D31" s="71"/>
      <c r="E31" s="71"/>
      <c r="F31" s="71"/>
      <c r="G31" s="71"/>
      <c r="H31" s="71"/>
      <c r="I31" s="71"/>
      <c r="J31" s="71"/>
      <c r="K31" s="71"/>
      <c r="L31" s="71"/>
      <c r="M31" s="71"/>
    </row>
    <row r="32" spans="2:13" ht="48">
      <c r="B32" s="13" t="s">
        <v>394</v>
      </c>
      <c r="C32" s="404" t="s">
        <v>395</v>
      </c>
      <c r="D32" s="71"/>
      <c r="E32" s="71"/>
      <c r="F32" s="71"/>
      <c r="G32" s="71"/>
      <c r="H32" s="71"/>
      <c r="I32" s="71"/>
      <c r="J32" s="71"/>
      <c r="K32" s="71"/>
      <c r="L32" s="71"/>
      <c r="M32" s="71"/>
    </row>
    <row r="33" spans="2:13" ht="14">
      <c r="B33" s="18" t="s">
        <v>397</v>
      </c>
      <c r="C33" s="406" t="s">
        <v>313</v>
      </c>
      <c r="D33" s="71"/>
      <c r="E33" s="71"/>
      <c r="F33" s="71"/>
      <c r="G33" s="71"/>
      <c r="H33" s="71"/>
      <c r="I33" s="71"/>
      <c r="J33" s="71"/>
      <c r="K33" s="71"/>
      <c r="L33" s="71"/>
      <c r="M33" s="71"/>
    </row>
    <row r="34" spans="2:13" ht="24">
      <c r="B34" s="20" t="s">
        <v>398</v>
      </c>
      <c r="C34" s="406" t="s">
        <v>315</v>
      </c>
      <c r="D34" s="71"/>
      <c r="E34" s="71"/>
      <c r="F34" s="71"/>
      <c r="G34" s="71"/>
      <c r="H34" s="71"/>
      <c r="I34" s="71"/>
      <c r="J34" s="71"/>
      <c r="K34" s="71"/>
      <c r="L34" s="71"/>
      <c r="M34" s="71"/>
    </row>
    <row r="35" spans="2:13" ht="28">
      <c r="B35" s="20" t="s">
        <v>399</v>
      </c>
      <c r="C35" s="406" t="s">
        <v>400</v>
      </c>
      <c r="D35" s="71"/>
      <c r="E35" s="71"/>
      <c r="F35" s="71"/>
      <c r="G35" s="71"/>
      <c r="H35" s="71"/>
      <c r="I35" s="71"/>
      <c r="J35" s="71"/>
      <c r="K35" s="71"/>
      <c r="L35" s="71"/>
      <c r="M35" s="71"/>
    </row>
    <row r="36" spans="2:13" ht="28">
      <c r="B36" s="20" t="s">
        <v>402</v>
      </c>
      <c r="C36" s="21" t="s">
        <v>403</v>
      </c>
      <c r="D36" s="71"/>
      <c r="E36" s="71"/>
      <c r="F36" s="71"/>
      <c r="G36" s="71"/>
      <c r="H36" s="71"/>
      <c r="I36" s="71"/>
      <c r="J36" s="71"/>
      <c r="K36" s="71"/>
      <c r="L36" s="71"/>
      <c r="M36" s="71"/>
    </row>
    <row r="37" spans="2:13" ht="36">
      <c r="B37" s="20" t="s">
        <v>404</v>
      </c>
      <c r="C37" s="21" t="s">
        <v>405</v>
      </c>
      <c r="D37" s="71"/>
      <c r="E37" s="71"/>
      <c r="F37" s="71"/>
      <c r="G37" s="71"/>
      <c r="H37" s="71"/>
      <c r="I37" s="71"/>
      <c r="J37" s="71"/>
      <c r="K37" s="71"/>
      <c r="L37" s="71"/>
      <c r="M37" s="71"/>
    </row>
    <row r="38" spans="2:13" ht="28">
      <c r="B38" s="20" t="s">
        <v>406</v>
      </c>
      <c r="C38" s="21" t="s">
        <v>407</v>
      </c>
      <c r="D38" s="71"/>
      <c r="E38" s="71"/>
      <c r="F38" s="71"/>
      <c r="G38" s="71"/>
      <c r="H38" s="71"/>
      <c r="I38" s="71"/>
      <c r="J38" s="71"/>
      <c r="K38" s="71"/>
      <c r="L38" s="71"/>
      <c r="M38" s="71"/>
    </row>
    <row r="39" spans="2:13" ht="28">
      <c r="B39" s="20" t="s">
        <v>408</v>
      </c>
      <c r="C39" s="21" t="s">
        <v>409</v>
      </c>
      <c r="D39" s="71"/>
      <c r="E39" s="71"/>
      <c r="F39" s="71"/>
      <c r="G39" s="71"/>
      <c r="H39" s="71"/>
      <c r="I39" s="71"/>
      <c r="J39" s="71"/>
      <c r="K39" s="71"/>
      <c r="L39" s="71"/>
      <c r="M39" s="71"/>
    </row>
    <row r="40" spans="2:13" ht="36">
      <c r="B40" s="20" t="s">
        <v>411</v>
      </c>
      <c r="C40" s="21" t="s">
        <v>314</v>
      </c>
      <c r="D40" s="71"/>
      <c r="E40" s="71"/>
      <c r="F40" s="71"/>
      <c r="G40" s="71"/>
      <c r="H40" s="71"/>
      <c r="I40" s="71"/>
      <c r="J40" s="71"/>
      <c r="K40" s="71"/>
      <c r="L40" s="71"/>
      <c r="M40" s="71"/>
    </row>
    <row r="41" spans="2:13" ht="56">
      <c r="B41" s="22" t="s">
        <v>412</v>
      </c>
      <c r="C41" s="23" t="s">
        <v>413</v>
      </c>
      <c r="D41" s="71"/>
      <c r="E41" s="71"/>
      <c r="F41" s="71"/>
      <c r="G41" s="71"/>
      <c r="H41" s="71"/>
      <c r="I41" s="71"/>
      <c r="J41" s="71"/>
      <c r="K41" s="71"/>
      <c r="L41" s="71"/>
      <c r="M41" s="71"/>
    </row>
    <row r="42" spans="2:13" ht="84">
      <c r="B42" s="24" t="s">
        <v>457</v>
      </c>
      <c r="C42" s="23" t="s">
        <v>483</v>
      </c>
      <c r="D42" s="71"/>
      <c r="E42" s="71"/>
      <c r="F42" s="71"/>
      <c r="G42" s="71"/>
      <c r="H42" s="71"/>
      <c r="I42" s="71"/>
      <c r="J42" s="71"/>
      <c r="K42" s="71"/>
      <c r="L42" s="71"/>
      <c r="M42" s="71"/>
    </row>
    <row r="43" spans="2:13" ht="56">
      <c r="B43" s="25" t="s">
        <v>418</v>
      </c>
      <c r="C43" s="407" t="s">
        <v>419</v>
      </c>
      <c r="D43" s="71"/>
      <c r="E43" s="71"/>
      <c r="F43" s="71"/>
      <c r="G43" s="71"/>
      <c r="H43" s="71"/>
      <c r="I43" s="71"/>
      <c r="J43" s="71"/>
      <c r="K43" s="71"/>
      <c r="L43" s="71"/>
      <c r="M43" s="71"/>
    </row>
    <row r="44" spans="2:13" ht="70">
      <c r="B44" s="25" t="s">
        <v>420</v>
      </c>
      <c r="C44" s="407" t="s">
        <v>421</v>
      </c>
      <c r="D44" s="71"/>
      <c r="E44" s="71"/>
      <c r="F44" s="71"/>
      <c r="G44" s="71"/>
      <c r="H44" s="71"/>
      <c r="I44" s="71"/>
      <c r="J44" s="71"/>
      <c r="K44" s="71"/>
      <c r="L44" s="71"/>
      <c r="M44" s="71"/>
    </row>
    <row r="45" spans="2:13">
      <c r="B45" s="27"/>
      <c r="C45" s="27"/>
    </row>
    <row r="46" spans="2:13" ht="28">
      <c r="B46" s="27"/>
      <c r="C46" s="28" t="s">
        <v>484</v>
      </c>
      <c r="D46" s="71"/>
      <c r="E46" s="71"/>
      <c r="F46" s="71"/>
      <c r="G46" s="71"/>
      <c r="H46" s="71"/>
      <c r="I46" s="71"/>
      <c r="J46" s="71"/>
      <c r="K46" s="71"/>
      <c r="L46" s="71"/>
      <c r="M46" s="71"/>
    </row>
    <row r="47" spans="2:13" ht="51.75" customHeight="1">
      <c r="B47" s="27"/>
      <c r="C47" s="29" t="s">
        <v>485</v>
      </c>
      <c r="D47" s="71"/>
      <c r="E47" s="71"/>
      <c r="F47" s="71"/>
      <c r="G47" s="71"/>
      <c r="H47" s="71"/>
      <c r="I47" s="71"/>
      <c r="J47" s="71"/>
      <c r="K47" s="71"/>
      <c r="L47" s="71"/>
      <c r="M47" s="71"/>
    </row>
    <row r="48" spans="2:13" ht="57.75" customHeight="1">
      <c r="B48" s="27"/>
      <c r="C48" s="29" t="s">
        <v>486</v>
      </c>
      <c r="D48" s="71"/>
      <c r="E48" s="71"/>
      <c r="F48" s="71"/>
      <c r="G48" s="71"/>
      <c r="H48" s="71"/>
      <c r="I48" s="71"/>
      <c r="J48" s="71"/>
      <c r="K48" s="71"/>
      <c r="L48" s="71"/>
      <c r="M48" s="71"/>
    </row>
    <row r="49" spans="2:13">
      <c r="B49" s="27"/>
      <c r="C49" s="30"/>
    </row>
    <row r="50" spans="2:13" ht="44">
      <c r="B50" s="27"/>
      <c r="C50" s="28" t="s">
        <v>426</v>
      </c>
      <c r="D50" s="71"/>
      <c r="E50" s="71"/>
      <c r="F50" s="71"/>
      <c r="G50" s="71"/>
      <c r="H50" s="71"/>
      <c r="I50" s="71"/>
      <c r="J50" s="71"/>
      <c r="K50" s="71"/>
      <c r="L50" s="71"/>
      <c r="M50" s="71"/>
    </row>
    <row r="51" spans="2:13" ht="50.25" customHeight="1">
      <c r="B51" s="27"/>
      <c r="C51" s="29" t="s">
        <v>487</v>
      </c>
      <c r="D51" s="71"/>
      <c r="E51" s="71"/>
      <c r="F51" s="71"/>
      <c r="G51" s="71"/>
      <c r="H51" s="71"/>
      <c r="I51" s="71"/>
      <c r="J51" s="71"/>
      <c r="K51" s="71"/>
      <c r="L51" s="71"/>
      <c r="M51" s="71"/>
    </row>
    <row r="52" spans="2:13" ht="28">
      <c r="B52" s="27"/>
      <c r="C52" s="29" t="s">
        <v>488</v>
      </c>
      <c r="D52" s="71"/>
      <c r="E52" s="71"/>
      <c r="F52" s="71"/>
      <c r="G52" s="71"/>
      <c r="H52" s="71"/>
      <c r="I52" s="71"/>
      <c r="J52" s="71"/>
      <c r="K52" s="71"/>
      <c r="L52" s="71"/>
      <c r="M52" s="71"/>
    </row>
    <row r="53" spans="2:13">
      <c r="B53" s="27"/>
      <c r="C53" s="31"/>
    </row>
    <row r="54" spans="2:13" ht="28">
      <c r="B54" s="27"/>
      <c r="C54" s="28" t="s">
        <v>427</v>
      </c>
      <c r="D54" s="71"/>
      <c r="E54" s="71"/>
      <c r="F54" s="71"/>
      <c r="G54" s="71"/>
      <c r="H54" s="71"/>
      <c r="I54" s="71"/>
      <c r="J54" s="71"/>
      <c r="K54" s="71"/>
      <c r="L54" s="71"/>
      <c r="M54" s="71"/>
    </row>
    <row r="55" spans="2:13" ht="42">
      <c r="B55" s="27"/>
      <c r="C55" s="28" t="s">
        <v>489</v>
      </c>
      <c r="D55" s="71"/>
      <c r="E55" s="71"/>
      <c r="F55" s="71"/>
      <c r="G55" s="71"/>
      <c r="H55" s="71"/>
      <c r="I55" s="71"/>
      <c r="J55" s="71"/>
      <c r="K55" s="71"/>
      <c r="L55" s="71"/>
      <c r="M55" s="71"/>
    </row>
    <row r="56" spans="2:13" ht="42">
      <c r="B56" s="27"/>
      <c r="C56" s="28" t="s">
        <v>490</v>
      </c>
      <c r="D56" s="71"/>
      <c r="E56" s="71"/>
      <c r="F56" s="71"/>
      <c r="G56" s="71"/>
      <c r="H56" s="71"/>
      <c r="I56" s="71"/>
      <c r="J56" s="71"/>
      <c r="K56" s="71"/>
      <c r="L56" s="71"/>
      <c r="M56" s="71"/>
    </row>
    <row r="57" spans="2:13" ht="65.25" customHeight="1">
      <c r="B57" s="27"/>
      <c r="C57" s="28" t="s">
        <v>430</v>
      </c>
      <c r="D57" s="71"/>
      <c r="E57" s="71"/>
      <c r="F57" s="71"/>
      <c r="G57" s="71"/>
      <c r="H57" s="71"/>
      <c r="I57" s="71"/>
      <c r="J57" s="71"/>
      <c r="K57" s="71"/>
      <c r="L57" s="71"/>
      <c r="M57" s="71"/>
    </row>
    <row r="58" spans="2:13" ht="81.75" customHeight="1">
      <c r="B58" s="27"/>
      <c r="C58" s="28" t="s">
        <v>431</v>
      </c>
      <c r="D58" s="71"/>
      <c r="E58" s="71"/>
      <c r="F58" s="71"/>
      <c r="G58" s="71"/>
      <c r="H58" s="71"/>
      <c r="I58" s="71"/>
      <c r="J58" s="71"/>
      <c r="K58" s="71"/>
      <c r="L58" s="71"/>
      <c r="M58" s="71"/>
    </row>
  </sheetData>
  <mergeCells count="2">
    <mergeCell ref="C6:D6"/>
    <mergeCell ref="C7:D7"/>
  </mergeCells>
  <conditionalFormatting sqref="B13:B17">
    <cfRule type="colorScale" priority="14">
      <colorScale>
        <cfvo type="min"/>
        <cfvo type="percentile" val="50"/>
        <cfvo type="max"/>
        <color rgb="FFF8696B"/>
        <color rgb="FFFCFCFF"/>
        <color rgb="FF63BE7B"/>
      </colorScale>
    </cfRule>
  </conditionalFormatting>
  <conditionalFormatting sqref="B19:B20">
    <cfRule type="colorScale" priority="7">
      <colorScale>
        <cfvo type="min"/>
        <cfvo type="percentile" val="50"/>
        <cfvo type="max"/>
        <color rgb="FFF8696B"/>
        <color rgb="FFFCFCFF"/>
        <color rgb="FF63BE7B"/>
      </colorScale>
    </cfRule>
  </conditionalFormatting>
  <conditionalFormatting sqref="B21:B24 B18">
    <cfRule type="colorScale" priority="10">
      <colorScale>
        <cfvo type="min"/>
        <cfvo type="percentile" val="50"/>
        <cfvo type="max"/>
        <color rgb="FFF8696B"/>
        <color rgb="FFFCFCFF"/>
        <color rgb="FF63BE7B"/>
      </colorScale>
    </cfRule>
  </conditionalFormatting>
  <conditionalFormatting sqref="B25">
    <cfRule type="colorScale" priority="6">
      <colorScale>
        <cfvo type="min"/>
        <cfvo type="percentile" val="50"/>
        <cfvo type="max"/>
        <color rgb="FFF8696B"/>
        <color rgb="FFFCFCFF"/>
        <color rgb="FF63BE7B"/>
      </colorScale>
    </cfRule>
  </conditionalFormatting>
  <conditionalFormatting sqref="B27">
    <cfRule type="colorScale" priority="3">
      <colorScale>
        <cfvo type="min"/>
        <cfvo type="percentile" val="50"/>
        <cfvo type="max"/>
        <color rgb="FFF8696B"/>
        <color rgb="FFFCFCFF"/>
        <color rgb="FF63BE7B"/>
      </colorScale>
    </cfRule>
  </conditionalFormatting>
  <conditionalFormatting sqref="B27:B29">
    <cfRule type="expression" dxfId="37" priority="2">
      <formula>#REF!="Owned"</formula>
    </cfRule>
  </conditionalFormatting>
  <conditionalFormatting sqref="B28:B29 B26">
    <cfRule type="colorScale" priority="11">
      <colorScale>
        <cfvo type="min"/>
        <cfvo type="percentile" val="50"/>
        <cfvo type="max"/>
        <color rgb="FFF8696B"/>
        <color rgb="FFFCFCFF"/>
        <color rgb="FF63BE7B"/>
      </colorScale>
    </cfRule>
  </conditionalFormatting>
  <conditionalFormatting sqref="B30:B32">
    <cfRule type="colorScale" priority="5">
      <colorScale>
        <cfvo type="min"/>
        <cfvo type="percentile" val="50"/>
        <cfvo type="max"/>
        <color rgb="FFF8696B"/>
        <color rgb="FFFCFCFF"/>
        <color rgb="FF63BE7B"/>
      </colorScale>
    </cfRule>
  </conditionalFormatting>
  <conditionalFormatting sqref="B33:B35">
    <cfRule type="colorScale" priority="13">
      <colorScale>
        <cfvo type="min"/>
        <cfvo type="percentile" val="50"/>
        <cfvo type="max"/>
        <color rgb="FFF8696B"/>
        <color rgb="FFFCFCFF"/>
        <color rgb="FF63BE7B"/>
      </colorScale>
    </cfRule>
  </conditionalFormatting>
  <conditionalFormatting sqref="B36:B44">
    <cfRule type="colorScale" priority="12">
      <colorScale>
        <cfvo type="min"/>
        <cfvo type="percentile" val="50"/>
        <cfvo type="max"/>
        <color rgb="FFF8696B"/>
        <color rgb="FFFCFCFF"/>
        <color rgb="FF63BE7B"/>
      </colorScale>
    </cfRule>
  </conditionalFormatting>
  <conditionalFormatting sqref="B25:C26">
    <cfRule type="expression" dxfId="36" priority="4">
      <formula>#REF!="Owned"</formula>
    </cfRule>
  </conditionalFormatting>
  <conditionalFormatting sqref="C27:C32">
    <cfRule type="expression" dxfId="35" priority="1">
      <formula>#REF!="Owned"</formula>
    </cfRule>
  </conditionalFormatting>
  <dataValidations count="1">
    <dataValidation type="list" allowBlank="1" showInputMessage="1" showErrorMessage="1" sqref="E6" xr:uid="{DE141E82-9973-4487-962A-FBC821A6F216}">
      <formula1>"Yes, No"</formula1>
    </dataValidation>
  </dataValidations>
  <pageMargins left="0.7" right="0.7" top="0.75" bottom="0.75" header="0.3" footer="0.3"/>
  <pageSetup paperSize="9" orientation="portrait" r:id="rId1"/>
  <legacy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00217-BE6C-460A-A328-8791B30B9F63}">
  <dimension ref="A1:H134"/>
  <sheetViews>
    <sheetView topLeftCell="A2" zoomScale="85" zoomScaleNormal="85" workbookViewId="0">
      <selection activeCell="I103" sqref="I103"/>
    </sheetView>
  </sheetViews>
  <sheetFormatPr baseColWidth="10" defaultColWidth="11.5" defaultRowHeight="13"/>
  <cols>
    <col min="1" max="1" width="15.1640625" style="515" customWidth="1"/>
    <col min="2" max="2" width="14.6640625" style="516" customWidth="1"/>
    <col min="3" max="3" width="18.33203125" style="515" customWidth="1"/>
    <col min="4" max="4" width="24.1640625" style="515" customWidth="1"/>
    <col min="5" max="5" width="30" style="516" customWidth="1"/>
    <col min="6" max="6" width="14" style="515" customWidth="1"/>
    <col min="7" max="7" width="11.5" style="515"/>
    <col min="8" max="8" width="36.1640625" style="515" customWidth="1"/>
    <col min="9" max="16384" width="11.5" style="388"/>
  </cols>
  <sheetData>
    <row r="1" spans="1:8" ht="14" thickBot="1"/>
    <row r="2" spans="1:8" ht="36" thickTop="1" thickBot="1">
      <c r="A2" s="512" t="s">
        <v>292</v>
      </c>
      <c r="B2" s="513" t="s">
        <v>293</v>
      </c>
      <c r="C2" s="513" t="s">
        <v>294</v>
      </c>
      <c r="D2" s="512" t="s">
        <v>295</v>
      </c>
      <c r="E2" s="512" t="s">
        <v>297</v>
      </c>
      <c r="F2" s="512" t="s">
        <v>299</v>
      </c>
      <c r="G2" s="512" t="s">
        <v>314</v>
      </c>
      <c r="H2" s="512" t="s">
        <v>321</v>
      </c>
    </row>
    <row r="3" spans="1:8" ht="29" thickTop="1">
      <c r="A3" s="515" t="s">
        <v>2</v>
      </c>
      <c r="B3" s="516" t="str">
        <f>Germany!$T$4</f>
        <v>BU Germany (REHACARE)</v>
      </c>
      <c r="C3" s="515" t="str">
        <f>Germany!$T$17</f>
        <v>Germany</v>
      </c>
      <c r="D3" s="515" t="str">
        <f>Germany!$T$15</f>
        <v>Nürnberg</v>
      </c>
      <c r="E3" s="516" t="str">
        <f>Germany!$T$14</f>
        <v>Karl-Grillenberger-Str. 1</v>
      </c>
      <c r="F3" s="515" t="str">
        <f>Germany!$T$11</f>
        <v>DE22</v>
      </c>
      <c r="G3" s="520">
        <f>Germany!$T$40</f>
        <v>0</v>
      </c>
    </row>
    <row r="4" spans="1:8" ht="28">
      <c r="A4" s="515" t="s">
        <v>2</v>
      </c>
      <c r="B4" s="516" t="str">
        <f>Germany!$V$4</f>
        <v>BU Germany (REHACARE)</v>
      </c>
      <c r="C4" s="515" t="str">
        <f>Germany!$V$17</f>
        <v>Germany</v>
      </c>
      <c r="D4" s="515" t="str">
        <f>Germany!$V$15</f>
        <v>Pulsnitz</v>
      </c>
      <c r="E4" s="516" t="str">
        <f>Germany!$V$14</f>
        <v>Robert-Koch-Straße 9</v>
      </c>
      <c r="F4" s="515" t="str">
        <f>Germany!$V$11</f>
        <v>DE24</v>
      </c>
      <c r="G4" s="520">
        <f>Germany!$V$40</f>
        <v>0</v>
      </c>
    </row>
    <row r="5" spans="1:8" ht="28">
      <c r="A5" s="515" t="s">
        <v>2</v>
      </c>
      <c r="B5" s="516" t="str">
        <f>Germany!$Z$4</f>
        <v>BU Germany (REHACARE)</v>
      </c>
      <c r="C5" s="515" t="str">
        <f>Germany!$Z$17</f>
        <v>Germany</v>
      </c>
      <c r="D5" s="515" t="str">
        <f>Germany!$Z$15</f>
        <v>Weinheim</v>
      </c>
      <c r="E5" s="516" t="str">
        <f>Germany!$Z$14</f>
        <v>Hildastr. 10</v>
      </c>
      <c r="F5" s="515" t="str">
        <f>Germany!$Z$11</f>
        <v>DE27</v>
      </c>
      <c r="G5" s="520">
        <f>Germany!$Z$40</f>
        <v>0</v>
      </c>
    </row>
    <row r="6" spans="1:8" ht="28">
      <c r="A6" s="515" t="s">
        <v>2</v>
      </c>
      <c r="B6" s="516" t="str">
        <f>Germany!$X$4</f>
        <v>BU Germany (REHACARE)</v>
      </c>
      <c r="C6" s="515" t="str">
        <f>Germany!$X$17</f>
        <v>Germany</v>
      </c>
      <c r="D6" s="515" t="str">
        <f>Germany!$X$15</f>
        <v>Siegen</v>
      </c>
      <c r="E6" s="516" t="str">
        <f>Germany!$X$14</f>
        <v>Weidenauer Str. 167a</v>
      </c>
      <c r="F6" s="515" t="str">
        <f>Germany!$X$11</f>
        <v>DE25</v>
      </c>
      <c r="G6" s="520">
        <f>Germany!$X$40</f>
        <v>0</v>
      </c>
    </row>
    <row r="7" spans="1:8" ht="28">
      <c r="A7" s="515" t="s">
        <v>2</v>
      </c>
      <c r="B7" s="516" t="str">
        <f>Germany!$AA$4</f>
        <v>BU Germany (REHACARE)</v>
      </c>
      <c r="C7" s="515" t="str">
        <f>Germany!$AA$17</f>
        <v>Germany</v>
      </c>
      <c r="D7" s="515" t="str">
        <f>Germany!$AA$15</f>
        <v>Unna</v>
      </c>
      <c r="E7" s="516" t="str">
        <f>Germany!$AA$14</f>
        <v>Max-Planck-Str. 7</v>
      </c>
      <c r="F7" s="515" t="str">
        <f>Germany!$AA$11</f>
        <v>DE28</v>
      </c>
      <c r="G7" s="520">
        <f>Germany!$AA$40</f>
        <v>0</v>
      </c>
    </row>
    <row r="8" spans="1:8" ht="28">
      <c r="A8" s="515" t="s">
        <v>2</v>
      </c>
      <c r="B8" s="516" t="str">
        <f>Germany!$W$4</f>
        <v>BU Germany (AVS)</v>
      </c>
      <c r="C8" s="515" t="str">
        <f>Germany!$W$17</f>
        <v>Germany</v>
      </c>
      <c r="D8" s="515" t="str">
        <f>Germany!$W$15</f>
        <v>Rüsselsheim</v>
      </c>
      <c r="E8" s="516" t="str">
        <f>Germany!$W$14</f>
        <v>Ferdinand-Stuttmann-Str. 10</v>
      </c>
      <c r="F8" s="515" t="str">
        <f>Germany!$W$11</f>
        <v>DE09</v>
      </c>
      <c r="G8" s="520">
        <f>Germany!$W$40</f>
        <v>0</v>
      </c>
    </row>
    <row r="9" spans="1:8" ht="14">
      <c r="A9" s="515" t="s">
        <v>2</v>
      </c>
      <c r="B9" s="516" t="str">
        <f>Spain!$D$4</f>
        <v>BU Spain</v>
      </c>
      <c r="C9" s="515" t="str">
        <f>Spain!$D$17</f>
        <v>Spain</v>
      </c>
      <c r="D9" s="515" t="str">
        <f>Spain!$D$15</f>
        <v>Madrid</v>
      </c>
      <c r="E9" s="516" t="str">
        <f>Spain!$D$14</f>
        <v>Calle Ramirez de Arellano 35</v>
      </c>
      <c r="F9" s="531" t="str">
        <f>Spain!$D$11</f>
        <v>SP01</v>
      </c>
      <c r="G9" s="520">
        <f>Spain!$D$40</f>
        <v>46401</v>
      </c>
    </row>
    <row r="10" spans="1:8" ht="42">
      <c r="A10" s="515" t="s">
        <v>2</v>
      </c>
      <c r="B10" s="516" t="str">
        <f>Portugal!$D$4</f>
        <v>Portugal</v>
      </c>
      <c r="C10" s="515" t="str">
        <f>Portugal!$D$17</f>
        <v>Portugal</v>
      </c>
      <c r="D10" s="515">
        <f>Portugal!$D$15</f>
        <v>0</v>
      </c>
      <c r="E10" s="516" t="str">
        <f>Portugal!$D$14</f>
        <v>Edificio Miraflores Premium III, Rua Miguel Serrano, 7, pisos 4 e 5
1495-173 Algés</v>
      </c>
      <c r="F10" s="515" t="str">
        <f>Portugal!$D$11</f>
        <v>PT01</v>
      </c>
      <c r="G10" s="520">
        <f>Portugal!$D$40</f>
        <v>49613</v>
      </c>
    </row>
    <row r="11" spans="1:8" ht="28">
      <c r="A11" s="515" t="s">
        <v>2</v>
      </c>
      <c r="B11" s="516" t="str">
        <f>Germany!$N$4</f>
        <v>BU Germany (REHACARE)</v>
      </c>
      <c r="C11" s="515" t="str">
        <f>Germany!$N$17</f>
        <v>Germany</v>
      </c>
      <c r="D11" s="515" t="str">
        <f>Germany!$N$15</f>
        <v>Ludwigsburg</v>
      </c>
      <c r="E11" s="516" t="str">
        <f>Germany!$N$14</f>
        <v>Voithstr. 4</v>
      </c>
      <c r="F11" s="515" t="str">
        <f>Germany!$N$11</f>
        <v>DE18</v>
      </c>
      <c r="G11" s="520">
        <f>Germany!$N$40</f>
        <v>46112</v>
      </c>
    </row>
    <row r="12" spans="1:8" ht="14">
      <c r="A12" s="515" t="s">
        <v>2</v>
      </c>
      <c r="B12" s="516" t="str">
        <f>Spain!$F$4</f>
        <v>Multiasistencia</v>
      </c>
      <c r="C12" s="515" t="str">
        <f>Spain!$F$17</f>
        <v>Spain</v>
      </c>
      <c r="D12" s="515" t="str">
        <f>Spain!$F$15</f>
        <v>Barcelona</v>
      </c>
      <c r="E12" s="516" t="str">
        <f>Spain!$F$14</f>
        <v>Roger de Lluria, 50 : Locales A y B</v>
      </c>
      <c r="F12" s="515" t="str">
        <f>Spain!$F$11</f>
        <v>MA02</v>
      </c>
      <c r="G12" s="520">
        <f>Spain!$F$40</f>
        <v>46116</v>
      </c>
    </row>
    <row r="13" spans="1:8" ht="14">
      <c r="A13" s="515" t="s">
        <v>2</v>
      </c>
      <c r="B13" s="516" t="str">
        <f>Spain!$G$4</f>
        <v>Multiasistencia</v>
      </c>
      <c r="C13" s="515" t="str">
        <f>Spain!$G$17</f>
        <v>Spain</v>
      </c>
      <c r="D13" s="515" t="str">
        <f>Spain!$G$15</f>
        <v>Barcelona</v>
      </c>
      <c r="E13" s="516" t="str">
        <f>Spain!$G$14</f>
        <v>Roger de Lluria, 50 : Locales A y B</v>
      </c>
      <c r="F13" s="515" t="str">
        <f>Spain!$G$11</f>
        <v>MA02</v>
      </c>
      <c r="G13" s="520">
        <f>Spain!$G$40</f>
        <v>46116</v>
      </c>
    </row>
    <row r="14" spans="1:8" ht="14">
      <c r="A14" s="515" t="s">
        <v>2</v>
      </c>
      <c r="B14" s="516" t="str">
        <f>Germany!$AE$4</f>
        <v>Global Office</v>
      </c>
      <c r="C14" s="515" t="str">
        <f>Germany!$AE$17</f>
        <v>Germany</v>
      </c>
      <c r="D14" s="515" t="str">
        <f>Germany!$AE$15</f>
        <v>Munich</v>
      </c>
      <c r="E14" s="516" t="str">
        <f>Germany!$AE$14</f>
        <v>Atelierstrasse 14</v>
      </c>
      <c r="F14" s="515" t="str">
        <f>Germany!$AE$11</f>
        <v>DE29</v>
      </c>
      <c r="G14" s="520">
        <f>Germany!$AE$40</f>
        <v>46142</v>
      </c>
    </row>
    <row r="15" spans="1:8" ht="28">
      <c r="A15" s="515" t="s">
        <v>2</v>
      </c>
      <c r="B15" s="516" t="str">
        <f>Germany!$F$4</f>
        <v>BU Germany (AHS)</v>
      </c>
      <c r="C15" s="515" t="str">
        <f>Germany!$F$17</f>
        <v>Germany</v>
      </c>
      <c r="D15" s="515" t="str">
        <f>Germany!$F$15</f>
        <v>Berlin</v>
      </c>
      <c r="E15" s="516" t="str">
        <f>Germany!$F$14</f>
        <v>Albert-Einstein-Strasse 1a</v>
      </c>
      <c r="F15" s="515" t="str">
        <f>Germany!$F$11</f>
        <v>DE02</v>
      </c>
      <c r="G15" s="520">
        <f>Germany!$F$40</f>
        <v>46157</v>
      </c>
    </row>
    <row r="16" spans="1:8" ht="14">
      <c r="A16" s="515" t="s">
        <v>2</v>
      </c>
      <c r="B16" s="516" t="str">
        <f>France!$D$4</f>
        <v>BU France</v>
      </c>
      <c r="C16" s="515" t="str">
        <f>France!$G$17</f>
        <v>France</v>
      </c>
      <c r="D16" s="515" t="str">
        <f>France!$G$15</f>
        <v>Chatillon</v>
      </c>
      <c r="E16" s="516" t="str">
        <f>France!$G$14</f>
        <v>79-81 Rue Pierre Semard</v>
      </c>
      <c r="F16" s="515" t="str">
        <f>France!$G$11</f>
        <v>FR05</v>
      </c>
      <c r="G16" s="520">
        <f>France!$G$40</f>
        <v>46295</v>
      </c>
    </row>
    <row r="17" spans="1:7" ht="28">
      <c r="A17" s="515" t="s">
        <v>2</v>
      </c>
      <c r="B17" s="516" t="str">
        <f>Spain!$H$4</f>
        <v>Multiasistencia</v>
      </c>
      <c r="C17" s="515" t="str">
        <f>Spain!$H$17</f>
        <v>Spain</v>
      </c>
      <c r="D17" s="515" t="str">
        <f>Spain!$H$15</f>
        <v>Seville</v>
      </c>
      <c r="E17" s="516" t="str">
        <f>Spain!$H$14</f>
        <v>Avda.San Francisco Javier nº 15, planta 2ª modulos B y C</v>
      </c>
      <c r="F17" s="515" t="str">
        <f>Spain!$H$11</f>
        <v>MA03</v>
      </c>
      <c r="G17" s="520">
        <f>Spain!$H$40</f>
        <v>46310</v>
      </c>
    </row>
    <row r="18" spans="1:7" ht="28">
      <c r="A18" s="515" t="s">
        <v>2</v>
      </c>
      <c r="B18" s="516" t="str">
        <f>Spain!$I$4</f>
        <v>Multiasistencia</v>
      </c>
      <c r="C18" s="515" t="str">
        <f>Spain!$I$17</f>
        <v>Spain</v>
      </c>
      <c r="D18" s="515" t="str">
        <f>Spain!$I$15</f>
        <v>Seville</v>
      </c>
      <c r="E18" s="516" t="str">
        <f>Spain!$I$14</f>
        <v>Avda.San Francisco Javier nº 15, planta 2ª modulos B y C</v>
      </c>
      <c r="F18" s="515" t="str">
        <f>Spain!$I$11</f>
        <v>MA03</v>
      </c>
      <c r="G18" s="520">
        <f>Spain!$I$40</f>
        <v>46310</v>
      </c>
    </row>
    <row r="19" spans="1:7" ht="28">
      <c r="A19" s="515" t="s">
        <v>2</v>
      </c>
      <c r="B19" s="516" t="str">
        <f>Germany!$S$4</f>
        <v>BU Germany (MKS)</v>
      </c>
      <c r="C19" s="515" t="str">
        <f>Germany!$S$17</f>
        <v>Germany</v>
      </c>
      <c r="D19" s="515" t="str">
        <f>Germany!$S$15</f>
        <v>Nürnberg</v>
      </c>
      <c r="E19" s="516" t="str">
        <f>Germany!$S$14</f>
        <v>Deutschherrnstraße 15-19</v>
      </c>
      <c r="F19" s="515" t="str">
        <f>Germany!$S$11</f>
        <v>DE13</v>
      </c>
      <c r="G19" s="520">
        <f>Germany!$S$40</f>
        <v>46326</v>
      </c>
    </row>
    <row r="20" spans="1:7" ht="28">
      <c r="A20" s="515" t="s">
        <v>2</v>
      </c>
      <c r="B20" s="516" t="str">
        <f>Spain!$J$4</f>
        <v>Multiasistencia</v>
      </c>
      <c r="C20" s="515" t="str">
        <f>Spain!$J$17</f>
        <v>Spain</v>
      </c>
      <c r="D20" s="515" t="str">
        <f>Spain!$J$15</f>
        <v>Bilbao</v>
      </c>
      <c r="E20" s="516" t="str">
        <f>Spain!$J$14</f>
        <v>Calle Barroeta Aldamar 6, 2ªplanta mano DI - Bilbao</v>
      </c>
      <c r="F20" s="531" t="str">
        <f>Spain!$J$11</f>
        <v>MA04</v>
      </c>
      <c r="G20" s="520">
        <f>Spain!$J$40</f>
        <v>46341</v>
      </c>
    </row>
    <row r="21" spans="1:7" ht="28">
      <c r="A21" s="515" t="s">
        <v>2</v>
      </c>
      <c r="B21" s="516" t="str">
        <f>France!$D$4</f>
        <v>BU France</v>
      </c>
      <c r="C21" s="515" t="str">
        <f>France!$F$17</f>
        <v>France</v>
      </c>
      <c r="D21" s="515" t="str">
        <f>France!$F$15</f>
        <v>Saint Ouen</v>
      </c>
      <c r="E21" s="516" t="str">
        <f>France!$F$14</f>
        <v xml:space="preserve">151 Boulevard Victor Hugo
</v>
      </c>
      <c r="F21" s="515" t="str">
        <f>France!$F$11</f>
        <v>FR03</v>
      </c>
      <c r="G21" s="520">
        <f>France!$F$40</f>
        <v>46356</v>
      </c>
    </row>
    <row r="22" spans="1:7" ht="28">
      <c r="A22" s="515" t="s">
        <v>2</v>
      </c>
      <c r="B22" s="516" t="str">
        <f>Germany!$U$4</f>
        <v>BU Germany (MAWISTA)</v>
      </c>
      <c r="C22" s="515" t="str">
        <f>Germany!$U$17</f>
        <v>Germany</v>
      </c>
      <c r="D22" s="515" t="str">
        <f>Germany!$U$15</f>
        <v>Plochingen</v>
      </c>
      <c r="E22" s="516" t="str">
        <f>Germany!$U$14</f>
        <v>Esslinger Str. 83</v>
      </c>
      <c r="F22" s="515" t="str">
        <f>Germany!$U$11</f>
        <v>DE12</v>
      </c>
      <c r="G22" s="520">
        <f>Germany!$U$40</f>
        <v>46477</v>
      </c>
    </row>
    <row r="23" spans="1:7" ht="14">
      <c r="A23" s="515" t="s">
        <v>2</v>
      </c>
      <c r="B23" s="516" t="str">
        <f>Hungary!$D$4</f>
        <v>BU Austria</v>
      </c>
      <c r="C23" s="515" t="str">
        <f>Hungary!$D$17</f>
        <v>Hungary</v>
      </c>
      <c r="D23" s="515" t="str">
        <f>Hungary!$D$15</f>
        <v>Budapest</v>
      </c>
      <c r="E23" s="516" t="str">
        <f>Hungary!$D$14</f>
        <v>Könyves Kalman krt. 48-52</v>
      </c>
      <c r="F23" s="515" t="str">
        <f>Hungary!$D$11</f>
        <v>HU01</v>
      </c>
      <c r="G23" s="520">
        <f>Hungary!$D$40</f>
        <v>46477</v>
      </c>
    </row>
    <row r="24" spans="1:7" ht="42">
      <c r="A24" s="515" t="s">
        <v>2</v>
      </c>
      <c r="B24" s="516" t="str">
        <f>Turkey!$D$4</f>
        <v>BU Turkey</v>
      </c>
      <c r="C24" s="515" t="str">
        <f>Turkey!$D$17</f>
        <v>Turkey</v>
      </c>
      <c r="D24" s="515" t="str">
        <f>Turkey!$D$15</f>
        <v>Antalya</v>
      </c>
      <c r="E24" s="516" t="str">
        <f>Turkey!$D$14</f>
        <v xml:space="preserve">Uncalı Mahallesi Toroslar Cad. City Life-2 Sitesi N:76 E Blok Daire No:101 I </v>
      </c>
      <c r="F24" s="531" t="str">
        <f>Turkey!$D$11</f>
        <v>TR01</v>
      </c>
      <c r="G24" s="520">
        <f>Turkey!$D$40</f>
        <v>46539</v>
      </c>
    </row>
    <row r="25" spans="1:7" ht="28">
      <c r="A25" s="515" t="s">
        <v>2</v>
      </c>
      <c r="B25" s="516" t="str">
        <f>Turkey!$E$4</f>
        <v>BU Turkey</v>
      </c>
      <c r="C25" s="515" t="str">
        <f>Turkey!$D$17</f>
        <v>Turkey</v>
      </c>
      <c r="D25" s="515" t="str">
        <f>Turkey!$E$15</f>
        <v>Istanbul</v>
      </c>
      <c r="E25" s="516" t="str">
        <f>Turkey!$E$14</f>
        <v>Altunizade Mahallesi · Kısıklı Caddesi · No: 47 · 34662 Üsküdar</v>
      </c>
      <c r="F25" s="515" t="str">
        <f>Turkey!$E$11</f>
        <v>TR02</v>
      </c>
      <c r="G25" s="520">
        <f>Turkey!$E$40</f>
        <v>46539</v>
      </c>
    </row>
    <row r="26" spans="1:7" ht="28">
      <c r="A26" s="515" t="s">
        <v>2</v>
      </c>
      <c r="B26" s="516" t="str">
        <f>CzechRepublic!$D$4</f>
        <v>BU Czech Republic</v>
      </c>
      <c r="C26" s="515" t="str">
        <f>CzechRepublic!$D$17</f>
        <v>Czech Republic</v>
      </c>
      <c r="D26" s="515" t="str">
        <f>CzechRepublic!$D$15</f>
        <v>Prague</v>
      </c>
      <c r="E26" s="516" t="str">
        <f>CzechRepublic!$D$14</f>
        <v>Jankovcova 1596/14B</v>
      </c>
      <c r="F26" s="515" t="str">
        <f>CzechRepublic!$D$11</f>
        <v>CZ01</v>
      </c>
      <c r="G26" s="520">
        <f>CzechRepublic!$D$40</f>
        <v>46599</v>
      </c>
    </row>
    <row r="27" spans="1:7" ht="28">
      <c r="A27" s="515" t="s">
        <v>2</v>
      </c>
      <c r="B27" s="516" t="str">
        <f>UK!$E$4</f>
        <v>BU United Kingdom</v>
      </c>
      <c r="C27" s="515" t="str">
        <f>UK!$D$17</f>
        <v>United Kingdom</v>
      </c>
      <c r="D27" s="515" t="str">
        <f>UK!$E$15</f>
        <v>Birmingham</v>
      </c>
      <c r="E27" s="516" t="str">
        <f>UK!$E$14</f>
        <v>7 Hill Street, Centre City</v>
      </c>
      <c r="F27" s="515" t="str">
        <f>UK!$E$11</f>
        <v>UK02</v>
      </c>
      <c r="G27" s="520">
        <f>UK!$E$40</f>
        <v>46709</v>
      </c>
    </row>
    <row r="28" spans="1:7" ht="14">
      <c r="A28" s="515" t="s">
        <v>2</v>
      </c>
      <c r="B28" s="516" t="str">
        <f>Poland!$D$4</f>
        <v>BU Poland</v>
      </c>
      <c r="C28" s="515" t="str">
        <f>Poland!$D$17</f>
        <v>Poland</v>
      </c>
      <c r="D28" s="515" t="str">
        <f>Poland!$D$15</f>
        <v>Warsaw</v>
      </c>
      <c r="E28" s="516" t="str">
        <f>Poland!$D$14</f>
        <v>Konstruktorska 12</v>
      </c>
      <c r="F28" s="515" t="str">
        <f>Poland!$D$11</f>
        <v>PL01</v>
      </c>
      <c r="G28" s="520">
        <f>Poland!$D$40</f>
        <v>46721</v>
      </c>
    </row>
    <row r="29" spans="1:7" ht="14">
      <c r="A29" s="515" t="s">
        <v>2</v>
      </c>
      <c r="B29" s="516" t="str">
        <f>Greece!$F$4</f>
        <v>BU Greece</v>
      </c>
      <c r="C29" s="515" t="str">
        <f>Greece!$F$17</f>
        <v>Greece</v>
      </c>
      <c r="D29" s="515" t="str">
        <f>Greece!$F$15</f>
        <v>Thessaloniki</v>
      </c>
      <c r="E29" s="516" t="str">
        <f>Greece!$F$14</f>
        <v>17km Poligirou, Thermi</v>
      </c>
      <c r="F29" s="515" t="str">
        <f>Greece!$F$11</f>
        <v>GR03</v>
      </c>
      <c r="G29" s="520">
        <f>Greece!$F$40</f>
        <v>46752</v>
      </c>
    </row>
    <row r="30" spans="1:7" ht="14">
      <c r="A30" s="515" t="s">
        <v>2</v>
      </c>
      <c r="B30" s="516" t="str">
        <f>Greece!$D$4</f>
        <v>BU Greece</v>
      </c>
      <c r="C30" s="515" t="str">
        <f>Greece!$D$17</f>
        <v>Greece</v>
      </c>
      <c r="D30" s="515" t="str">
        <f>Greece!$D$15</f>
        <v>Athens</v>
      </c>
      <c r="E30" s="516" t="str">
        <f>Greece!$D$14</f>
        <v>10 Premetis Str.</v>
      </c>
      <c r="F30" s="515" t="str">
        <f>Greece!$D$11</f>
        <v>GR01</v>
      </c>
      <c r="G30" s="520">
        <f>Greece!$D$40</f>
        <v>46752</v>
      </c>
    </row>
    <row r="31" spans="1:7" ht="14">
      <c r="A31" s="515" t="s">
        <v>2</v>
      </c>
      <c r="B31" s="516" t="str">
        <f>Spain!$E$4</f>
        <v>Multiasistencia</v>
      </c>
      <c r="C31" s="515" t="str">
        <f>Spain!$D$17</f>
        <v>Spain</v>
      </c>
      <c r="D31" s="515" t="str">
        <f>Spain!$E$15</f>
        <v>Tres Cantos - Madrid</v>
      </c>
      <c r="E31" s="516" t="str">
        <f>Spain!$E$14</f>
        <v xml:space="preserve">Ronda de Poniente, 7 </v>
      </c>
      <c r="F31" s="515" t="str">
        <f>Spain!$E$11</f>
        <v>MA01</v>
      </c>
      <c r="G31" s="520">
        <f>Spain!$E$40</f>
        <v>46752</v>
      </c>
    </row>
    <row r="32" spans="1:7" ht="14">
      <c r="A32" s="515" t="s">
        <v>2</v>
      </c>
      <c r="B32" s="516" t="str">
        <f>Netherlands!$D$4</f>
        <v>Netherlands</v>
      </c>
      <c r="C32" s="515" t="str">
        <f>Netherlands!$D$17</f>
        <v>Netherlands</v>
      </c>
      <c r="D32" s="515" t="str">
        <f>Netherlands!$D$15</f>
        <v>Amsterdam</v>
      </c>
      <c r="E32" s="516" t="str">
        <f>Netherlands!$D$14</f>
        <v>Poeldijkstraat 4</v>
      </c>
      <c r="F32" s="515" t="str">
        <f>Netherlands!$D$11</f>
        <v>NL01</v>
      </c>
      <c r="G32" s="520">
        <f>Netherlands!$D$40</f>
        <v>46873</v>
      </c>
    </row>
    <row r="33" spans="1:7" ht="14">
      <c r="A33" s="515" t="s">
        <v>2</v>
      </c>
      <c r="B33" s="516" t="str">
        <f>France!$D$4</f>
        <v>BU France</v>
      </c>
      <c r="C33" s="515" t="str">
        <f>France!$H$17</f>
        <v>France</v>
      </c>
      <c r="D33" s="515" t="str">
        <f>France!$H$15</f>
        <v>Armentières</v>
      </c>
      <c r="E33" s="516" t="str">
        <f>France!$H$14</f>
        <v>85 Quai de Beauvais</v>
      </c>
      <c r="F33" s="515" t="str">
        <f>France!$H$11</f>
        <v>FR06</v>
      </c>
      <c r="G33" s="520">
        <f>France!$H$40</f>
        <v>47026</v>
      </c>
    </row>
    <row r="34" spans="1:7" ht="14">
      <c r="A34" s="515" t="s">
        <v>2</v>
      </c>
      <c r="B34" s="516" t="str">
        <f>LaReunion!$D$4</f>
        <v>BU Reunion</v>
      </c>
      <c r="C34" s="515" t="str">
        <f>LaReunion!$D$17</f>
        <v>France</v>
      </c>
      <c r="D34" s="515" t="str">
        <f>LaReunion!$D$15</f>
        <v>Sainte-Marie, 
La Réserve</v>
      </c>
      <c r="E34" s="516" t="str">
        <f>LaReunion!$D$14</f>
        <v>32 rue du Général de Gaulle</v>
      </c>
      <c r="F34" s="515" t="str">
        <f>LaReunion!$D$11</f>
        <v>FR04</v>
      </c>
      <c r="G34" s="520">
        <f>LaReunion!$D$40</f>
        <v>47118</v>
      </c>
    </row>
    <row r="35" spans="1:7" ht="28">
      <c r="A35" s="515" t="s">
        <v>2</v>
      </c>
      <c r="B35" s="516" t="str">
        <f>Germany!$R$4</f>
        <v>BU Germany (AHS)</v>
      </c>
      <c r="C35" s="515" t="str">
        <f>Germany!$R$17</f>
        <v>Germany</v>
      </c>
      <c r="D35" s="515" t="str">
        <f>Germany!$R$15</f>
        <v>Neustadt</v>
      </c>
      <c r="E35" s="516" t="str">
        <f>Germany!$R$14</f>
        <v>Maximilianstr. 5</v>
      </c>
      <c r="F35" s="515" t="str">
        <f>Germany!$R$11</f>
        <v>DE07</v>
      </c>
      <c r="G35" s="520">
        <f>Germany!$R$40</f>
        <v>47149</v>
      </c>
    </row>
    <row r="36" spans="1:7" ht="14">
      <c r="A36" s="515" t="s">
        <v>2</v>
      </c>
      <c r="B36" s="516" t="str">
        <f>France!$D$4</f>
        <v>BU France</v>
      </c>
      <c r="C36" s="515" t="str">
        <f>France!$D$17</f>
        <v>France</v>
      </c>
      <c r="D36" s="515" t="str">
        <f>France!$E$15</f>
        <v>Le Mans</v>
      </c>
      <c r="E36" s="516" t="str">
        <f>France!$E$14</f>
        <v>Chemin aux bœuf &amp; les Hunaudières</v>
      </c>
      <c r="F36" s="515" t="str">
        <f>France!$E$11</f>
        <v>FR02</v>
      </c>
      <c r="G36" s="520">
        <f>France!$E$40</f>
        <v>47177</v>
      </c>
    </row>
    <row r="37" spans="1:7" ht="28">
      <c r="A37" s="515" t="s">
        <v>2</v>
      </c>
      <c r="B37" s="516" t="str">
        <f>Germany!$M$4</f>
        <v>BU Germany (AHS)</v>
      </c>
      <c r="C37" s="515" t="str">
        <f>Germany!$M$17</f>
        <v>Germany</v>
      </c>
      <c r="D37" s="515" t="str">
        <f>Germany!$M$15</f>
        <v>Leipzig</v>
      </c>
      <c r="E37" s="516" t="str">
        <f>Germany!$M$14</f>
        <v>Springerstrasse 25</v>
      </c>
      <c r="F37" s="515" t="str">
        <f>Germany!$M$11</f>
        <v>DE06</v>
      </c>
      <c r="G37" s="520">
        <f>Germany!$M$40</f>
        <v>47452</v>
      </c>
    </row>
    <row r="38" spans="1:7" ht="14">
      <c r="A38" s="515" t="s">
        <v>2</v>
      </c>
      <c r="B38" s="516" t="str">
        <f>Poland!$E$4</f>
        <v>BU Poland</v>
      </c>
      <c r="C38" s="515" t="str">
        <f>Poland!$E$17</f>
        <v>Poland</v>
      </c>
      <c r="D38" s="515" t="str">
        <f>Poland!$E$15</f>
        <v>Toruń</v>
      </c>
      <c r="E38" s="516" t="str">
        <f>Poland!$E$14</f>
        <v>ulica Tadeusza Kościuszki 71</v>
      </c>
      <c r="F38" s="515" t="str">
        <f>Poland!$E$11</f>
        <v>PL02</v>
      </c>
      <c r="G38" s="520">
        <f>Poland!$E$40</f>
        <v>47483</v>
      </c>
    </row>
    <row r="39" spans="1:7" ht="42">
      <c r="A39" s="515" t="s">
        <v>2</v>
      </c>
      <c r="B39" s="516" t="str">
        <f>Romania!$D$4</f>
        <v>BU Austria</v>
      </c>
      <c r="C39" s="515" t="str">
        <f>Romania!$D$17</f>
        <v>Romania</v>
      </c>
      <c r="D39" s="515" t="str">
        <f>Romania!$D$15</f>
        <v>Bucharest</v>
      </c>
      <c r="E39" s="516" t="str">
        <f>Romania!$D$14</f>
        <v>Globalworth Campus, C Building · 2-4, Ing. George Constantinescu 
11th floor, 2nd District</v>
      </c>
      <c r="F39" s="531" t="str">
        <f>Romania!$D$11</f>
        <v>RO01</v>
      </c>
      <c r="G39" s="520">
        <f>Romania!$D$40</f>
        <v>47483</v>
      </c>
    </row>
    <row r="40" spans="1:7" ht="42">
      <c r="A40" s="515" t="s">
        <v>2</v>
      </c>
      <c r="B40" s="516" t="str">
        <f>Switzerland!$D$4</f>
        <v>BU Switzerland</v>
      </c>
      <c r="C40" s="515" t="str">
        <f>Switzerland!$D$17</f>
        <v>Switzerland</v>
      </c>
      <c r="D40" s="515" t="str">
        <f>Switzerland!$D$15</f>
        <v xml:space="preserve">Wallisellen </v>
      </c>
      <c r="E40" s="516" t="str">
        <f>Switzerland!$D$14</f>
        <v>Richtiplatz 1, 
8304 Wallisellen
Switzerland</v>
      </c>
      <c r="F40" s="531" t="str">
        <f>Switzerland!$D$11</f>
        <v>CH01</v>
      </c>
      <c r="G40" s="520">
        <f>Switzerland!$D$40</f>
        <v>47483</v>
      </c>
    </row>
    <row r="41" spans="1:7" ht="14">
      <c r="A41" s="515" t="s">
        <v>2</v>
      </c>
      <c r="B41" s="516" t="str">
        <f>Austria!$D$4</f>
        <v>BU Austria</v>
      </c>
      <c r="C41" s="515" t="str">
        <f>Austria!$D$17</f>
        <v>Austria</v>
      </c>
      <c r="D41" s="515" t="str">
        <f>Austria!$D$15</f>
        <v>Vienna</v>
      </c>
      <c r="E41" s="516" t="str">
        <f>Austria!$D$14</f>
        <v>Linzer Strasse 225</v>
      </c>
      <c r="F41" s="515" t="str">
        <f>Austria!$D$11</f>
        <v>AT01</v>
      </c>
      <c r="G41" s="520">
        <f>Austria!$D$40</f>
        <v>47635</v>
      </c>
    </row>
    <row r="42" spans="1:7" ht="14">
      <c r="A42" s="515" t="s">
        <v>2</v>
      </c>
      <c r="B42" s="516" t="str">
        <f>Italy!$E$4</f>
        <v>BU Italy</v>
      </c>
      <c r="C42" s="515" t="str">
        <f>Italy!$E$17</f>
        <v>Italy</v>
      </c>
      <c r="D42" s="515" t="str">
        <f>Italy!$E$15</f>
        <v>Casarano (LE)</v>
      </c>
      <c r="E42" s="516" t="str">
        <f>Italy!$E$14</f>
        <v>Z.I. Tronco I</v>
      </c>
      <c r="F42" s="515" t="str">
        <f>Italy!$E$11</f>
        <v>IT02</v>
      </c>
      <c r="G42" s="520">
        <f>Italy!$E$40</f>
        <v>47848</v>
      </c>
    </row>
    <row r="43" spans="1:7" ht="14">
      <c r="A43" s="515" t="s">
        <v>2</v>
      </c>
      <c r="B43" s="516" t="str">
        <f>Bulgaria!$D$4</f>
        <v>BU Austria</v>
      </c>
      <c r="C43" s="515" t="str">
        <f>Bulgaria!$D$17</f>
        <v>Bulgaria</v>
      </c>
      <c r="D43" s="515" t="str">
        <f>Bulgaria!$D$15</f>
        <v>Sofia</v>
      </c>
      <c r="E43" s="516" t="str">
        <f>Bulgaria!$D$14</f>
        <v>16 Srebarna Str.</v>
      </c>
      <c r="F43" s="515" t="str">
        <f>Bulgaria!$D$11</f>
        <v>BU01</v>
      </c>
      <c r="G43" s="520">
        <f>Bulgaria!$D$40</f>
        <v>48029</v>
      </c>
    </row>
    <row r="44" spans="1:7" ht="28">
      <c r="A44" s="515" t="s">
        <v>2</v>
      </c>
      <c r="B44" s="516" t="str">
        <f>UK!$D$4</f>
        <v>BU United Kingdom</v>
      </c>
      <c r="C44" s="515" t="str">
        <f>UK!$D$17</f>
        <v>United Kingdom</v>
      </c>
      <c r="D44" s="515" t="str">
        <f>UK!$D$15</f>
        <v>Croydon</v>
      </c>
      <c r="E44" s="516" t="str">
        <f>UK!$D$14</f>
        <v>102 George Street</v>
      </c>
      <c r="F44" s="531" t="str">
        <f>UK!$D$11</f>
        <v>UK01</v>
      </c>
      <c r="G44" s="520">
        <f>UK!$D$40</f>
        <v>48165</v>
      </c>
    </row>
    <row r="45" spans="1:7" ht="14">
      <c r="A45" s="515" t="s">
        <v>2</v>
      </c>
      <c r="B45" s="516" t="str">
        <f>LaReunion!$F$4</f>
        <v>BU Reunion</v>
      </c>
      <c r="C45" s="515" t="str">
        <f>LaReunion!$F$17</f>
        <v>France</v>
      </c>
      <c r="D45" s="515" t="str">
        <f>LaReunion!$F$15</f>
        <v>Sainte-Marie, 
La Réserve</v>
      </c>
      <c r="E45" s="516" t="str">
        <f>LaReunion!$F$14</f>
        <v>32 rue du Général de Gaulle</v>
      </c>
      <c r="F45" s="515" t="str">
        <f>LaReunion!$F$11</f>
        <v>FR04</v>
      </c>
      <c r="G45" s="520">
        <f>LaReunion!$F$40</f>
        <v>48273</v>
      </c>
    </row>
    <row r="46" spans="1:7" ht="14">
      <c r="A46" s="515" t="s">
        <v>2</v>
      </c>
      <c r="B46" s="516" t="str">
        <f>LaReunion!$E$4</f>
        <v>BU Reunion</v>
      </c>
      <c r="C46" s="515" t="str">
        <f>LaReunion!$E$17</f>
        <v>France</v>
      </c>
      <c r="D46" s="515" t="str">
        <f>LaReunion!$E$15</f>
        <v>Sainte-Marie, 
La Réserve</v>
      </c>
      <c r="E46" s="516" t="str">
        <f>LaReunion!$E$14</f>
        <v>32 rue du Général de Gaulle</v>
      </c>
      <c r="F46" s="515" t="str">
        <f>LaReunion!$E$11</f>
        <v>FR04</v>
      </c>
      <c r="G46" s="520">
        <f>LaReunion!$E$40</f>
        <v>48518</v>
      </c>
    </row>
    <row r="47" spans="1:7" ht="14">
      <c r="A47" s="515" t="s">
        <v>2</v>
      </c>
      <c r="B47" s="516" t="str">
        <f>LaReunion!$G$4</f>
        <v>BU Reunion</v>
      </c>
      <c r="C47" s="515" t="str">
        <f>LaReunion!$G$17</f>
        <v>France</v>
      </c>
      <c r="D47" s="515" t="str">
        <f>LaReunion!$G$15</f>
        <v>Sainte-Marie, 
La Réserve</v>
      </c>
      <c r="E47" s="516" t="str">
        <f>LaReunion!$G$14</f>
        <v>32 rue du Général de Gaulle</v>
      </c>
      <c r="F47" s="515" t="str">
        <f>LaReunion!$G$11</f>
        <v>FR04</v>
      </c>
      <c r="G47" s="520">
        <f>LaReunion!$G$40</f>
        <v>48673</v>
      </c>
    </row>
    <row r="48" spans="1:7" ht="28">
      <c r="A48" s="515" t="s">
        <v>2</v>
      </c>
      <c r="B48" s="516" t="str">
        <f>Germany!$AC$4</f>
        <v>Allianz Global Benefits</v>
      </c>
      <c r="C48" s="515" t="str">
        <f>Germany!$AC$17</f>
        <v>Germany</v>
      </c>
      <c r="D48" s="515" t="str">
        <f>Germany!$AC$15</f>
        <v>Munich</v>
      </c>
      <c r="E48" s="516" t="str">
        <f>Germany!$AC$14</f>
        <v>Seidlstrasse 24-24a</v>
      </c>
      <c r="F48" s="515" t="str">
        <f>Germany!$AC$11</f>
        <v>AGB01</v>
      </c>
      <c r="G48" s="520">
        <f>Germany!$AC$40</f>
        <v>48913</v>
      </c>
    </row>
    <row r="49" spans="1:7" ht="14">
      <c r="A49" s="515" t="s">
        <v>2</v>
      </c>
      <c r="B49" s="516" t="str">
        <f>Italy!$F$4</f>
        <v>BU Italy</v>
      </c>
      <c r="C49" s="515" t="str">
        <f>Italy!$F$17</f>
        <v>Italy</v>
      </c>
      <c r="D49" s="515" t="str">
        <f>Italy!$F$15</f>
        <v>Villanova Castenaso (BO)</v>
      </c>
      <c r="E49" s="516" t="str">
        <f>Italy!$F$14</f>
        <v>Largo Pederzana, 16</v>
      </c>
      <c r="F49" s="515" t="str">
        <f>Italy!$F$11</f>
        <v>IT03</v>
      </c>
      <c r="G49" s="520">
        <f>Italy!$F$40</f>
        <v>49003</v>
      </c>
    </row>
    <row r="50" spans="1:7" ht="14">
      <c r="A50" s="515" t="s">
        <v>2</v>
      </c>
      <c r="B50" s="516" t="str">
        <f>France!$D$4</f>
        <v>BU France</v>
      </c>
      <c r="C50" s="515" t="str">
        <f>France!$D$17</f>
        <v>France</v>
      </c>
      <c r="D50" s="515" t="str">
        <f>France!$D$15</f>
        <v>Saint Ouen</v>
      </c>
      <c r="E50" s="516" t="str">
        <f>France!$D$14</f>
        <v xml:space="preserve">7 rue Dora Maar </v>
      </c>
      <c r="F50" s="515" t="str">
        <f>France!$D$11</f>
        <v>FR01</v>
      </c>
      <c r="G50" s="520">
        <f>France!$D$40</f>
        <v>49064</v>
      </c>
    </row>
    <row r="51" spans="1:7" ht="28">
      <c r="A51" s="515" t="s">
        <v>2</v>
      </c>
      <c r="B51" s="516" t="str">
        <f>France!$I$4</f>
        <v>Global Office</v>
      </c>
      <c r="C51" s="515" t="str">
        <f>France!$I$17</f>
        <v>France</v>
      </c>
      <c r="D51" s="515" t="str">
        <f>France!$I$15</f>
        <v>Saint Ouen</v>
      </c>
      <c r="E51" s="516" t="str">
        <f>France!$I$14</f>
        <v xml:space="preserve">7rue Dora Maar
</v>
      </c>
      <c r="F51" s="515" t="str">
        <f>France!$I$11</f>
        <v>FR01</v>
      </c>
      <c r="G51" s="520">
        <f>France!$I$40</f>
        <v>49064</v>
      </c>
    </row>
    <row r="52" spans="1:7" ht="14">
      <c r="A52" s="515" t="s">
        <v>2</v>
      </c>
      <c r="B52" s="516" t="str">
        <f>Italy!$D$4</f>
        <v>BU Italy</v>
      </c>
      <c r="C52" s="515" t="str">
        <f>Italy!$D$17</f>
        <v>Italy</v>
      </c>
      <c r="D52" s="515" t="str">
        <f>Italy!$D$15</f>
        <v>Milano (MI)</v>
      </c>
      <c r="E52" s="516" t="str">
        <f>Italy!$D$14</f>
        <v>Via Oglio, 12</v>
      </c>
      <c r="F52" s="515" t="str">
        <f>Italy!$D$11</f>
        <v>IT01</v>
      </c>
      <c r="G52" s="520">
        <f>Italy!$D$40</f>
        <v>50585</v>
      </c>
    </row>
    <row r="53" spans="1:7" ht="28">
      <c r="A53" s="515" t="s">
        <v>2</v>
      </c>
      <c r="B53" s="516" t="str">
        <f>UK!$F$4</f>
        <v>BU United Kingdom</v>
      </c>
      <c r="C53" s="515" t="str">
        <f>UK!$F$17</f>
        <v>England</v>
      </c>
      <c r="D53" s="515" t="str">
        <f>UK!$F$15</f>
        <v>London</v>
      </c>
      <c r="E53" s="516" t="str">
        <f>UK!$F$14</f>
        <v>15 Bishopsgate, London, EC2</v>
      </c>
      <c r="F53" s="515">
        <f>UK!$F$11</f>
        <v>0</v>
      </c>
      <c r="G53" s="520" t="str">
        <f>UK!$F$40</f>
        <v>1 year approval</v>
      </c>
    </row>
    <row r="54" spans="1:7" ht="28">
      <c r="A54" s="515" t="s">
        <v>2</v>
      </c>
      <c r="B54" s="516" t="str">
        <f>CzechRepublic!$D$4</f>
        <v>BU Czech Republic</v>
      </c>
      <c r="C54" s="515" t="str">
        <f>CzechRepublic!$D$17</f>
        <v>Czech Republic</v>
      </c>
      <c r="D54" s="515" t="str">
        <f>CzechRepublic!$E$15</f>
        <v>Bratislava</v>
      </c>
      <c r="E54" s="516" t="str">
        <f>CzechRepublic!$E$14</f>
        <v>Čajakova 18</v>
      </c>
      <c r="F54" s="515" t="str">
        <f>CzechRepublic!$E$11</f>
        <v>CZ02</v>
      </c>
      <c r="G54" s="515" t="str">
        <f>CzechRepublic!$E$40</f>
        <v>Indefinite</v>
      </c>
    </row>
    <row r="55" spans="1:7" ht="28">
      <c r="A55" s="515" t="s">
        <v>2</v>
      </c>
      <c r="B55" s="516" t="str">
        <f>Germany!$AD$4</f>
        <v>Allianz Global Benefits</v>
      </c>
      <c r="C55" s="515" t="str">
        <f>Germany!$AD$17</f>
        <v>Germany</v>
      </c>
      <c r="D55" s="515" t="str">
        <f>Germany!$AD$15</f>
        <v>Stuttgart</v>
      </c>
      <c r="E55" s="516" t="str">
        <f>Germany!$AD$14</f>
        <v>Uhlandstrasse 2</v>
      </c>
      <c r="F55" s="515" t="str">
        <f>Germany!$AD$11</f>
        <v>AGB02</v>
      </c>
      <c r="G55" s="520" t="str">
        <f>Germany!$AD$40</f>
        <v>indefinite</v>
      </c>
    </row>
    <row r="56" spans="1:7" ht="14">
      <c r="A56" s="515" t="s">
        <v>2</v>
      </c>
      <c r="B56" s="516" t="str">
        <f>Greece!$G$4</f>
        <v>BU Greece</v>
      </c>
      <c r="C56" s="515" t="str">
        <f>Greece!$G$17</f>
        <v>Greece</v>
      </c>
      <c r="D56" s="515" t="str">
        <f>Greece!$G$15</f>
        <v>Athens</v>
      </c>
      <c r="E56" s="516" t="str">
        <f>Greece!$G$14</f>
        <v>370 Vouliagmenis Av</v>
      </c>
      <c r="F56" s="515" t="str">
        <f>Greece!$G$11</f>
        <v>GR04</v>
      </c>
      <c r="G56" s="520" t="str">
        <f>Greece!$G$40</f>
        <v>indefinite</v>
      </c>
    </row>
    <row r="57" spans="1:7" ht="14">
      <c r="A57" s="515" t="s">
        <v>2</v>
      </c>
      <c r="B57" s="516" t="str">
        <f>Greece!$E$4</f>
        <v>BU Greece</v>
      </c>
      <c r="C57" s="515" t="str">
        <f>Greece!$E$17</f>
        <v>Greece</v>
      </c>
      <c r="D57" s="515" t="str">
        <f>Greece!$E$15</f>
        <v>Athens</v>
      </c>
      <c r="E57" s="516" t="str">
        <f>Greece!$E$14</f>
        <v>3 Premetis Str.</v>
      </c>
      <c r="F57" s="515" t="str">
        <f>Greece!$E$11</f>
        <v>GR02</v>
      </c>
      <c r="G57" s="520" t="str">
        <f>Greece!$E$40</f>
        <v>indefinite</v>
      </c>
    </row>
    <row r="58" spans="1:7" ht="28">
      <c r="A58" s="515" t="s">
        <v>2</v>
      </c>
      <c r="B58" s="516" t="str">
        <f>Germany!$Q$4</f>
        <v>BU Germany (REHACARE)</v>
      </c>
      <c r="C58" s="515" t="str">
        <f>Germany!$Q$17</f>
        <v>Germany</v>
      </c>
      <c r="D58" s="515" t="str">
        <f>Germany!$Q$15</f>
        <v>München</v>
      </c>
      <c r="E58" s="516" t="str">
        <f>Germany!$Q$14</f>
        <v>Kapuzinerstraße 9D</v>
      </c>
      <c r="F58" s="515" t="str">
        <f>Germany!$Q$11</f>
        <v>DE21</v>
      </c>
      <c r="G58" s="520" t="str">
        <f>Germany!$Q$40</f>
        <v>undetermined</v>
      </c>
    </row>
    <row r="59" spans="1:7" ht="28">
      <c r="A59" s="515" t="s">
        <v>2</v>
      </c>
      <c r="B59" s="516" t="str">
        <f>Germany!$O$4</f>
        <v>BU Germany (REHACARE)</v>
      </c>
      <c r="C59" s="515" t="str">
        <f>Germany!$O$17</f>
        <v>Germany</v>
      </c>
      <c r="D59" s="515" t="str">
        <f>Germany!$O$15</f>
        <v>Magdeburg</v>
      </c>
      <c r="E59" s="516" t="str">
        <f>Germany!$O$14</f>
        <v>Otto-von-Guericke-Straße 87a</v>
      </c>
      <c r="F59" s="515" t="str">
        <f>Germany!$O$11</f>
        <v>DE19</v>
      </c>
      <c r="G59" s="520" t="str">
        <f>Germany!$O$40</f>
        <v>undetermined</v>
      </c>
    </row>
    <row r="60" spans="1:7" ht="28">
      <c r="A60" s="515" t="s">
        <v>2</v>
      </c>
      <c r="B60" s="516" t="str">
        <f>Germany!$G$4</f>
        <v>BU Germany (REHACARE)</v>
      </c>
      <c r="C60" s="515" t="str">
        <f>Germany!$G$17</f>
        <v>Germany</v>
      </c>
      <c r="D60" s="515" t="str">
        <f>Germany!$G$15</f>
        <v>Bad Vilbel</v>
      </c>
      <c r="E60" s="516" t="str">
        <f>Germany!$G$14</f>
        <v>Frankfurter Str. 40</v>
      </c>
      <c r="F60" s="515" t="str">
        <f>Germany!$G$11</f>
        <v>DE14</v>
      </c>
      <c r="G60" s="520" t="str">
        <f>Germany!$G$40</f>
        <v>undetermined</v>
      </c>
    </row>
    <row r="61" spans="1:7" ht="28">
      <c r="A61" s="515" t="s">
        <v>2</v>
      </c>
      <c r="B61" s="516" t="str">
        <f>Germany!$K$4</f>
        <v>BU Germany (REHACARE)</v>
      </c>
      <c r="C61" s="515" t="str">
        <f>Germany!$K$17</f>
        <v>Germany</v>
      </c>
      <c r="D61" s="515" t="str">
        <f>Germany!$K$15</f>
        <v>Hamburg</v>
      </c>
      <c r="E61" s="516" t="str">
        <f>Germany!$K$14</f>
        <v>Stormsweg 3</v>
      </c>
      <c r="F61" s="515" t="str">
        <f>Germany!$K$11</f>
        <v>DE16</v>
      </c>
      <c r="G61" s="520" t="str">
        <f>Germany!$K$40</f>
        <v>undetermined</v>
      </c>
    </row>
    <row r="62" spans="1:7" ht="28">
      <c r="A62" s="515" t="s">
        <v>2</v>
      </c>
      <c r="B62" s="516" t="str">
        <f>Germany!$L$4</f>
        <v>BU Germany (REHACARE)</v>
      </c>
      <c r="C62" s="515" t="str">
        <f>Germany!$L$17</f>
        <v>Germany</v>
      </c>
      <c r="D62" s="515" t="str">
        <f>Germany!$L$15</f>
        <v>Jena</v>
      </c>
      <c r="E62" s="516" t="str">
        <f>Germany!$L$14</f>
        <v>Dornburger Str. 161</v>
      </c>
      <c r="F62" s="515" t="str">
        <f>Germany!$L$11</f>
        <v>DE17</v>
      </c>
      <c r="G62" s="520" t="str">
        <f>Germany!$L$40</f>
        <v>undetermined</v>
      </c>
    </row>
    <row r="63" spans="1:7" ht="28">
      <c r="A63" s="515" t="s">
        <v>2</v>
      </c>
      <c r="B63" s="516" t="str">
        <f>Germany!$P$4</f>
        <v>BU Germany (REHACARE)</v>
      </c>
      <c r="C63" s="515" t="str">
        <f>Germany!$P$17</f>
        <v>Germany</v>
      </c>
      <c r="D63" s="515" t="str">
        <f>Germany!$P$15</f>
        <v>Meisenheim</v>
      </c>
      <c r="E63" s="516" t="str">
        <f>Germany!$P$14</f>
        <v>Marktgasse 7b</v>
      </c>
      <c r="F63" s="515" t="str">
        <f>Germany!$P$11</f>
        <v>DE20</v>
      </c>
      <c r="G63" s="520" t="str">
        <f>Germany!$P$40</f>
        <v>undetermined</v>
      </c>
    </row>
    <row r="64" spans="1:7" ht="28">
      <c r="A64" s="515" t="s">
        <v>2</v>
      </c>
      <c r="B64" s="516" t="str">
        <f>Germany!$J$4</f>
        <v>BU Germany (AHS)</v>
      </c>
      <c r="C64" s="515" t="str">
        <f>Germany!$J$17</f>
        <v>Germany</v>
      </c>
      <c r="D64" s="515" t="str">
        <f>Germany!$J$15</f>
        <v>Hamburg</v>
      </c>
      <c r="E64" s="516" t="str">
        <f>Germany!$J$14</f>
        <v>Kapstadtring 2</v>
      </c>
      <c r="F64" s="515" t="str">
        <f>Germany!$J$11</f>
        <v>DE05</v>
      </c>
      <c r="G64" s="520" t="str">
        <f>Germany!$J$40</f>
        <v>undetermined</v>
      </c>
    </row>
    <row r="65" spans="1:7" ht="28">
      <c r="A65" s="515" t="s">
        <v>2</v>
      </c>
      <c r="B65" s="516" t="str">
        <f>Germany!$Y$4</f>
        <v>BU Germany (AHS)</v>
      </c>
      <c r="C65" s="515" t="str">
        <f>Germany!$Y$17</f>
        <v>Germany</v>
      </c>
      <c r="D65" s="515" t="str">
        <f>Germany!$Y$15</f>
        <v>Stuttgart</v>
      </c>
      <c r="E65" s="516" t="str">
        <f>Germany!$Y$14</f>
        <v>Heßbrühlstraße 2</v>
      </c>
      <c r="F65" s="515" t="str">
        <f>Germany!$Y$11</f>
        <v>DE08</v>
      </c>
      <c r="G65" s="520" t="str">
        <f>Germany!$Y$40</f>
        <v>undetermined</v>
      </c>
    </row>
    <row r="66" spans="1:7" ht="28">
      <c r="A66" s="515" t="s">
        <v>2</v>
      </c>
      <c r="B66" s="516" t="str">
        <f>Germany!$AB$4</f>
        <v>BU Germany (AZ Warranty)</v>
      </c>
      <c r="C66" s="515" t="str">
        <f>Germany!$AB$17</f>
        <v>Germany</v>
      </c>
      <c r="D66" s="515" t="str">
        <f>Germany!$AB$15</f>
        <v>Unterföhring</v>
      </c>
      <c r="E66" s="516" t="str">
        <f>Germany!$AB$14</f>
        <v>Beta-Str. 13</v>
      </c>
      <c r="F66" s="515" t="str">
        <f>Germany!$AB$11</f>
        <v>DE10</v>
      </c>
      <c r="G66" s="520" t="str">
        <f>Germany!$AB$40</f>
        <v>undetermined</v>
      </c>
    </row>
    <row r="67" spans="1:7" ht="28">
      <c r="A67" s="515" t="s">
        <v>2</v>
      </c>
      <c r="B67" s="516" t="str">
        <f>Germany!$H$4</f>
        <v>BU Germany (AHS)</v>
      </c>
      <c r="C67" s="515" t="str">
        <f>Germany!$H$17</f>
        <v>Germany</v>
      </c>
      <c r="D67" s="515" t="str">
        <f>Germany!$H$15</f>
        <v>Düsseldorf</v>
      </c>
      <c r="E67" s="516" t="str">
        <f>Germany!$H$14</f>
        <v>Heltorfer Strasse 4</v>
      </c>
      <c r="F67" s="515" t="str">
        <f>Germany!$H$11</f>
        <v>DE03</v>
      </c>
      <c r="G67" s="520" t="str">
        <f>Germany!$H$40</f>
        <v>undetermined</v>
      </c>
    </row>
    <row r="68" spans="1:7" ht="28">
      <c r="A68" s="515" t="s">
        <v>2</v>
      </c>
      <c r="B68" s="516" t="str">
        <f>Germany!$I$4</f>
        <v>BU Germany (AHS)</v>
      </c>
      <c r="C68" s="515" t="str">
        <f>Germany!$I$17</f>
        <v>Germany</v>
      </c>
      <c r="D68" s="515" t="str">
        <f>Germany!$I$15</f>
        <v>Frankfurt</v>
      </c>
      <c r="E68" s="516" t="str">
        <f>Germany!$I$14</f>
        <v>Herriotstraße 1</v>
      </c>
      <c r="F68" s="515" t="str">
        <f>Germany!$I$11</f>
        <v>DE04</v>
      </c>
      <c r="G68" s="520" t="str">
        <f>Germany!$I$40</f>
        <v>undetermined</v>
      </c>
    </row>
    <row r="69" spans="1:7" ht="28">
      <c r="A69" s="515" t="s">
        <v>153</v>
      </c>
      <c r="B69" s="516" t="str">
        <f>Thailand!$E$4</f>
        <v>BU Thailand</v>
      </c>
      <c r="C69" s="515" t="str">
        <f>Thailand!$D$17</f>
        <v>Thailand</v>
      </c>
      <c r="D69" s="515" t="str">
        <f>Thailand!$E$15</f>
        <v>Bangkok</v>
      </c>
      <c r="E69" s="516" t="str">
        <f>Thailand!$E$14</f>
        <v>825 Bangna-Trad Road, Bangna, Bangna, Bangkok  10260</v>
      </c>
      <c r="F69" s="515" t="str">
        <f>Thailand!$E$11</f>
        <v>TH02</v>
      </c>
      <c r="G69" s="520">
        <f>Thailand!$E$40</f>
        <v>46248</v>
      </c>
    </row>
    <row r="70" spans="1:7" ht="14">
      <c r="A70" s="515" t="s">
        <v>153</v>
      </c>
      <c r="B70" s="516" t="str">
        <f>Japan!$E$4</f>
        <v>Japan</v>
      </c>
      <c r="C70" s="515" t="str">
        <f>Japan!$E$17</f>
        <v>Japan</v>
      </c>
      <c r="D70" s="515" t="str">
        <f>Japan!$E$15</f>
        <v>Kokurakita-ku, Kitakyushu</v>
      </c>
      <c r="E70" s="516" t="str">
        <f>Japan!$E$14</f>
        <v>2-3-20, Sakaimach</v>
      </c>
      <c r="F70" s="515" t="str">
        <f>Japan!$E$11</f>
        <v>JP02</v>
      </c>
      <c r="G70" s="520">
        <f>Japan!$E$40</f>
        <v>46081</v>
      </c>
    </row>
    <row r="71" spans="1:7" s="515" customFormat="1" ht="28">
      <c r="A71" s="515" t="s">
        <v>153</v>
      </c>
      <c r="B71" s="516" t="str">
        <f>India!$D$4</f>
        <v>BU India</v>
      </c>
      <c r="C71" s="515" t="str">
        <f>India!$D$17</f>
        <v>India</v>
      </c>
      <c r="D71" s="515" t="str">
        <f>India!$D$15</f>
        <v>Gurgaon, Haryana</v>
      </c>
      <c r="E71" s="516" t="str">
        <f>India!$D$14</f>
        <v xml:space="preserve"> DLF Square, M- Block, Jacaranda Marg, DLF City Phase-2</v>
      </c>
      <c r="F71" s="515" t="str">
        <f>India!$D$11</f>
        <v>IN01</v>
      </c>
      <c r="G71" s="520">
        <f>India!$D$40</f>
        <v>46326</v>
      </c>
    </row>
    <row r="72" spans="1:7" s="515" customFormat="1" ht="28">
      <c r="A72" s="515" t="s">
        <v>153</v>
      </c>
      <c r="B72" s="516" t="str">
        <f>China!$D$4</f>
        <v>BU China</v>
      </c>
      <c r="C72" s="515" t="str">
        <f>China!$D$17</f>
        <v>China</v>
      </c>
      <c r="D72" s="515" t="str">
        <f>China!$D$15</f>
        <v xml:space="preserve">Beijing </v>
      </c>
      <c r="E72" s="516" t="str">
        <f>China!$D$14</f>
        <v xml:space="preserve">Huitong Office Park, No.1 Yaojiayuan South Road,  Chaoyang </v>
      </c>
      <c r="F72" s="515" t="str">
        <f>China!$D$11</f>
        <v>CN01</v>
      </c>
      <c r="G72" s="520">
        <f>China!$D$40</f>
        <v>46396</v>
      </c>
    </row>
    <row r="73" spans="1:7" s="515" customFormat="1" ht="14">
      <c r="A73" s="515" t="s">
        <v>153</v>
      </c>
      <c r="B73" s="516" t="str">
        <f>Hongkong!$D$4</f>
        <v>BU Hongkong</v>
      </c>
      <c r="C73" s="515" t="str">
        <f>Hongkong!$D$17</f>
        <v>Hongkong, China</v>
      </c>
      <c r="D73" s="515" t="str">
        <f>Hongkong!$D$15</f>
        <v>Hongkong</v>
      </c>
      <c r="E73" s="516" t="str">
        <f>Hongkong!$D$14</f>
        <v>12 Taikoo Wan Road, Taikoo Shing</v>
      </c>
      <c r="F73" s="515" t="str">
        <f>Hongkong!$D$11</f>
        <v>HK01</v>
      </c>
      <c r="G73" s="520">
        <f>Hongkong!$D$40</f>
        <v>46491</v>
      </c>
    </row>
    <row r="74" spans="1:7" s="515" customFormat="1" ht="39" customHeight="1">
      <c r="A74" s="515" t="s">
        <v>153</v>
      </c>
      <c r="B74" s="516" t="str">
        <f>Australia!$D$4</f>
        <v>BU Australia</v>
      </c>
      <c r="C74" s="515" t="str">
        <f>Australia!$E$17</f>
        <v>Australia</v>
      </c>
      <c r="D74" s="515" t="str">
        <f>Australia!$E$15</f>
        <v>Brisbane</v>
      </c>
      <c r="E74" s="516" t="str">
        <f>Australia!$E$14</f>
        <v>310 Ann St</v>
      </c>
      <c r="F74" s="515" t="str">
        <f>Australia!$E$11</f>
        <v>AU01</v>
      </c>
      <c r="G74" s="520">
        <f>Australia!E40</f>
        <v>46568</v>
      </c>
    </row>
    <row r="75" spans="1:7" s="515" customFormat="1" ht="41" customHeight="1">
      <c r="A75" s="515" t="s">
        <v>153</v>
      </c>
      <c r="B75" s="516" t="str">
        <f>China!$D$4</f>
        <v>BU China</v>
      </c>
      <c r="C75" s="515" t="str">
        <f>China!$F$17</f>
        <v>China</v>
      </c>
      <c r="D75" s="515" t="str">
        <f>China!$F$15</f>
        <v xml:space="preserve">Shanghai </v>
      </c>
      <c r="E75" s="516" t="str">
        <f>China!$F$14</f>
        <v>Shanghai Tower, No.501 Yincheng Zhong Road, Pudong District</v>
      </c>
      <c r="F75" s="515" t="str">
        <f>China!$F$11</f>
        <v>CN03</v>
      </c>
      <c r="G75" s="520">
        <f>China!$F$40</f>
        <v>46644</v>
      </c>
    </row>
    <row r="76" spans="1:7" s="515" customFormat="1" ht="30" customHeight="1">
      <c r="A76" s="515" t="s">
        <v>153</v>
      </c>
      <c r="B76" s="516" t="str">
        <f>Japan!$D$4</f>
        <v>Japan</v>
      </c>
      <c r="C76" s="515" t="str">
        <f>Japan!$D$17</f>
        <v>Japan</v>
      </c>
      <c r="D76" s="515" t="str">
        <f>Japan!$D$15</f>
        <v>Shinagawa-ku, Tokyo</v>
      </c>
      <c r="E76" s="516" t="str">
        <f>Japan!$D$14</f>
        <v>4-12-8, Higashishinagawa</v>
      </c>
      <c r="F76" s="515" t="str">
        <f>Japan!$D$11</f>
        <v>JP01</v>
      </c>
      <c r="G76" s="520">
        <f>Japan!$D$40</f>
        <v>46660</v>
      </c>
    </row>
    <row r="77" spans="1:7" s="515" customFormat="1" ht="42">
      <c r="A77" s="515" t="s">
        <v>153</v>
      </c>
      <c r="B77" s="516" t="str">
        <f>Malaysia!$E$4</f>
        <v>BU Malaysia</v>
      </c>
      <c r="C77" s="515" t="str">
        <f>Malaysia!$E$17</f>
        <v>Malaysia</v>
      </c>
      <c r="D77" s="515" t="str">
        <f>Malaysia!$E$15</f>
        <v>Kuala Lumpur</v>
      </c>
      <c r="E77" s="516" t="str">
        <f>Malaysia!$E$14</f>
        <v>UOA Centre  ·  No. 19 Jalan Pinang, 50450 Kuala Lumpur  ·  Malaysia (2nd contract)</v>
      </c>
      <c r="F77" s="515" t="str">
        <f>Malaysia!$E$11</f>
        <v>MY01</v>
      </c>
      <c r="G77" s="520">
        <f>Malaysia!$E$40</f>
        <v>46752</v>
      </c>
    </row>
    <row r="78" spans="1:7" s="515" customFormat="1" ht="28">
      <c r="A78" s="515" t="s">
        <v>153</v>
      </c>
      <c r="B78" s="516" t="str">
        <f>Malaysia!$D$4</f>
        <v>BU Malaysia</v>
      </c>
      <c r="C78" s="515" t="str">
        <f>Malaysia!$D$17</f>
        <v>Malaysia</v>
      </c>
      <c r="D78" s="515" t="str">
        <f>Malaysia!$D$15</f>
        <v>Kuala Lumpur</v>
      </c>
      <c r="E78" s="516" t="str">
        <f>Malaysia!$D$14</f>
        <v>UOA Centre  ·  No. 19 Jalan Pinang, 50450 Kuala Lumpur  ·  Malaysia</v>
      </c>
      <c r="F78" s="531" t="str">
        <f>Malaysia!$D$11</f>
        <v>MY01</v>
      </c>
      <c r="G78" s="520">
        <f>Malaysia!$D$40</f>
        <v>46752</v>
      </c>
    </row>
    <row r="79" spans="1:7" s="515" customFormat="1" ht="28">
      <c r="A79" s="515" t="s">
        <v>153</v>
      </c>
      <c r="B79" s="516" t="str">
        <f>Singapore!$D$4</f>
        <v>BU Singapore</v>
      </c>
      <c r="C79" s="515" t="str">
        <f>Singapore!$D$17</f>
        <v>Singapore</v>
      </c>
      <c r="D79" s="515" t="str">
        <f>Singapore!$D$15</f>
        <v>Singapore</v>
      </c>
      <c r="E79" s="516" t="str">
        <f>Singapore!$D$14</f>
        <v>79 Robinson Road #09-01, Singapore 068897</v>
      </c>
      <c r="F79" s="515" t="str">
        <f>Singapore!$D$11</f>
        <v>SG01</v>
      </c>
      <c r="G79" s="520">
        <f>Singapore!$D$40</f>
        <v>46770</v>
      </c>
    </row>
    <row r="80" spans="1:7" s="515" customFormat="1" ht="28">
      <c r="A80" s="515" t="s">
        <v>153</v>
      </c>
      <c r="B80" s="516" t="str">
        <f>India!$E$4</f>
        <v>BU India</v>
      </c>
      <c r="C80" s="515" t="str">
        <f>India!$E$17</f>
        <v>India</v>
      </c>
      <c r="D80" s="515" t="str">
        <f>India!$E$15</f>
        <v>Gurgaon, Haryana</v>
      </c>
      <c r="E80" s="516" t="str">
        <f>India!$E$14</f>
        <v>Unit No. 601-620 And 701-724, Spaze Business Park, Sec - 66</v>
      </c>
      <c r="F80" s="515" t="str">
        <f>India!$E$11</f>
        <v>IN02</v>
      </c>
      <c r="G80" s="520">
        <f>India!$E$40</f>
        <v>46796</v>
      </c>
    </row>
    <row r="81" spans="1:7" s="515" customFormat="1" ht="42">
      <c r="A81" s="515" t="s">
        <v>153</v>
      </c>
      <c r="B81" s="516" t="str">
        <f>India!$F$4</f>
        <v>BU India</v>
      </c>
      <c r="C81" s="515" t="str">
        <f>India!$F$17</f>
        <v>India</v>
      </c>
      <c r="D81" s="515" t="str">
        <f>India!$F$15</f>
        <v>Noida, Uttar Pradesh</v>
      </c>
      <c r="E81" s="516" t="str">
        <f>India!$F$14</f>
        <v xml:space="preserve">11th Floor, Tower -03, Candor Techspace IT Park, Plot No. B-2, Sector 62, Noida </v>
      </c>
      <c r="F81" s="515" t="str">
        <f>India!$F$11</f>
        <v>IN03</v>
      </c>
      <c r="G81" s="520">
        <f>India!$F$40</f>
        <v>46918</v>
      </c>
    </row>
    <row r="82" spans="1:7" s="515" customFormat="1" ht="28">
      <c r="A82" s="515" t="s">
        <v>153</v>
      </c>
      <c r="B82" s="516" t="str">
        <f>China!$D$4</f>
        <v>BU China</v>
      </c>
      <c r="C82" s="515" t="str">
        <f>China!$D$17</f>
        <v>China</v>
      </c>
      <c r="D82" s="515" t="str">
        <f>China!$E$15</f>
        <v>Chengdu</v>
      </c>
      <c r="E82" s="516" t="str">
        <f>China!$E$14</f>
        <v xml:space="preserve"> E zone, Tianfu Software Park,  Gaoxin District, Chengdu</v>
      </c>
      <c r="F82" s="515" t="str">
        <f>China!$E$11</f>
        <v>CN02</v>
      </c>
      <c r="G82" s="520">
        <f>China!$E$40</f>
        <v>46934</v>
      </c>
    </row>
    <row r="83" spans="1:7" s="515" customFormat="1" ht="14">
      <c r="A83" s="515" t="s">
        <v>153</v>
      </c>
      <c r="B83" s="516" t="str">
        <f>Australia!$D$4</f>
        <v>BU Australia</v>
      </c>
      <c r="C83" s="515" t="str">
        <f>Australia!$D$17</f>
        <v>Australia</v>
      </c>
      <c r="D83" s="515" t="str">
        <f>Australia!$D$15</f>
        <v>Brisbane</v>
      </c>
      <c r="E83" s="516" t="str">
        <f>Australia!$D$14</f>
        <v xml:space="preserve">310 Ann St </v>
      </c>
      <c r="F83" s="515" t="str">
        <f>Australia!$D$11</f>
        <v>AU01</v>
      </c>
      <c r="G83" s="520">
        <f>Australia!$D$40</f>
        <v>47361</v>
      </c>
    </row>
    <row r="84" spans="1:7" s="515" customFormat="1" ht="56">
      <c r="A84" s="515" t="s">
        <v>153</v>
      </c>
      <c r="B84" s="516" t="str">
        <f>India!$G$4</f>
        <v>BU India</v>
      </c>
      <c r="C84" s="515" t="str">
        <f>India!$G$17</f>
        <v>India</v>
      </c>
      <c r="D84" s="515" t="str">
        <f>India!$G$15</f>
        <v>Gurugram</v>
      </c>
      <c r="E84" s="516" t="str">
        <f>India!$G$14</f>
        <v xml:space="preserve">International Tech Park Gurgaon, Block-1, 8th Floor | IT/ITES SEZ, Village Behrampur, Near Sector 59
Gurugram 122101 Haryana | India </v>
      </c>
      <c r="F84" s="515" t="str">
        <f>India!$G$11</f>
        <v>IN04</v>
      </c>
      <c r="G84" s="520">
        <f>India!$G$40</f>
        <v>47514</v>
      </c>
    </row>
    <row r="85" spans="1:7" s="515" customFormat="1" ht="14">
      <c r="A85" s="515" t="s">
        <v>153</v>
      </c>
      <c r="B85" s="516" t="str">
        <f>NewZealand!$D$4</f>
        <v>New Zealand</v>
      </c>
      <c r="C85" s="515" t="str">
        <f>NewZealand!$D$17</f>
        <v>New Zealand</v>
      </c>
      <c r="D85" s="515" t="str">
        <f>NewZealand!$D$15</f>
        <v>Auckland</v>
      </c>
      <c r="E85" s="516" t="str">
        <f>NewZealand!$D$14</f>
        <v>1 Byron Avenue, Takapuna</v>
      </c>
      <c r="F85" s="515" t="str">
        <f>NewZealand!$D$11</f>
        <v>NZ01</v>
      </c>
      <c r="G85" s="520">
        <f>NewZealand!$D$40</f>
        <v>47695</v>
      </c>
    </row>
    <row r="86" spans="1:7" s="515" customFormat="1" ht="56">
      <c r="A86" s="515" t="s">
        <v>153</v>
      </c>
      <c r="B86" s="516" t="str">
        <f>Indonesia!$D$4</f>
        <v>BU Indonesia</v>
      </c>
      <c r="C86" s="515" t="str">
        <f>Indonesia!$D$17</f>
        <v>Indonesia</v>
      </c>
      <c r="D86" s="515" t="str">
        <f>Indonesia!$D$15</f>
        <v>Jakarta</v>
      </c>
      <c r="E86" s="516" t="str">
        <f>Indonesia!$D$14</f>
        <v>Gedung World Trade Centre, 6 Lantai 3A, JL Jenoral Sudirman Kavling 29-21 Karet Setiabudi Kota Adm, Jakarta Selantan Dki Jakarta</v>
      </c>
      <c r="F86" s="515" t="str">
        <f>Indonesia!$D$11</f>
        <v>ID01</v>
      </c>
      <c r="G86" s="520">
        <f>Indonesia!$D$40</f>
        <v>47968</v>
      </c>
    </row>
    <row r="87" spans="1:7" s="515" customFormat="1" ht="56">
      <c r="A87" s="515" t="s">
        <v>153</v>
      </c>
      <c r="B87" s="516" t="str">
        <f>Thailand!$D$4</f>
        <v>BU Thailand</v>
      </c>
      <c r="C87" s="515" t="str">
        <f>Thailand!$D$17</f>
        <v>Thailand</v>
      </c>
      <c r="D87" s="515" t="str">
        <f>Thailand!$D$15</f>
        <v>Bangkok</v>
      </c>
      <c r="E87" s="516" t="str">
        <f>Thailand!$D$14</f>
        <v>7th Floor, City Link Tower, 1091/335 Soi Petchburi 35 
New Petchburi Road, Makkasan, Rajathevi, Bangkok 10400 Thailand</v>
      </c>
      <c r="F87" s="531" t="str">
        <f>Thailand!$D$11</f>
        <v>TH01</v>
      </c>
      <c r="G87" s="520">
        <f>Thailand!$D$40</f>
        <v>48060</v>
      </c>
    </row>
    <row r="88" spans="1:7" s="515" customFormat="1" ht="14">
      <c r="A88" s="515" t="s">
        <v>205</v>
      </c>
      <c r="B88" s="516" t="str">
        <f>Brazil!$D$4</f>
        <v>BU Brazil</v>
      </c>
      <c r="C88" s="515" t="str">
        <f>Brazil!$D$17</f>
        <v>Brazil</v>
      </c>
      <c r="D88" s="515" t="str">
        <f>Brazil!$D$15</f>
        <v>São Bernardo do Campo</v>
      </c>
      <c r="E88" s="516" t="str">
        <f>Brazil!$D$14</f>
        <v>Rua José Versolato, 101</v>
      </c>
      <c r="F88" s="515" t="str">
        <f>Brazil!$D$11</f>
        <v>BR01</v>
      </c>
      <c r="G88" s="520">
        <f>Brazil!$D$40</f>
        <v>46234</v>
      </c>
    </row>
    <row r="89" spans="1:7" s="515" customFormat="1" ht="28">
      <c r="A89" s="515" t="s">
        <v>205</v>
      </c>
      <c r="B89" s="516" t="str">
        <f>Brazil!$D$4</f>
        <v>BU Brazil</v>
      </c>
      <c r="C89" s="515" t="str">
        <f>Brazil!$E$17</f>
        <v>Brazil</v>
      </c>
      <c r="D89" s="515" t="str">
        <f>Brazil!$E$15</f>
        <v xml:space="preserve">São Bernardo do Campo </v>
      </c>
      <c r="E89" s="516" t="str">
        <f>Brazil!$E$14</f>
        <v>Rua José Versolato, 101 (2nd contract)</v>
      </c>
      <c r="F89" s="515" t="str">
        <f>Brazil!$E$11</f>
        <v>BR01</v>
      </c>
      <c r="G89" s="520">
        <f>Brazil!$E$40</f>
        <v>46387</v>
      </c>
    </row>
    <row r="90" spans="1:7" s="515" customFormat="1" ht="70">
      <c r="A90" s="515" t="s">
        <v>205</v>
      </c>
      <c r="B90" s="516" t="str">
        <f>Mexico!$F$4</f>
        <v>BU Mexico</v>
      </c>
      <c r="C90" s="515" t="str">
        <f>Mexico!$F$17</f>
        <v>Mexico</v>
      </c>
      <c r="D90" s="515" t="str">
        <f>Mexico!$F$15</f>
        <v>Leon</v>
      </c>
      <c r="E90" s="516" t="str">
        <f>Mexico!$F$14</f>
        <v>Nodus Busines Center, Plaza Stadium, Boulevard Adolfo Lopez Mateos, # 1702, Col. Parque Manzanares, CP 37510 floor 4, León Guanajuato</v>
      </c>
      <c r="F90" s="515" t="str">
        <f>Mexico!$F$11</f>
        <v>MX03</v>
      </c>
      <c r="G90" s="520">
        <f>Mexico!$F$40</f>
        <v>46387</v>
      </c>
    </row>
    <row r="91" spans="1:7" s="515" customFormat="1" ht="70">
      <c r="A91" s="515" t="s">
        <v>205</v>
      </c>
      <c r="B91" s="516" t="str">
        <f>Mexico!$E$4</f>
        <v>BU Mexico</v>
      </c>
      <c r="C91" s="515" t="str">
        <f>Mexico!$E$17</f>
        <v>Mexico</v>
      </c>
      <c r="D91" s="515" t="str">
        <f>Mexico!$E$15</f>
        <v>Querétaro</v>
      </c>
      <c r="E91" s="516" t="str">
        <f>Mexico!$E$14</f>
        <v>Avenida Universidad No. 370 (Business center)  Col. La piedad CP. Delegación Municipal Centro Histórico. Santiago de Querétaro, Querétaro. PLAZA UBIKA</v>
      </c>
      <c r="F91" s="515" t="str">
        <f>Mexico!$E$11</f>
        <v>MX02</v>
      </c>
      <c r="G91" s="520">
        <f>Mexico!$E$40</f>
        <v>46461</v>
      </c>
    </row>
    <row r="92" spans="1:7" s="515" customFormat="1" ht="14">
      <c r="A92" s="515" t="s">
        <v>205</v>
      </c>
      <c r="B92" s="516" t="str">
        <f>Colombia!$D$4</f>
        <v xml:space="preserve">BU Colombia </v>
      </c>
      <c r="C92" s="515" t="str">
        <f>Colombia!$D$17</f>
        <v xml:space="preserve">Colombia </v>
      </c>
      <c r="D92" s="515" t="str">
        <f>Colombia!$D$15</f>
        <v xml:space="preserve">Bogota </v>
      </c>
      <c r="E92" s="516" t="str">
        <f>Colombia!$D$14</f>
        <v>72b Street # 6-44</v>
      </c>
      <c r="F92" s="515" t="str">
        <f>Colombia!$D$11</f>
        <v>CO01</v>
      </c>
      <c r="G92" s="520">
        <f>Colombia!$D$40</f>
        <v>46477</v>
      </c>
    </row>
    <row r="93" spans="1:7" s="515" customFormat="1" ht="56">
      <c r="A93" s="515" t="s">
        <v>205</v>
      </c>
      <c r="B93" s="516" t="str">
        <f>Mexico!$D$4</f>
        <v>BU Mexico</v>
      </c>
      <c r="C93" s="515" t="str">
        <f>Mexico!$D$17</f>
        <v>Mexico</v>
      </c>
      <c r="D93" s="515" t="str">
        <f>Mexico!$D$15</f>
        <v>Ciudad de Mexico</v>
      </c>
      <c r="E93" s="516" t="str">
        <f>Mexico!$D$14</f>
        <v>Av. Insurgentes Sur 1602, Crédito Constructor, Benito Juárez, 03940 Ciudad de México, CDMX, México CITIBUILDING</v>
      </c>
      <c r="F93" s="515" t="str">
        <f>Mexico!$D$11</f>
        <v>MX01</v>
      </c>
      <c r="G93" s="520">
        <f>Mexico!$D$40</f>
        <v>47603</v>
      </c>
    </row>
    <row r="94" spans="1:7" s="515" customFormat="1" ht="14">
      <c r="A94" s="515" t="s">
        <v>205</v>
      </c>
      <c r="B94" s="516" t="str">
        <f>Canada!$D$4</f>
        <v>BU Canada</v>
      </c>
      <c r="C94" s="515" t="str">
        <f>Canada!$D$17</f>
        <v>Canada</v>
      </c>
      <c r="D94" s="515" t="str">
        <f>Canada!$D$15</f>
        <v>Cambridge</v>
      </c>
      <c r="E94" s="516" t="str">
        <f>Canada!$D$14</f>
        <v>700 Jamieson Pkwy. Cambridge</v>
      </c>
      <c r="F94" s="515" t="str">
        <f>Canada!$E$11</f>
        <v>CA01</v>
      </c>
      <c r="G94" s="520">
        <f>Canada!$E$40</f>
        <v>49033</v>
      </c>
    </row>
    <row r="95" spans="1:7" s="515" customFormat="1" ht="14">
      <c r="A95" s="515" t="s">
        <v>205</v>
      </c>
      <c r="B95" s="516" t="str">
        <f>Canada!$D$4</f>
        <v>BU Canada</v>
      </c>
      <c r="C95" s="515" t="str">
        <f>Canada!$D$17</f>
        <v>Canada</v>
      </c>
      <c r="D95" s="515" t="str">
        <f>Canada!$D$15</f>
        <v>Cambridge</v>
      </c>
      <c r="E95" s="516" t="str">
        <f>Canada!$D$14</f>
        <v>700 Jamieson Pkwy. Cambridge</v>
      </c>
      <c r="F95" s="515" t="str">
        <f>Canada!$F$11</f>
        <v>CA01</v>
      </c>
      <c r="G95" s="520">
        <f>Canada!$F$40</f>
        <v>49033</v>
      </c>
    </row>
    <row r="96" spans="1:7" s="515" customFormat="1" ht="14">
      <c r="A96" s="515" t="s">
        <v>205</v>
      </c>
      <c r="B96" s="516" t="str">
        <f>Canada!$D$4</f>
        <v>BU Canada</v>
      </c>
      <c r="C96" s="515" t="str">
        <f>Canada!$D$17</f>
        <v>Canada</v>
      </c>
      <c r="D96" s="515" t="str">
        <f>Canada!$D$15</f>
        <v>Cambridge</v>
      </c>
      <c r="E96" s="516" t="str">
        <f>Canada!$D$14</f>
        <v>700 Jamieson Pkwy. Cambridge</v>
      </c>
      <c r="F96" s="515" t="str">
        <f>Canada!$D$11</f>
        <v>CA01</v>
      </c>
      <c r="G96" s="520">
        <f>Canada!$D$40</f>
        <v>49058</v>
      </c>
    </row>
    <row r="97" spans="1:7" s="515" customFormat="1" ht="14">
      <c r="A97" s="515" t="s">
        <v>205</v>
      </c>
      <c r="B97" s="516" t="str">
        <f>US!$D$4</f>
        <v>BU USA</v>
      </c>
      <c r="C97" s="515" t="str">
        <f>US!$D$17</f>
        <v>USA</v>
      </c>
      <c r="D97" s="515" t="str">
        <f>US!$D$15</f>
        <v>Richmond, VA</v>
      </c>
      <c r="E97" s="516" t="str">
        <f>US!$D$14</f>
        <v>9950 Mayland Drive</v>
      </c>
      <c r="F97" s="531" t="str">
        <f>US!$D$11</f>
        <v>US01</v>
      </c>
      <c r="G97" s="520">
        <f>US!$D$40</f>
        <v>49095</v>
      </c>
    </row>
    <row r="98" spans="1:7" s="515" customFormat="1" ht="14">
      <c r="A98" s="515" t="s">
        <v>205</v>
      </c>
      <c r="B98" s="516" t="str">
        <f>US!$E$4</f>
        <v>BU USA</v>
      </c>
      <c r="C98" s="515" t="str">
        <f>US!$D$17</f>
        <v>USA</v>
      </c>
      <c r="D98" s="515" t="str">
        <f>US!$E$15</f>
        <v>Lakeland, FL</v>
      </c>
      <c r="E98" s="516" t="str">
        <f>US!$E$14</f>
        <v>3111 West Pipken Road</v>
      </c>
      <c r="F98" s="515" t="str">
        <f>US!$E$11</f>
        <v>US02</v>
      </c>
      <c r="G98" s="520" t="str">
        <f>US!$E$40</f>
        <v>Can be cacelled on a monthly basis</v>
      </c>
    </row>
    <row r="99" spans="1:7" s="515" customFormat="1" ht="42">
      <c r="A99" s="515" t="s">
        <v>234</v>
      </c>
      <c r="B99" s="516" t="str">
        <f>SaudiArabia!$E$4</f>
        <v>Nextcare</v>
      </c>
      <c r="C99" s="515" t="str">
        <f>SaudiArabia!$E$17</f>
        <v>Kingdom of Saudi Arabia</v>
      </c>
      <c r="D99" s="515" t="str">
        <f>SaudiArabia!$E$15</f>
        <v>Riyadh</v>
      </c>
      <c r="E99" s="516" t="str">
        <f>SaudiArabia!$E$14</f>
        <v xml:space="preserve">Al Immam Saud Ibn Abdul Aziz Rd.Riyadh office, Riyadh - Al Nakhil - Building no. 5288 B- Building </v>
      </c>
      <c r="F99" s="515" t="str">
        <f>SaudiArabia!$E$11</f>
        <v>SA02</v>
      </c>
      <c r="G99" s="520">
        <f>SaudiArabia!$E$40</f>
        <v>46180</v>
      </c>
    </row>
    <row r="100" spans="1:7" s="515" customFormat="1" ht="28">
      <c r="A100" s="515" t="s">
        <v>234</v>
      </c>
      <c r="B100" s="516" t="str">
        <f>SaudiArabia!$D$4</f>
        <v>Nextcare</v>
      </c>
      <c r="C100" s="515" t="str">
        <f>SaudiArabia!$D$17</f>
        <v>Kingdom of Saudi Arabia</v>
      </c>
      <c r="D100" s="515" t="str">
        <f>SaudiArabia!$D$15</f>
        <v xml:space="preserve">Al Khobar  </v>
      </c>
      <c r="E100" s="516" t="str">
        <f>SaudiArabia!$D$14</f>
        <v>Al Khobar Al Janubiyah, 1st Floor Al Rabiah &amp; Nassar Building</v>
      </c>
      <c r="F100" s="515" t="str">
        <f>SaudiArabia!$D$11</f>
        <v>SA01</v>
      </c>
      <c r="G100" s="520">
        <f>SaudiArabia!$D$40</f>
        <v>46022</v>
      </c>
    </row>
    <row r="101" spans="1:7" s="515" customFormat="1" ht="42">
      <c r="A101" s="515" t="s">
        <v>234</v>
      </c>
      <c r="B101" s="516" t="str">
        <f>Qatar!$E$4</f>
        <v>Nextcare</v>
      </c>
      <c r="C101" s="515" t="str">
        <f>Qatar!$E$17</f>
        <v xml:space="preserve">Qatar  </v>
      </c>
      <c r="D101" s="515" t="str">
        <f>Qatar!$E$15</f>
        <v>Doha</v>
      </c>
      <c r="E101" s="516" t="str">
        <f>Qatar!$E$14</f>
        <v xml:space="preserve">Al Jaidah Square Business Centre 63 Airport Road, Umm Ghuwailina- Zone 27 </v>
      </c>
      <c r="F101" s="515" t="str">
        <f>Qatar!$E$11</f>
        <v>QT01</v>
      </c>
      <c r="G101" s="520">
        <f>Qatar!$E$40</f>
        <v>46173</v>
      </c>
    </row>
    <row r="102" spans="1:7" s="515" customFormat="1" ht="28">
      <c r="A102" s="515" t="s">
        <v>234</v>
      </c>
      <c r="B102" s="516" t="str">
        <f>Qatar!$D$4</f>
        <v>International Health</v>
      </c>
      <c r="C102" s="515" t="str">
        <f>Qatar!$D$17</f>
        <v xml:space="preserve">Qatar  </v>
      </c>
      <c r="D102" s="515" t="str">
        <f>Qatar!$D$15</f>
        <v>Doha  </v>
      </c>
      <c r="E102" s="516" t="str">
        <f>Qatar!$D$14</f>
        <v>Allianz Partners Office 604C , Jaidah Square Building 63 Airport Road </v>
      </c>
      <c r="F102" s="515" t="str">
        <f>Qatar!$D$11</f>
        <v>QT01</v>
      </c>
      <c r="G102" s="520">
        <f>Qatar!$D$40</f>
        <v>46173</v>
      </c>
    </row>
    <row r="103" spans="1:7" s="515" customFormat="1" ht="42">
      <c r="A103" s="515" t="s">
        <v>234</v>
      </c>
      <c r="B103" s="516" t="str">
        <f>UnitesArabEmirates!$G$4</f>
        <v>Nextcare</v>
      </c>
      <c r="C103" s="515" t="str">
        <f>UnitesArabEmirates!$G$17</f>
        <v>UAE</v>
      </c>
      <c r="D103" s="515" t="str">
        <f>UnitesArabEmirates!$G$15</f>
        <v xml:space="preserve">Abu Dhabi  </v>
      </c>
      <c r="E103" s="516" t="str">
        <f>UnitesArabEmirates!$G$14</f>
        <v>Sakeena Nest Building Al Nahyan Area (mobile street) Close to Burjeel Hospital</v>
      </c>
      <c r="F103" s="515" t="str">
        <f>UnitesArabEmirates!$G$11</f>
        <v>UA03</v>
      </c>
      <c r="G103" s="520">
        <f>UnitesArabEmirates!$G$40</f>
        <v>46295</v>
      </c>
    </row>
    <row r="104" spans="1:7" s="515" customFormat="1" ht="28">
      <c r="A104" s="515" t="s">
        <v>234</v>
      </c>
      <c r="B104" s="516" t="str">
        <f>Egypt!$D$4</f>
        <v>Nextcare</v>
      </c>
      <c r="C104" s="515" t="str">
        <f>Egypt!$F$17</f>
        <v>Egypt</v>
      </c>
      <c r="D104" s="515" t="str">
        <f>Egypt!$F$15</f>
        <v xml:space="preserve">Mokattem city </v>
      </c>
      <c r="E104" s="516" t="str">
        <f>Egypt!$F$14</f>
        <v>Street 9, Plot no. 8230, Mokattam city, Cairo</v>
      </c>
      <c r="F104" s="515" t="str">
        <f>Egypt!$F$11</f>
        <v>EG02</v>
      </c>
      <c r="G104" s="520">
        <f>Egypt!$F$40</f>
        <v>46325</v>
      </c>
    </row>
    <row r="105" spans="1:7" s="515" customFormat="1" ht="42">
      <c r="A105" s="515" t="s">
        <v>234</v>
      </c>
      <c r="B105" s="516" t="str">
        <f>Egypt!$D$4</f>
        <v>Nextcare</v>
      </c>
      <c r="C105" s="515" t="str">
        <f>Egypt!$D$17</f>
        <v>Egypt</v>
      </c>
      <c r="D105" s="515" t="str">
        <f>Egypt!$E$15</f>
        <v>New Cairo</v>
      </c>
      <c r="E105" s="516" t="str">
        <f>Egypt!$E$14</f>
        <v xml:space="preserve">Emerald Twin Plaza, Plot No. (6), 1st settlement, New Cairo, Cairo, Egypt
</v>
      </c>
      <c r="F105" s="515" t="str">
        <f>Egypt!$E$11</f>
        <v>EG01</v>
      </c>
      <c r="G105" s="520">
        <f>Egypt!$E$40</f>
        <v>46356</v>
      </c>
    </row>
    <row r="106" spans="1:7" s="515" customFormat="1" ht="42">
      <c r="A106" s="515" t="s">
        <v>234</v>
      </c>
      <c r="B106" s="516" t="str">
        <f>Bahrain!$D$4</f>
        <v>Nextcare</v>
      </c>
      <c r="C106" s="515" t="str">
        <f>Bahrain!$D$17</f>
        <v>Kingdom of Bahrain</v>
      </c>
      <c r="D106" s="515" t="str">
        <f>Bahrain!$D$15</f>
        <v>Manama</v>
      </c>
      <c r="E106" s="516" t="str">
        <f>Bahrain!$D$14</f>
        <v>Exhibition Tower, Building No. 614, Road No. 1011, Block No. 410, Sanabis</v>
      </c>
      <c r="F106" s="515" t="str">
        <f>Bahrain!$D$11</f>
        <v>BH01</v>
      </c>
      <c r="G106" s="520">
        <f>Bahrain!$D$40</f>
        <v>46538</v>
      </c>
    </row>
    <row r="107" spans="1:7" s="515" customFormat="1" ht="42">
      <c r="A107" s="515" t="s">
        <v>234</v>
      </c>
      <c r="B107" s="516" t="str">
        <f>UnitesArabEmirates!$E$4</f>
        <v>Nextcare</v>
      </c>
      <c r="C107" s="515" t="str">
        <f>UnitesArabEmirates!$D$17</f>
        <v>UAE</v>
      </c>
      <c r="D107" s="515" t="str">
        <f>UnitesArabEmirates!$E$15</f>
        <v>Dubai</v>
      </c>
      <c r="E107" s="516" t="str">
        <f>UnitesArabEmirates!$E$14</f>
        <v>Vakson Building 2 Next to Metropolitan Hotel, Sheikh Zayed Road</v>
      </c>
      <c r="F107" s="515" t="str">
        <f>UnitesArabEmirates!$E$11</f>
        <v>UA02</v>
      </c>
      <c r="G107" s="520" t="str">
        <f>UnitesArabEmirates!$E$40</f>
        <v xml:space="preserve">No </v>
      </c>
    </row>
    <row r="108" spans="1:7" s="515" customFormat="1" ht="42">
      <c r="A108" s="515" t="s">
        <v>234</v>
      </c>
      <c r="B108" s="516" t="str">
        <f>UnitesArabEmirates!$F$4</f>
        <v>Nextcare</v>
      </c>
      <c r="C108" s="515" t="str">
        <f>UnitesArabEmirates!$F$17</f>
        <v>UAE</v>
      </c>
      <c r="D108" s="515" t="str">
        <f>UnitesArabEmirates!$F$15</f>
        <v>Dubai</v>
      </c>
      <c r="E108" s="516" t="str">
        <f>UnitesArabEmirates!$F$14</f>
        <v>Vakson Building 2 Next to Metropolitan Hotel, Sheikh Zayed Road</v>
      </c>
      <c r="F108" s="515" t="str">
        <f>UnitesArabEmirates!$F$11</f>
        <v>UA02</v>
      </c>
      <c r="G108" s="520">
        <f>UnitesArabEmirates!$F$40</f>
        <v>46649</v>
      </c>
    </row>
    <row r="109" spans="1:7" s="515" customFormat="1" ht="28">
      <c r="A109" s="515" t="s">
        <v>234</v>
      </c>
      <c r="B109" s="516" t="str">
        <f>UnitesArabEmirates!$H$4</f>
        <v>Nextcare</v>
      </c>
      <c r="C109" s="515" t="str">
        <f>UnitesArabEmirates!$H$17</f>
        <v>UAE</v>
      </c>
      <c r="D109" s="515" t="str">
        <f>UnitesArabEmirates!$H$15</f>
        <v>JLT, Dubai, UAE</v>
      </c>
      <c r="E109" s="516" t="str">
        <f>UnitesArabEmirates!$H$14</f>
        <v>B1 4207 AND 4208, Mazayya Business Avenue</v>
      </c>
      <c r="F109" s="515" t="str">
        <f>UnitesArabEmirates!$H$11</f>
        <v>UA04</v>
      </c>
      <c r="G109" s="520">
        <f>UnitesArabEmirates!$H$40</f>
        <v>46811</v>
      </c>
    </row>
    <row r="110" spans="1:7" s="515" customFormat="1" ht="42">
      <c r="A110" s="515" t="s">
        <v>234</v>
      </c>
      <c r="B110" s="516" t="str">
        <f>Oman!$D$4</f>
        <v>Nextcare</v>
      </c>
      <c r="C110" s="515" t="str">
        <f>Oman!$D$17</f>
        <v>Sultanate of Oman</v>
      </c>
      <c r="D110" s="515" t="str">
        <f>Oman!$D$15</f>
        <v>Muscat</v>
      </c>
      <c r="E110" s="516" t="str">
        <f>Oman!$D$14</f>
        <v xml:space="preserve">Bldg. no. 1022, Way 1013, Block 210,  OLD EY  Building, Qurum PO Box 548, PC115 </v>
      </c>
      <c r="F110" s="515" t="str">
        <f>Oman!$D$11</f>
        <v>OM01</v>
      </c>
      <c r="G110" s="520">
        <f>Oman!$D$40</f>
        <v>46873</v>
      </c>
    </row>
    <row r="111" spans="1:7" s="515" customFormat="1" ht="42">
      <c r="A111" s="515" t="s">
        <v>234</v>
      </c>
      <c r="B111" s="516" t="str">
        <f>Oman!$E$4</f>
        <v>Nextcare</v>
      </c>
      <c r="C111" s="515" t="str">
        <f>Oman!$E$17</f>
        <v>Sultanate of Oman</v>
      </c>
      <c r="D111" s="515" t="str">
        <f>Oman!$E$15</f>
        <v>Muscat</v>
      </c>
      <c r="E111" s="516" t="str">
        <f>Oman!$E$14</f>
        <v xml:space="preserve">Bldg. no. 1022, Way 1013, Block 210,  OLD EY  Building, Qurum PO Box 548, PC115 </v>
      </c>
      <c r="F111" s="515" t="str">
        <f>Oman!$E$11</f>
        <v>OM01</v>
      </c>
      <c r="G111" s="520">
        <f>Oman!$E$40</f>
        <v>46873</v>
      </c>
    </row>
    <row r="112" spans="1:7" s="515" customFormat="1" ht="28">
      <c r="A112" s="515" t="s">
        <v>234</v>
      </c>
      <c r="B112" s="516" t="str">
        <f>UnitesArabEmirates!$D$4</f>
        <v>Nextcare</v>
      </c>
      <c r="C112" s="515" t="str">
        <f>UnitesArabEmirates!$D$17</f>
        <v>UAE</v>
      </c>
      <c r="D112" s="515" t="str">
        <f>UnitesArabEmirates!$D$15</f>
        <v>Dubai</v>
      </c>
      <c r="E112" s="516" t="str">
        <f>UnitesArabEmirates!$D$14</f>
        <v>Boulevard Limited Building, EIFFEL - 2 Sheikh Zayed Rd</v>
      </c>
      <c r="F112" s="531" t="str">
        <f>UnitesArabEmirates!$D$11</f>
        <v>UA01</v>
      </c>
      <c r="G112" s="520">
        <f>UnitesArabEmirates!$D$40</f>
        <v>47695</v>
      </c>
    </row>
    <row r="113" spans="1:7" s="515" customFormat="1" ht="28">
      <c r="A113" s="515" t="s">
        <v>234</v>
      </c>
      <c r="B113" s="516" t="str">
        <f>Libya!$D$4</f>
        <v>Libya</v>
      </c>
      <c r="C113" s="515" t="str">
        <f>Libya!$D$17</f>
        <v>Lybia</v>
      </c>
      <c r="D113" s="515" t="str">
        <f>Libya!$D$15</f>
        <v>Tripoli</v>
      </c>
      <c r="E113" s="516" t="str">
        <f>Libya!$D$14</f>
        <v>0011 Madlien Office, 
Al Nofflieen, Taqsim Ben Zaglam</v>
      </c>
      <c r="F113" s="515" t="str">
        <f>Libya!$D$11</f>
        <v>LY01</v>
      </c>
      <c r="G113" s="520">
        <f>Libya!$D$40</f>
        <v>47768</v>
      </c>
    </row>
    <row r="114" spans="1:7" s="515" customFormat="1" ht="28">
      <c r="A114" s="515" t="s">
        <v>234</v>
      </c>
      <c r="B114" s="516" t="str">
        <f>Lebanon!$E$4</f>
        <v>Nextcare</v>
      </c>
      <c r="C114" s="515" t="str">
        <f>Lebanon!$E$17</f>
        <v>Lebanon</v>
      </c>
      <c r="D114" s="515" t="str">
        <f>Lebanon!$E$15</f>
        <v>Beirut</v>
      </c>
      <c r="E114" s="516" t="str">
        <f>Lebanon!$E$14</f>
        <v>Mkaless office, Mkaless 691 Bldg, GF</v>
      </c>
      <c r="F114" s="515" t="str">
        <f>Lebanon!$E$11</f>
        <v>LE02</v>
      </c>
      <c r="G114" s="520">
        <f>Lebanon!$E$40</f>
        <v>48213</v>
      </c>
    </row>
    <row r="115" spans="1:7" s="515" customFormat="1" ht="28">
      <c r="A115" s="515" t="s">
        <v>234</v>
      </c>
      <c r="B115" s="516" t="str">
        <f>Lebanon!$F$4</f>
        <v>Nextcare</v>
      </c>
      <c r="C115" s="515" t="str">
        <f>Lebanon!$F$17</f>
        <v>Lebanon</v>
      </c>
      <c r="D115" s="515" t="str">
        <f>Lebanon!$F$15</f>
        <v>Beirut</v>
      </c>
      <c r="E115" s="516" t="str">
        <f>Lebanon!$F$14</f>
        <v>Nextcare Bldg.,Father Naamtallah Kahale Street, Saloumi, Sin El Fil</v>
      </c>
      <c r="F115" s="515" t="str">
        <f>Lebanon!$F$11</f>
        <v>LE01</v>
      </c>
      <c r="G115" s="520">
        <f>Lebanon!$F$40</f>
        <v>48213</v>
      </c>
    </row>
    <row r="116" spans="1:7" s="515" customFormat="1" ht="28">
      <c r="A116" s="515" t="s">
        <v>234</v>
      </c>
      <c r="B116" s="516" t="str">
        <f>Lebanon!$D$4</f>
        <v>Nextcare</v>
      </c>
      <c r="C116" s="515" t="str">
        <f>Lebanon!$D$17</f>
        <v>Lebanon</v>
      </c>
      <c r="D116" s="515" t="str">
        <f>Lebanon!$D$15</f>
        <v>Beirut</v>
      </c>
      <c r="E116" s="516" t="str">
        <f>Lebanon!$D$14</f>
        <v>Nextcare Bldg.,Father Naamtallah Kahale Street, Saloumi, Sin El Fil</v>
      </c>
      <c r="F116" s="515" t="str">
        <f>Lebanon!$D$11</f>
        <v>LE01</v>
      </c>
      <c r="G116" s="520">
        <f>Lebanon!$D$40</f>
        <v>48228</v>
      </c>
    </row>
    <row r="117" spans="1:7" s="515" customFormat="1" ht="42">
      <c r="A117" s="515" t="s">
        <v>234</v>
      </c>
      <c r="B117" s="516" t="str">
        <f>Egypt!$D$4</f>
        <v>Nextcare</v>
      </c>
      <c r="C117" s="515" t="str">
        <f>Egypt!$D$17</f>
        <v>Egypt</v>
      </c>
      <c r="D117" s="515" t="str">
        <f>Egypt!$D$15</f>
        <v>New Cairo</v>
      </c>
      <c r="E117" s="516" t="str">
        <f>Egypt!$D$14</f>
        <v xml:space="preserve">Emerald Twin Plaza, Plot No. (6), 1st settlement, New Cairo, Cairo, Egypt
</v>
      </c>
      <c r="F117" s="515" t="str">
        <f>Egypt!$D$11</f>
        <v>EG01</v>
      </c>
      <c r="G117" s="520">
        <f>Egypt!$D$40</f>
        <v>48365</v>
      </c>
    </row>
    <row r="118" spans="1:7" s="515" customFormat="1" ht="28">
      <c r="A118" s="515" t="s">
        <v>234</v>
      </c>
      <c r="B118" s="516" t="str">
        <f>Lebanon!$G$4</f>
        <v>Nextcare</v>
      </c>
      <c r="C118" s="515" t="str">
        <f>Lebanon!$G$17</f>
        <v>Lebanon</v>
      </c>
      <c r="D118" s="515" t="str">
        <f>Lebanon!$G$15</f>
        <v>Beirut</v>
      </c>
      <c r="E118" s="516" t="str">
        <f>Lebanon!$G$14</f>
        <v>Nextcare Bldg.,Father Naamtallah Kahale Street, Saloumi, Sin El Fil</v>
      </c>
      <c r="F118" s="515" t="str">
        <f>Lebanon!$G$11</f>
        <v>LE01</v>
      </c>
      <c r="G118" s="520">
        <f>Lebanon!$G$40</f>
        <v>48579</v>
      </c>
    </row>
    <row r="119" spans="1:7" s="515" customFormat="1" ht="28">
      <c r="A119" s="515" t="s">
        <v>234</v>
      </c>
      <c r="B119" s="516" t="str">
        <f>Belgium!$D$4</f>
        <v>International Health</v>
      </c>
      <c r="C119" s="515" t="str">
        <f>Belgium!$D$17</f>
        <v>Belgium</v>
      </c>
      <c r="D119" s="515" t="str">
        <f>Belgium!$D$15</f>
        <v>Brussels</v>
      </c>
      <c r="E119" s="516" t="str">
        <f>Belgium!$D$14</f>
        <v>Allianz Tower Koning Boulevard du Roi Albert II, 32 (Albert II Laan)</v>
      </c>
      <c r="F119" s="515" t="str">
        <f>Belgium!$D$11</f>
        <v>BE01</v>
      </c>
      <c r="G119" s="520">
        <f>Belgium!$D$40</f>
        <v>47208</v>
      </c>
    </row>
    <row r="120" spans="1:7" s="515" customFormat="1" ht="84">
      <c r="A120" s="515" t="s">
        <v>234</v>
      </c>
      <c r="B120" s="516" t="str">
        <f>Philippines!$D$4</f>
        <v>International Health</v>
      </c>
      <c r="C120" s="515" t="str">
        <f>Philippines!$D$17</f>
        <v>Philippines</v>
      </c>
      <c r="D120" s="515" t="str">
        <f>Philippines!$D$15</f>
        <v>Makati City (Manila)</v>
      </c>
      <c r="E120" s="516" t="str">
        <f>Philippines!$D$14</f>
        <v>9th floor, 
Allied Bank Center, 
6754 Ayala Avenue Corner
Legaspi Street, 
Makati City, 
Philippines</v>
      </c>
      <c r="F120" s="515" t="str">
        <f>Philippines!$D$11</f>
        <v>PH01</v>
      </c>
      <c r="G120" s="515" t="str">
        <f>Philippines!$D$40</f>
        <v>4/12/2026 (As per meeting 1/27/2026, PNB life will extend he contract up until this date. Initilayy, beyond 4/13/2026 , the contract will be named to AZ Partners PH</v>
      </c>
    </row>
    <row r="121" spans="1:7" s="515" customFormat="1" ht="42">
      <c r="A121" s="515" t="s">
        <v>234</v>
      </c>
      <c r="B121" s="516">
        <f>Ireland!$G$4</f>
        <v>0</v>
      </c>
      <c r="C121" s="515" t="str">
        <f>Ireland!$G$17</f>
        <v>Ireland</v>
      </c>
      <c r="D121" s="515" t="str">
        <f>Ireland!$G$15</f>
        <v>Dublin</v>
      </c>
      <c r="E121" s="516" t="str">
        <f>Ireland!$G$14</f>
        <v>Building 12 B
Joyce Way, Park West Business Campus, Nangor Road,</v>
      </c>
      <c r="F121" s="515" t="str">
        <f>Ireland!$G$11</f>
        <v>IR04</v>
      </c>
      <c r="G121" s="520" t="str">
        <f>Ireland!$G$40</f>
        <v>N/A</v>
      </c>
    </row>
    <row r="122" spans="1:7" s="515" customFormat="1" ht="42">
      <c r="A122" s="515" t="s">
        <v>234</v>
      </c>
      <c r="B122" s="516">
        <f>Ireland!$H$4</f>
        <v>0</v>
      </c>
      <c r="C122" s="515" t="str">
        <f>Ireland!$H$17</f>
        <v>Ireland</v>
      </c>
      <c r="D122" s="515" t="str">
        <f>Ireland!$H$15</f>
        <v>Dublin</v>
      </c>
      <c r="E122" s="516" t="str">
        <f>Ireland!$H$14</f>
        <v xml:space="preserve">Building 15
Joyce Way, Park West Business Campus, Nangor Road, </v>
      </c>
      <c r="F122" s="515" t="str">
        <f>Ireland!$H$11</f>
        <v>IR05</v>
      </c>
      <c r="G122" s="520" t="str">
        <f>Ireland!$H$40</f>
        <v>N/A</v>
      </c>
    </row>
    <row r="123" spans="1:7" s="515" customFormat="1" ht="42">
      <c r="A123" s="515" t="s">
        <v>234</v>
      </c>
      <c r="B123" s="516">
        <f>Ireland!$E$4</f>
        <v>0</v>
      </c>
      <c r="C123" s="515" t="str">
        <f>Ireland!$E$17</f>
        <v>Ireland</v>
      </c>
      <c r="D123" s="515" t="str">
        <f>Ireland!$E$15</f>
        <v>Dublin</v>
      </c>
      <c r="E123" s="516" t="str">
        <f>Ireland!$E$14</f>
        <v xml:space="preserve">Building 11 B
Joyce Way, Park West Business Campus, Nangor Road, </v>
      </c>
      <c r="F123" s="515" t="str">
        <f>Ireland!$E$11</f>
        <v>IR02</v>
      </c>
      <c r="G123" s="520" t="str">
        <f>Ireland!$E$40</f>
        <v>N/A</v>
      </c>
    </row>
    <row r="124" spans="1:7" s="515" customFormat="1" ht="56">
      <c r="A124" s="515" t="s">
        <v>234</v>
      </c>
      <c r="B124" s="516" t="str">
        <f>Ireland!$D$4</f>
        <v>International Health</v>
      </c>
      <c r="C124" s="515" t="str">
        <f>Ireland!$D$17</f>
        <v>Ireland</v>
      </c>
      <c r="D124" s="515" t="str">
        <f>Ireland!$D$15</f>
        <v>Dublin</v>
      </c>
      <c r="E124" s="516" t="str">
        <f>Ireland!$D$14</f>
        <v xml:space="preserve">Building 11 A
Joyce Way, Park West Business Campus, Nangor Road,
</v>
      </c>
      <c r="F124" s="515" t="str">
        <f>Ireland!$D$11</f>
        <v>IR01</v>
      </c>
      <c r="G124" s="520" t="str">
        <f>Ireland!$D$40</f>
        <v>N/A</v>
      </c>
    </row>
    <row r="125" spans="1:7" s="515" customFormat="1" ht="42">
      <c r="A125" s="515" t="s">
        <v>234</v>
      </c>
      <c r="B125" s="516">
        <f>Ireland!$F$4</f>
        <v>0</v>
      </c>
      <c r="C125" s="515" t="str">
        <f>Ireland!$F$17</f>
        <v>Ireland</v>
      </c>
      <c r="D125" s="515" t="str">
        <f>Ireland!$F$15</f>
        <v>Dublin</v>
      </c>
      <c r="E125" s="516" t="str">
        <f>Ireland!$F$14</f>
        <v xml:space="preserve">Building 12 A
Joyce Way, Park West Business Campus, Nangor Road, </v>
      </c>
      <c r="F125" s="515" t="str">
        <f>Ireland!$F$11</f>
        <v>IR03</v>
      </c>
      <c r="G125" s="520" t="str">
        <f>Ireland!$F$40</f>
        <v>N/A</v>
      </c>
    </row>
    <row r="126" spans="1:7" s="515" customFormat="1" ht="42">
      <c r="A126" s="515" t="s">
        <v>234</v>
      </c>
      <c r="B126" s="516" t="str">
        <f>Bahrain!$D$4</f>
        <v>Nextcare</v>
      </c>
      <c r="C126" s="515" t="str">
        <f>Bahrain!$E$17</f>
        <v>Kingdom of Bahrain</v>
      </c>
      <c r="D126" s="515" t="str">
        <f>Bahrain!$E$15</f>
        <v>Manama</v>
      </c>
      <c r="E126" s="516" t="str">
        <f>Bahrain!$E$14</f>
        <v>Exhibition Tower, Building No. 614, Road No. 1011, Block No. 410, Sanabis</v>
      </c>
      <c r="F126" s="515" t="str">
        <f>Bahrain!$E$11</f>
        <v>BH01</v>
      </c>
      <c r="G126" s="520" t="str">
        <f>Bahrain!E44</f>
        <v>No</v>
      </c>
    </row>
    <row r="127" spans="1:7" s="515" customFormat="1" ht="42">
      <c r="A127" s="515" t="s">
        <v>234</v>
      </c>
      <c r="B127" s="516">
        <f>Ireland!$I$4</f>
        <v>0</v>
      </c>
      <c r="C127" s="515" t="str">
        <f>Ireland!$I$17</f>
        <v>Ireland</v>
      </c>
      <c r="D127" s="515" t="str">
        <f>Ireland!$I$15</f>
        <v>Dublin</v>
      </c>
      <c r="E127" s="516" t="str">
        <f>Ireland!$I$14</f>
        <v xml:space="preserve">Building 11 B
Joyce Way, Park West Business Campus, Nangor Road, </v>
      </c>
      <c r="F127" s="515" t="str">
        <f>Ireland!$I$11</f>
        <v>IR02</v>
      </c>
      <c r="G127" s="520" t="str">
        <f>Ireland!$I$40</f>
        <v>open end</v>
      </c>
    </row>
    <row r="128" spans="1:7" s="515" customFormat="1" ht="42">
      <c r="A128" s="515" t="s">
        <v>234</v>
      </c>
      <c r="B128" s="516">
        <f>Ireland!$J$4</f>
        <v>0</v>
      </c>
      <c r="C128" s="515" t="str">
        <f>Ireland!$J$17</f>
        <v>Ireland</v>
      </c>
      <c r="D128" s="515" t="str">
        <f>Ireland!$J$15</f>
        <v>Dublin</v>
      </c>
      <c r="E128" s="516" t="str">
        <f>Ireland!$J$14</f>
        <v xml:space="preserve">Building 11 B
Joyce Way, Park West Business Campus, Nangor Road, </v>
      </c>
      <c r="F128" s="515" t="str">
        <f>Ireland!$J$11</f>
        <v>IR02</v>
      </c>
      <c r="G128" s="520" t="str">
        <f>Ireland!$J$40</f>
        <v>open end</v>
      </c>
    </row>
    <row r="129" spans="1:7" s="515" customFormat="1" ht="42">
      <c r="A129" s="515" t="s">
        <v>234</v>
      </c>
      <c r="B129" s="516">
        <f>Ireland!$K$4</f>
        <v>0</v>
      </c>
      <c r="C129" s="515" t="str">
        <f>Ireland!$K$17</f>
        <v>Ireland</v>
      </c>
      <c r="D129" s="515" t="str">
        <f>Ireland!$K$15</f>
        <v>Dublin</v>
      </c>
      <c r="E129" s="516" t="str">
        <f>Ireland!$K$14</f>
        <v xml:space="preserve">Building 11 B
Joyce Way, Park West Business Campus, Nangor Road, </v>
      </c>
      <c r="F129" s="515" t="str">
        <f>Ireland!$K$11</f>
        <v>IR02</v>
      </c>
      <c r="G129" s="520" t="str">
        <f>Ireland!$K$40</f>
        <v>open end</v>
      </c>
    </row>
    <row r="130" spans="1:7" s="515" customFormat="1" ht="14">
      <c r="A130" s="515" t="s">
        <v>234</v>
      </c>
      <c r="B130" s="516" t="str">
        <f>Tunisia!$G$4</f>
        <v>Nextcare</v>
      </c>
      <c r="C130" s="515" t="str">
        <f>Tunisia!$D$17</f>
        <v>Tunisia</v>
      </c>
      <c r="D130" s="515" t="str">
        <f>Tunisia!$D$15</f>
        <v>Tunis</v>
      </c>
      <c r="E130" s="516" t="str">
        <f>Tunisia!$D$14</f>
        <v xml:space="preserve">3 Rue du Docteur Burnet, </v>
      </c>
      <c r="F130" s="515" t="str">
        <f>Tunisia!$D$11</f>
        <v>TU01</v>
      </c>
      <c r="G130" s="520" t="str">
        <f>Tunisia!$D$40</f>
        <v>Undetermined (Automatically Renewed)</v>
      </c>
    </row>
    <row r="134" spans="1:7" s="515" customFormat="1">
      <c r="B134" s="516"/>
      <c r="E134" s="516"/>
      <c r="F134" s="531"/>
      <c r="G134" s="520"/>
    </row>
  </sheetData>
  <autoFilter ref="A2:H130" xr:uid="{FC5E4E0A-C520-4916-8867-9AED2D767E55}">
    <sortState ref="A3:H130">
      <sortCondition ref="A2:A130"/>
    </sortState>
  </autoFilter>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2CCF-5A57-496F-863D-01BD79EE62FE}">
  <dimension ref="B1:R50"/>
  <sheetViews>
    <sheetView topLeftCell="C4" zoomScale="85" zoomScaleNormal="85" workbookViewId="0">
      <selection activeCell="B2" sqref="B2:H14"/>
    </sheetView>
  </sheetViews>
  <sheetFormatPr baseColWidth="10" defaultColWidth="11.5" defaultRowHeight="13"/>
  <cols>
    <col min="2" max="2" width="29.83203125" customWidth="1"/>
    <col min="3" max="3" width="21.33203125" customWidth="1"/>
    <col min="4" max="4" width="10.83203125" customWidth="1"/>
    <col min="5" max="5" width="48.1640625" customWidth="1"/>
    <col min="6" max="6" width="22.5" customWidth="1"/>
    <col min="7" max="7" width="18.83203125" customWidth="1"/>
    <col min="8" max="8" width="67.83203125" customWidth="1"/>
    <col min="12" max="12" width="15.5" customWidth="1"/>
    <col min="13" max="13" width="17.5" customWidth="1"/>
    <col min="14" max="14" width="24.1640625" customWidth="1"/>
    <col min="15" max="15" width="40.5" customWidth="1"/>
    <col min="16" max="16" width="22.5" customWidth="1"/>
    <col min="17" max="17" width="18.83203125" customWidth="1"/>
    <col min="18" max="18" width="27.83203125" customWidth="1"/>
  </cols>
  <sheetData>
    <row r="1" spans="2:18" ht="18" thickBot="1">
      <c r="B1" s="569" t="s">
        <v>293</v>
      </c>
      <c r="C1" s="569" t="s">
        <v>294</v>
      </c>
      <c r="D1" s="570" t="s">
        <v>295</v>
      </c>
      <c r="E1" s="570" t="s">
        <v>297</v>
      </c>
      <c r="F1" s="570" t="s">
        <v>299</v>
      </c>
      <c r="G1" s="570" t="s">
        <v>314</v>
      </c>
      <c r="H1" s="570" t="s">
        <v>321</v>
      </c>
    </row>
    <row r="2" spans="2:18" ht="15" customHeight="1" thickTop="1" thickBot="1">
      <c r="B2" s="516" t="str">
        <f>Spain!$D$4</f>
        <v>BU Spain</v>
      </c>
      <c r="C2" s="515" t="str">
        <f>Spain!$D$17</f>
        <v>Spain</v>
      </c>
      <c r="D2" s="515" t="str">
        <f>Spain!$D$15</f>
        <v>Madrid</v>
      </c>
      <c r="E2" s="516" t="str">
        <f>Spain!$D$14</f>
        <v>Calle Ramirez de Arellano 35</v>
      </c>
      <c r="F2" s="531" t="str">
        <f>Spain!$D$11</f>
        <v>SP01</v>
      </c>
      <c r="G2" s="520">
        <f>Spain!$D$40</f>
        <v>46401</v>
      </c>
      <c r="H2" s="515"/>
      <c r="L2" s="569" t="s">
        <v>293</v>
      </c>
      <c r="M2" s="569" t="s">
        <v>294</v>
      </c>
      <c r="N2" s="570" t="s">
        <v>295</v>
      </c>
      <c r="O2" s="570" t="s">
        <v>297</v>
      </c>
      <c r="P2" s="570" t="s">
        <v>299</v>
      </c>
      <c r="Q2" s="570" t="s">
        <v>314</v>
      </c>
      <c r="R2" s="570" t="s">
        <v>321</v>
      </c>
    </row>
    <row r="3" spans="2:18" ht="25" customHeight="1" thickTop="1">
      <c r="B3" s="516" t="str">
        <f>Portugal!$D$4</f>
        <v>Portugal</v>
      </c>
      <c r="C3" s="515" t="str">
        <f>Portugal!$D$17</f>
        <v>Portugal</v>
      </c>
      <c r="D3" s="515">
        <f>Portugal!$D$15</f>
        <v>0</v>
      </c>
      <c r="E3" s="516" t="str">
        <f>Portugal!$D$14</f>
        <v>Edificio Miraflores Premium III, Rua Miguel Serrano, 7, pisos 4 e 5
1495-173 Algés</v>
      </c>
      <c r="F3" s="515" t="str">
        <f>Portugal!$D$11</f>
        <v>PT01</v>
      </c>
      <c r="G3" s="520">
        <f>Portugal!$D$40</f>
        <v>49613</v>
      </c>
      <c r="H3" s="515"/>
      <c r="K3" s="515" t="s">
        <v>153</v>
      </c>
      <c r="L3" s="516" t="str">
        <f>Japan!$E$4</f>
        <v>Japan</v>
      </c>
      <c r="M3" s="515" t="str">
        <f>Japan!$E$17</f>
        <v>Japan</v>
      </c>
      <c r="N3" s="515" t="str">
        <f>Japan!$E$15</f>
        <v>Kokurakita-ku, Kitakyushu</v>
      </c>
      <c r="O3" s="516" t="str">
        <f>Japan!$E$14</f>
        <v>2-3-20, Sakaimach</v>
      </c>
      <c r="P3" s="515" t="str">
        <f>Japan!$E$11</f>
        <v>JP02</v>
      </c>
      <c r="Q3" s="520">
        <f>Japan!$E$40</f>
        <v>46081</v>
      </c>
    </row>
    <row r="4" spans="2:18" ht="25" customHeight="1">
      <c r="B4" s="516" t="str">
        <f>Germany!$N$4</f>
        <v>BU Germany (REHACARE)</v>
      </c>
      <c r="C4" s="515" t="str">
        <f>Germany!$N$17</f>
        <v>Germany</v>
      </c>
      <c r="D4" s="515" t="str">
        <f>Germany!$N$15</f>
        <v>Ludwigsburg</v>
      </c>
      <c r="E4" s="516" t="str">
        <f>Germany!$N$14</f>
        <v>Voithstr. 4</v>
      </c>
      <c r="F4" s="515" t="str">
        <f>Germany!$N$11</f>
        <v>DE18</v>
      </c>
      <c r="G4" s="520">
        <f>Germany!$N$40</f>
        <v>46112</v>
      </c>
      <c r="H4" s="515"/>
      <c r="K4" s="515" t="s">
        <v>153</v>
      </c>
      <c r="L4" s="516" t="str">
        <f>Thailand!$E$4</f>
        <v>BU Thailand</v>
      </c>
      <c r="M4" s="515" t="str">
        <f>Thailand!$D$17</f>
        <v>Thailand</v>
      </c>
      <c r="N4" s="515" t="str">
        <f>Thailand!$E$15</f>
        <v>Bangkok</v>
      </c>
      <c r="O4" s="516" t="str">
        <f>Thailand!$E$14</f>
        <v>825 Bangna-Trad Road, Bangna, Bangna, Bangkok  10260</v>
      </c>
      <c r="P4" s="515" t="str">
        <f>Thailand!$E$11</f>
        <v>TH02</v>
      </c>
      <c r="Q4" s="520">
        <f>Thailand!$E$40</f>
        <v>46248</v>
      </c>
    </row>
    <row r="5" spans="2:18" ht="25" customHeight="1">
      <c r="B5" s="516" t="str">
        <f>Spain!$F$4</f>
        <v>Multiasistencia</v>
      </c>
      <c r="C5" s="515" t="str">
        <f>Spain!$F$17</f>
        <v>Spain</v>
      </c>
      <c r="D5" s="515" t="str">
        <f>Spain!$F$15</f>
        <v>Barcelona</v>
      </c>
      <c r="E5" s="516" t="str">
        <f>Spain!$F$14</f>
        <v>Roger de Lluria, 50 : Locales A y B</v>
      </c>
      <c r="F5" s="515" t="str">
        <f>Spain!$F$11</f>
        <v>MA02</v>
      </c>
      <c r="G5" s="520">
        <f>Spain!$F$40</f>
        <v>46116</v>
      </c>
      <c r="H5" s="577" t="s">
        <v>1467</v>
      </c>
      <c r="K5" s="515" t="s">
        <v>153</v>
      </c>
      <c r="L5" s="516" t="str">
        <f>India!$D$4</f>
        <v>BU India</v>
      </c>
      <c r="M5" s="515" t="str">
        <f>India!$D$17</f>
        <v>India</v>
      </c>
      <c r="N5" s="515" t="str">
        <f>India!$D$15</f>
        <v>Gurgaon, Haryana</v>
      </c>
      <c r="O5" s="516" t="str">
        <f>India!$D$14</f>
        <v xml:space="preserve"> DLF Square, M- Block, Jacaranda Marg, DLF City Phase-2</v>
      </c>
      <c r="P5" s="515" t="str">
        <f>India!$D$11</f>
        <v>IN01</v>
      </c>
      <c r="Q5" s="520">
        <f>India!$D$40</f>
        <v>46326</v>
      </c>
    </row>
    <row r="6" spans="2:18" ht="25" customHeight="1">
      <c r="B6" s="516" t="str">
        <f>Germany!$AE$4</f>
        <v>Global Office</v>
      </c>
      <c r="C6" s="515" t="str">
        <f>Germany!$AE$17</f>
        <v>Germany</v>
      </c>
      <c r="D6" s="515" t="str">
        <f>Germany!$AE$15</f>
        <v>Munich</v>
      </c>
      <c r="E6" s="516" t="str">
        <f>Germany!$AE$14</f>
        <v>Atelierstrasse 14</v>
      </c>
      <c r="F6" s="515" t="str">
        <f>Germany!$AE$11</f>
        <v>DE29</v>
      </c>
      <c r="G6" s="520">
        <f>Germany!$AE$40</f>
        <v>46142</v>
      </c>
      <c r="H6" s="577" t="s">
        <v>1468</v>
      </c>
      <c r="K6" s="515"/>
      <c r="L6" s="516"/>
      <c r="M6" s="515"/>
      <c r="N6" s="515"/>
      <c r="O6" s="516"/>
      <c r="P6" s="515"/>
      <c r="Q6" s="520"/>
    </row>
    <row r="7" spans="2:18" ht="25" customHeight="1">
      <c r="B7" s="516" t="str">
        <f>Germany!$F$4</f>
        <v>BU Germany (AHS)</v>
      </c>
      <c r="C7" s="515" t="str">
        <f>Germany!$F$17</f>
        <v>Germany</v>
      </c>
      <c r="D7" s="515" t="str">
        <f>Germany!$F$15</f>
        <v>Berlin</v>
      </c>
      <c r="E7" s="516" t="str">
        <f>Germany!$F$14</f>
        <v>Albert-Einstein-Strasse 1a</v>
      </c>
      <c r="F7" s="515" t="str">
        <f>Germany!$F$11</f>
        <v>DE02</v>
      </c>
      <c r="G7" s="520">
        <f>Germany!$F$40</f>
        <v>46157</v>
      </c>
      <c r="H7" s="515"/>
      <c r="K7" s="515" t="s">
        <v>153</v>
      </c>
      <c r="L7" s="516" t="str">
        <f>Hongkong!$D$4</f>
        <v>BU Hongkong</v>
      </c>
      <c r="M7" s="515" t="str">
        <f>Hongkong!$D$17</f>
        <v>Hongkong, China</v>
      </c>
      <c r="N7" s="515" t="str">
        <f>Hongkong!$D$15</f>
        <v>Hongkong</v>
      </c>
      <c r="O7" s="516" t="str">
        <f>Hongkong!$D$14</f>
        <v>12 Taikoo Wan Road, Taikoo Shing</v>
      </c>
      <c r="P7" s="515" t="str">
        <f>Hongkong!$D$11</f>
        <v>HK01</v>
      </c>
      <c r="Q7" s="520">
        <f>Hongkong!$D$40</f>
        <v>46491</v>
      </c>
    </row>
    <row r="8" spans="2:18" ht="25" customHeight="1">
      <c r="B8" s="516" t="str">
        <f>France!$D$4</f>
        <v>BU France</v>
      </c>
      <c r="C8" s="515" t="str">
        <f>France!$G$17</f>
        <v>France</v>
      </c>
      <c r="D8" s="515" t="str">
        <f>France!$G$15</f>
        <v>Chatillon</v>
      </c>
      <c r="E8" s="516" t="str">
        <f>France!$G$14</f>
        <v>79-81 Rue Pierre Semard</v>
      </c>
      <c r="F8" s="515" t="str">
        <f>France!$G$11</f>
        <v>FR05</v>
      </c>
      <c r="G8" s="520">
        <f>France!$G$40</f>
        <v>46295</v>
      </c>
      <c r="H8" s="515"/>
      <c r="K8" s="515" t="s">
        <v>153</v>
      </c>
      <c r="L8" s="516" t="str">
        <f>China!$D$4</f>
        <v>BU China</v>
      </c>
      <c r="M8" s="515" t="str">
        <f>China!$F$17</f>
        <v>China</v>
      </c>
      <c r="N8" s="515" t="str">
        <f>China!$F$15</f>
        <v xml:space="preserve">Shanghai </v>
      </c>
      <c r="O8" s="516" t="str">
        <f>China!$F$14</f>
        <v>Shanghai Tower, No.501 Yincheng Zhong Road, Pudong District</v>
      </c>
      <c r="P8" s="515" t="str">
        <f>China!$F$11</f>
        <v>CN03</v>
      </c>
      <c r="Q8" s="520">
        <f>China!$F$40</f>
        <v>46644</v>
      </c>
    </row>
    <row r="9" spans="2:18" ht="25" customHeight="1">
      <c r="B9" s="516" t="str">
        <f>Spain!$H$4</f>
        <v>Multiasistencia</v>
      </c>
      <c r="C9" s="515" t="str">
        <f>Spain!$H$17</f>
        <v>Spain</v>
      </c>
      <c r="D9" s="515" t="str">
        <f>Spain!$H$15</f>
        <v>Seville</v>
      </c>
      <c r="E9" s="516" t="str">
        <f>Spain!$H$14</f>
        <v>Avda.San Francisco Javier nº 15, planta 2ª modulos B y C</v>
      </c>
      <c r="F9" s="515" t="str">
        <f>Spain!$H$11</f>
        <v>MA03</v>
      </c>
      <c r="G9" s="520">
        <f>Spain!$H$40</f>
        <v>46310</v>
      </c>
      <c r="H9" s="578" t="s">
        <v>1467</v>
      </c>
      <c r="K9" s="515" t="s">
        <v>153</v>
      </c>
      <c r="L9" s="516" t="str">
        <f>Japan!$D$4</f>
        <v>Japan</v>
      </c>
      <c r="M9" s="515" t="str">
        <f>Japan!$D$17</f>
        <v>Japan</v>
      </c>
      <c r="N9" s="515" t="str">
        <f>Japan!$D$15</f>
        <v>Shinagawa-ku, Tokyo</v>
      </c>
      <c r="O9" s="516" t="str">
        <f>Japan!$D$14</f>
        <v>4-12-8, Higashishinagawa</v>
      </c>
      <c r="P9" s="515" t="str">
        <f>Japan!$D$11</f>
        <v>JP01</v>
      </c>
      <c r="Q9" s="520">
        <f>Japan!$D$40</f>
        <v>46660</v>
      </c>
    </row>
    <row r="10" spans="2:18" ht="25" customHeight="1">
      <c r="B10" s="516" t="str">
        <f>Germany!$S$4</f>
        <v>BU Germany (MKS)</v>
      </c>
      <c r="C10" s="515" t="str">
        <f>Germany!$S$17</f>
        <v>Germany</v>
      </c>
      <c r="D10" s="515" t="str">
        <f>Germany!$S$15</f>
        <v>Nürnberg</v>
      </c>
      <c r="E10" s="516" t="str">
        <f>Germany!$S$14</f>
        <v>Deutschherrnstraße 15-19</v>
      </c>
      <c r="F10" s="515" t="str">
        <f>Germany!$S$11</f>
        <v>DE13</v>
      </c>
      <c r="G10" s="520">
        <f>Germany!$S$40</f>
        <v>46326</v>
      </c>
      <c r="H10" s="515"/>
      <c r="K10" s="515" t="s">
        <v>153</v>
      </c>
      <c r="L10" s="516" t="str">
        <f>Malaysia!$E$4</f>
        <v>BU Malaysia</v>
      </c>
      <c r="M10" s="515" t="str">
        <f>Malaysia!$E$17</f>
        <v>Malaysia</v>
      </c>
      <c r="N10" s="515" t="str">
        <f>Malaysia!$E$15</f>
        <v>Kuala Lumpur</v>
      </c>
      <c r="O10" s="516" t="str">
        <f>Malaysia!$E$14</f>
        <v>UOA Centre  ·  No. 19 Jalan Pinang, 50450 Kuala Lumpur  ·  Malaysia (2nd contract)</v>
      </c>
      <c r="P10" s="515" t="str">
        <f>Malaysia!$E$11</f>
        <v>MY01</v>
      </c>
      <c r="Q10" s="520">
        <f>Malaysia!$E$40</f>
        <v>46752</v>
      </c>
    </row>
    <row r="11" spans="2:18" ht="25" customHeight="1">
      <c r="B11" s="516" t="str">
        <f>Spain!$J$4</f>
        <v>Multiasistencia</v>
      </c>
      <c r="C11" s="515" t="str">
        <f>Spain!$J$17</f>
        <v>Spain</v>
      </c>
      <c r="D11" s="515" t="str">
        <f>Spain!$J$15</f>
        <v>Bilbao</v>
      </c>
      <c r="E11" s="516" t="str">
        <f>Spain!$J$14</f>
        <v>Calle Barroeta Aldamar 6, 2ªplanta mano DI - Bilbao</v>
      </c>
      <c r="F11" s="531" t="str">
        <f>Spain!$J$11</f>
        <v>MA04</v>
      </c>
      <c r="G11" s="520">
        <f>Spain!$J$40</f>
        <v>46341</v>
      </c>
      <c r="H11" s="577" t="s">
        <v>1467</v>
      </c>
      <c r="K11" s="515"/>
      <c r="L11" s="516"/>
      <c r="M11" s="515"/>
      <c r="N11" s="515"/>
      <c r="O11" s="516"/>
      <c r="P11" s="531"/>
      <c r="Q11" s="520"/>
    </row>
    <row r="12" spans="2:18" ht="25" customHeight="1">
      <c r="B12" s="516" t="str">
        <f>France!$D$4</f>
        <v>BU France</v>
      </c>
      <c r="C12" s="515" t="str">
        <f>France!$F$17</f>
        <v>France</v>
      </c>
      <c r="D12" s="515" t="str">
        <f>France!$F$15</f>
        <v>Saint Ouen</v>
      </c>
      <c r="E12" s="516" t="str">
        <f>France!$F$14</f>
        <v xml:space="preserve">151 Boulevard Victor Hugo
</v>
      </c>
      <c r="F12" s="515" t="str">
        <f>France!$F$11</f>
        <v>FR03</v>
      </c>
      <c r="G12" s="520">
        <f>France!$F$40</f>
        <v>46356</v>
      </c>
      <c r="H12" s="579" t="s">
        <v>1469</v>
      </c>
      <c r="K12" s="515" t="s">
        <v>153</v>
      </c>
      <c r="L12" s="516" t="str">
        <f>Singapore!$D$4</f>
        <v>BU Singapore</v>
      </c>
      <c r="M12" s="515" t="str">
        <f>Singapore!$D$17</f>
        <v>Singapore</v>
      </c>
      <c r="N12" s="515" t="str">
        <f>Singapore!$D$15</f>
        <v>Singapore</v>
      </c>
      <c r="O12" s="516" t="str">
        <f>Singapore!$D$14</f>
        <v>79 Robinson Road #09-01, Singapore 068897</v>
      </c>
      <c r="P12" s="515" t="str">
        <f>Singapore!$D$11</f>
        <v>SG01</v>
      </c>
      <c r="Q12" s="520">
        <f>Singapore!$D$40</f>
        <v>46770</v>
      </c>
    </row>
    <row r="13" spans="2:18" ht="25" customHeight="1">
      <c r="B13" s="516" t="str">
        <f>Germany!$U$4</f>
        <v>BU Germany (MAWISTA)</v>
      </c>
      <c r="C13" s="515" t="str">
        <f>Germany!$U$17</f>
        <v>Germany</v>
      </c>
      <c r="D13" s="515" t="str">
        <f>Germany!$U$15</f>
        <v>Plochingen</v>
      </c>
      <c r="E13" s="516" t="str">
        <f>Germany!$U$14</f>
        <v>Esslinger Str. 83</v>
      </c>
      <c r="F13" s="515" t="str">
        <f>Germany!$U$11</f>
        <v>DE12</v>
      </c>
      <c r="G13" s="520">
        <f>Germany!$U$40</f>
        <v>46477</v>
      </c>
      <c r="H13" s="515"/>
      <c r="K13" s="515" t="s">
        <v>153</v>
      </c>
      <c r="L13" s="516" t="str">
        <f>India!$E$4</f>
        <v>BU India</v>
      </c>
      <c r="M13" s="515" t="str">
        <f>India!$E$17</f>
        <v>India</v>
      </c>
      <c r="N13" s="515" t="str">
        <f>India!$E$15</f>
        <v>Gurgaon, Haryana</v>
      </c>
      <c r="O13" s="516" t="str">
        <f>India!$E$14</f>
        <v>Unit No. 601-620 And 701-724, Spaze Business Park, Sec - 66</v>
      </c>
      <c r="P13" s="515" t="str">
        <f>India!$E$11</f>
        <v>IN02</v>
      </c>
      <c r="Q13" s="520">
        <f>India!$E$40</f>
        <v>46796</v>
      </c>
    </row>
    <row r="14" spans="2:18" ht="25" customHeight="1">
      <c r="B14" s="516" t="str">
        <f>Hungary!$D$4</f>
        <v>BU Austria</v>
      </c>
      <c r="C14" s="515" t="str">
        <f>Hungary!$D$17</f>
        <v>Hungary</v>
      </c>
      <c r="D14" s="515" t="str">
        <f>Hungary!$D$15</f>
        <v>Budapest</v>
      </c>
      <c r="E14" s="516" t="str">
        <f>Hungary!$D$14</f>
        <v>Könyves Kalman krt. 48-52</v>
      </c>
      <c r="F14" s="515" t="str">
        <f>Hungary!$D$11</f>
        <v>HU01</v>
      </c>
      <c r="G14" s="520">
        <f>Hungary!$D$40</f>
        <v>46477</v>
      </c>
      <c r="H14" s="515"/>
      <c r="K14" s="515" t="s">
        <v>153</v>
      </c>
      <c r="L14" s="516" t="str">
        <f>India!$F$4</f>
        <v>BU India</v>
      </c>
      <c r="M14" s="515" t="str">
        <f>India!$F$17</f>
        <v>India</v>
      </c>
      <c r="N14" s="515" t="str">
        <f>India!$F$15</f>
        <v>Noida, Uttar Pradesh</v>
      </c>
      <c r="O14" s="516" t="str">
        <f>India!$F$14</f>
        <v xml:space="preserve">11th Floor, Tower -03, Candor Techspace IT Park, Plot No. B-2, Sector 62, Noida </v>
      </c>
      <c r="P14" s="515" t="str">
        <f>India!$F$11</f>
        <v>IN03</v>
      </c>
      <c r="Q14" s="520">
        <f>India!$F$40</f>
        <v>46918</v>
      </c>
    </row>
    <row r="15" spans="2:18" ht="25" customHeight="1">
      <c r="B15" s="516"/>
      <c r="C15" s="515"/>
      <c r="D15" s="515"/>
      <c r="E15" s="516"/>
      <c r="F15" s="515"/>
      <c r="G15" s="520"/>
      <c r="H15" s="515"/>
      <c r="K15" s="515" t="s">
        <v>153</v>
      </c>
      <c r="L15" s="516" t="str">
        <f>China!$D$4</f>
        <v>BU China</v>
      </c>
      <c r="M15" s="515" t="str">
        <f>China!$D$17</f>
        <v>China</v>
      </c>
      <c r="N15" s="515" t="str">
        <f>China!$E$15</f>
        <v>Chengdu</v>
      </c>
      <c r="O15" s="516" t="str">
        <f>China!$E$14</f>
        <v xml:space="preserve"> E zone, Tianfu Software Park,  Gaoxin District, Chengdu</v>
      </c>
      <c r="P15" s="515" t="str">
        <f>China!$E$11</f>
        <v>CN02</v>
      </c>
      <c r="Q15" s="520">
        <f>China!$E$40</f>
        <v>46934</v>
      </c>
    </row>
    <row r="16" spans="2:18" ht="25" customHeight="1">
      <c r="B16" s="516"/>
      <c r="C16" s="515"/>
      <c r="D16" s="515"/>
      <c r="E16" s="516"/>
      <c r="F16" s="515"/>
      <c r="G16" s="520"/>
      <c r="H16" s="515"/>
      <c r="K16" s="515" t="s">
        <v>153</v>
      </c>
      <c r="L16" s="516" t="str">
        <f>Australia!$D$4</f>
        <v>BU Australia</v>
      </c>
      <c r="M16" s="515" t="str">
        <f>Australia!$D$17</f>
        <v>Australia</v>
      </c>
      <c r="N16" s="515" t="str">
        <f>Australia!$D$15</f>
        <v>Brisbane</v>
      </c>
      <c r="O16" s="516" t="str">
        <f>Australia!$D$14</f>
        <v xml:space="preserve">310 Ann St </v>
      </c>
      <c r="P16" s="515" t="str">
        <f>Australia!$D$11</f>
        <v>AU01</v>
      </c>
      <c r="Q16" s="520">
        <f>Australia!$D$40</f>
        <v>47361</v>
      </c>
    </row>
    <row r="17" spans="2:17" ht="25" customHeight="1">
      <c r="K17" s="515" t="s">
        <v>153</v>
      </c>
      <c r="L17" s="516" t="str">
        <f>India!$G$4</f>
        <v>BU India</v>
      </c>
      <c r="M17" s="515" t="str">
        <f>India!$G$17</f>
        <v>India</v>
      </c>
      <c r="N17" s="515" t="str">
        <f>India!$G$15</f>
        <v>Gurugram</v>
      </c>
      <c r="O17" s="516" t="str">
        <f>India!$G$14</f>
        <v xml:space="preserve">International Tech Park Gurgaon, Block-1, 8th Floor | IT/ITES SEZ, Village Behrampur, Near Sector 59
Gurugram 122101 Haryana | India </v>
      </c>
      <c r="P17" s="515" t="str">
        <f>India!$G$11</f>
        <v>IN04</v>
      </c>
      <c r="Q17" s="520">
        <f>India!$G$40</f>
        <v>47514</v>
      </c>
    </row>
    <row r="18" spans="2:17" ht="25" customHeight="1" thickBot="1">
      <c r="B18" s="569" t="s">
        <v>293</v>
      </c>
      <c r="C18" s="569" t="s">
        <v>294</v>
      </c>
      <c r="D18" s="570" t="s">
        <v>295</v>
      </c>
      <c r="E18" s="570" t="s">
        <v>297</v>
      </c>
      <c r="F18" s="570" t="s">
        <v>299</v>
      </c>
      <c r="G18" s="570" t="s">
        <v>314</v>
      </c>
      <c r="H18" s="570" t="s">
        <v>321</v>
      </c>
      <c r="K18" s="515" t="s">
        <v>153</v>
      </c>
      <c r="L18" s="516" t="str">
        <f>NewZealand!$D$4</f>
        <v>New Zealand</v>
      </c>
      <c r="M18" s="515" t="str">
        <f>NewZealand!$D$17</f>
        <v>New Zealand</v>
      </c>
      <c r="N18" s="515" t="str">
        <f>NewZealand!$D$15</f>
        <v>Auckland</v>
      </c>
      <c r="O18" s="516" t="str">
        <f>NewZealand!$D$14</f>
        <v>1 Byron Avenue, Takapuna</v>
      </c>
      <c r="P18" s="515" t="str">
        <f>NewZealand!$D$11</f>
        <v>NZ01</v>
      </c>
      <c r="Q18" s="520">
        <f>NewZealand!$D$40</f>
        <v>47695</v>
      </c>
    </row>
    <row r="19" spans="2:17" ht="25" customHeight="1" thickTop="1">
      <c r="B19" s="516" t="str">
        <f>SaudiArabia!$E$4</f>
        <v>Nextcare</v>
      </c>
      <c r="C19" s="515" t="str">
        <f>SaudiArabia!$E$17</f>
        <v>Kingdom of Saudi Arabia</v>
      </c>
      <c r="D19" s="515" t="str">
        <f>SaudiArabia!$E$15</f>
        <v>Riyadh</v>
      </c>
      <c r="E19" s="516" t="str">
        <f>SaudiArabia!$E$14</f>
        <v xml:space="preserve">Al Immam Saud Ibn Abdul Aziz Rd.Riyadh office, Riyadh - Al Nakhil - Building no. 5288 B- Building </v>
      </c>
      <c r="F19" s="515" t="str">
        <f>SaudiArabia!$E$11</f>
        <v>SA02</v>
      </c>
      <c r="G19" s="520">
        <f>SaudiArabia!$E$40</f>
        <v>46180</v>
      </c>
      <c r="K19" s="515" t="s">
        <v>153</v>
      </c>
      <c r="L19" s="516" t="str">
        <f>Indonesia!$D$4</f>
        <v>BU Indonesia</v>
      </c>
      <c r="M19" s="515" t="str">
        <f>Indonesia!$D$17</f>
        <v>Indonesia</v>
      </c>
      <c r="N19" s="515" t="str">
        <f>Indonesia!$D$15</f>
        <v>Jakarta</v>
      </c>
      <c r="O19" s="516" t="str">
        <f>Indonesia!$D$14</f>
        <v>Gedung World Trade Centre, 6 Lantai 3A, JL Jenoral Sudirman Kavling 29-21 Karet Setiabudi Kota Adm, Jakarta Selantan Dki Jakarta</v>
      </c>
      <c r="P19" s="515" t="str">
        <f>Indonesia!$D$11</f>
        <v>ID01</v>
      </c>
      <c r="Q19" s="520">
        <f>Indonesia!$D$40</f>
        <v>47968</v>
      </c>
    </row>
    <row r="20" spans="2:17" ht="25" customHeight="1">
      <c r="B20" s="516" t="str">
        <f>SaudiArabia!$D$4</f>
        <v>Nextcare</v>
      </c>
      <c r="C20" s="515" t="str">
        <f>SaudiArabia!$D$17</f>
        <v>Kingdom of Saudi Arabia</v>
      </c>
      <c r="D20" s="515" t="str">
        <f>SaudiArabia!$D$15</f>
        <v xml:space="preserve">Al Khobar  </v>
      </c>
      <c r="E20" s="516" t="str">
        <f>SaudiArabia!$D$14</f>
        <v>Al Khobar Al Janubiyah, 1st Floor Al Rabiah &amp; Nassar Building</v>
      </c>
      <c r="F20" s="515" t="str">
        <f>SaudiArabia!$D$11</f>
        <v>SA01</v>
      </c>
      <c r="G20" s="520">
        <f>SaudiArabia!$D$40</f>
        <v>46022</v>
      </c>
      <c r="K20" s="515" t="s">
        <v>153</v>
      </c>
      <c r="L20" s="516" t="str">
        <f>Thailand!$D$4</f>
        <v>BU Thailand</v>
      </c>
      <c r="M20" s="515" t="str">
        <f>Thailand!$D$17</f>
        <v>Thailand</v>
      </c>
      <c r="N20" s="515" t="str">
        <f>Thailand!$D$15</f>
        <v>Bangkok</v>
      </c>
      <c r="O20" s="516" t="str">
        <f>Thailand!$D$14</f>
        <v>7th Floor, City Link Tower, 1091/335 Soi Petchburi 35 
New Petchburi Road, Makkasan, Rajathevi, Bangkok 10400 Thailand</v>
      </c>
      <c r="P20" s="531" t="str">
        <f>Thailand!$D$11</f>
        <v>TH01</v>
      </c>
      <c r="Q20" s="520">
        <f>Thailand!$D$40</f>
        <v>48060</v>
      </c>
    </row>
    <row r="21" spans="2:17" ht="25" customHeight="1">
      <c r="B21" s="516" t="str">
        <f>Qatar!$E$4</f>
        <v>Nextcare</v>
      </c>
      <c r="C21" s="515" t="str">
        <f>Qatar!$E$17</f>
        <v xml:space="preserve">Qatar  </v>
      </c>
      <c r="D21" s="515" t="str">
        <f>Qatar!$E$15</f>
        <v>Doha</v>
      </c>
      <c r="E21" s="516" t="str">
        <f>Qatar!$E$14</f>
        <v xml:space="preserve">Al Jaidah Square Business Centre 63 Airport Road, Umm Ghuwailina- Zone 27 </v>
      </c>
      <c r="F21" s="515" t="str">
        <f>Qatar!$E$11</f>
        <v>QT01</v>
      </c>
      <c r="G21" s="520">
        <f>Qatar!$E$40</f>
        <v>46173</v>
      </c>
      <c r="K21" s="515" t="s">
        <v>153</v>
      </c>
      <c r="L21" s="516" t="str">
        <f>Australia!$D$4</f>
        <v>BU Australia</v>
      </c>
      <c r="M21" s="515" t="str">
        <f>Australia!$E$17</f>
        <v>Australia</v>
      </c>
      <c r="N21" s="515" t="str">
        <f>Australia!$E$15</f>
        <v>Brisbane</v>
      </c>
      <c r="O21" s="516" t="str">
        <f>Australia!$E$14</f>
        <v>310 Ann St</v>
      </c>
      <c r="P21" s="515" t="str">
        <f>Australia!$E$11</f>
        <v>AU01</v>
      </c>
      <c r="Q21" s="520" t="e">
        <f>Australia!#REF!</f>
        <v>#REF!</v>
      </c>
    </row>
    <row r="22" spans="2:17" ht="25" customHeight="1">
      <c r="B22" s="516" t="str">
        <f>Qatar!$D$4</f>
        <v>International Health</v>
      </c>
      <c r="C22" s="515" t="str">
        <f>Qatar!$D$17</f>
        <v xml:space="preserve">Qatar  </v>
      </c>
      <c r="D22" s="515" t="str">
        <f>Qatar!$D$15</f>
        <v>Doha  </v>
      </c>
      <c r="E22" s="516" t="str">
        <f>Qatar!$D$14</f>
        <v>Allianz Partners Office 604C , Jaidah Square Building 63 Airport Road </v>
      </c>
      <c r="F22" s="515" t="str">
        <f>Qatar!$D$11</f>
        <v>QT01</v>
      </c>
      <c r="G22" s="520">
        <f>Qatar!$D$40</f>
        <v>46173</v>
      </c>
      <c r="K22" s="515" t="s">
        <v>153</v>
      </c>
      <c r="L22" s="516"/>
      <c r="M22" s="515"/>
      <c r="N22" s="515"/>
      <c r="O22" s="516"/>
      <c r="P22" s="515"/>
      <c r="Q22" s="520"/>
    </row>
    <row r="23" spans="2:17" ht="25" customHeight="1">
      <c r="B23" s="516" t="str">
        <f>UnitesArabEmirates!$G$4</f>
        <v>Nextcare</v>
      </c>
      <c r="C23" s="515" t="str">
        <f>UnitesArabEmirates!$G$17</f>
        <v>UAE</v>
      </c>
      <c r="D23" s="515" t="str">
        <f>UnitesArabEmirates!$G$15</f>
        <v xml:space="preserve">Abu Dhabi  </v>
      </c>
      <c r="E23" s="516" t="str">
        <f>UnitesArabEmirates!$G$14</f>
        <v>Sakeena Nest Building Al Nahyan Area (mobile street) Close to Burjeel Hospital</v>
      </c>
      <c r="F23" s="515" t="str">
        <f>UnitesArabEmirates!$G$11</f>
        <v>UA03</v>
      </c>
      <c r="G23" s="520">
        <f>UnitesArabEmirates!$G$40</f>
        <v>46295</v>
      </c>
    </row>
    <row r="24" spans="2:17" ht="25" customHeight="1">
      <c r="B24" s="516" t="str">
        <f>Egypt!$D$4</f>
        <v>Nextcare</v>
      </c>
      <c r="C24" s="515" t="str">
        <f>Egypt!$F$17</f>
        <v>Egypt</v>
      </c>
      <c r="D24" s="515" t="str">
        <f>Egypt!$F$15</f>
        <v xml:space="preserve">Mokattem city </v>
      </c>
      <c r="E24" s="516" t="str">
        <f>Egypt!$F$14</f>
        <v>Street 9, Plot no. 8230, Mokattam city, Cairo</v>
      </c>
      <c r="F24" s="515" t="str">
        <f>Egypt!$F$11</f>
        <v>EG02</v>
      </c>
      <c r="G24" s="520">
        <f>Egypt!$F$40</f>
        <v>46325</v>
      </c>
      <c r="H24" t="s">
        <v>1470</v>
      </c>
    </row>
    <row r="25" spans="2:17" ht="25" customHeight="1">
      <c r="B25" s="516" t="str">
        <f>Egypt!$D$4</f>
        <v>Nextcare</v>
      </c>
      <c r="C25" s="515" t="str">
        <f>Egypt!$D$17</f>
        <v>Egypt</v>
      </c>
      <c r="D25" s="515" t="str">
        <f>Egypt!$E$15</f>
        <v>New Cairo</v>
      </c>
      <c r="E25" s="516" t="str">
        <f>Egypt!$E$14</f>
        <v xml:space="preserve">Emerald Twin Plaza, Plot No. (6), 1st settlement, New Cairo, Cairo, Egypt
</v>
      </c>
      <c r="F25" s="515" t="str">
        <f>Egypt!$E$11</f>
        <v>EG01</v>
      </c>
      <c r="G25" s="520">
        <f>Egypt!$E$40</f>
        <v>46356</v>
      </c>
      <c r="H25" t="s">
        <v>1260</v>
      </c>
    </row>
    <row r="26" spans="2:17" ht="25" customHeight="1">
      <c r="B26" s="516" t="str">
        <f>Bahrain!$D$4</f>
        <v>Nextcare</v>
      </c>
      <c r="C26" s="515" t="str">
        <f>Bahrain!$D$17</f>
        <v>Kingdom of Bahrain</v>
      </c>
      <c r="D26" s="515" t="str">
        <f>Bahrain!$D$15</f>
        <v>Manama</v>
      </c>
      <c r="E26" s="516" t="str">
        <f>Bahrain!$D$14</f>
        <v>Exhibition Tower, Building No. 614, Road No. 1011, Block No. 410, Sanabis</v>
      </c>
      <c r="F26" s="515" t="str">
        <f>Bahrain!$D$11</f>
        <v>BH01</v>
      </c>
      <c r="G26" s="520">
        <f>Bahrain!$D$40</f>
        <v>46538</v>
      </c>
    </row>
    <row r="27" spans="2:17" ht="25" customHeight="1">
      <c r="B27" s="516" t="str">
        <f>UnitesArabEmirates!$E$4</f>
        <v>Nextcare</v>
      </c>
      <c r="C27" s="515" t="str">
        <f>UnitesArabEmirates!$D$17</f>
        <v>UAE</v>
      </c>
      <c r="D27" s="515" t="str">
        <f>UnitesArabEmirates!$E$15</f>
        <v>Dubai</v>
      </c>
      <c r="E27" s="516" t="str">
        <f>UnitesArabEmirates!$E$14</f>
        <v>Vakson Building 2 Next to Metropolitan Hotel, Sheikh Zayed Road</v>
      </c>
      <c r="F27" s="515" t="str">
        <f>UnitesArabEmirates!$E$11</f>
        <v>UA02</v>
      </c>
      <c r="G27" s="520" t="str">
        <f>UnitesArabEmirates!$E$40</f>
        <v xml:space="preserve">No </v>
      </c>
    </row>
    <row r="28" spans="2:17" ht="25" customHeight="1">
      <c r="B28" s="516" t="str">
        <f>UnitesArabEmirates!$F$4</f>
        <v>Nextcare</v>
      </c>
      <c r="C28" s="515" t="str">
        <f>UnitesArabEmirates!$F$17</f>
        <v>UAE</v>
      </c>
      <c r="D28" s="515" t="str">
        <f>UnitesArabEmirates!$F$15</f>
        <v>Dubai</v>
      </c>
      <c r="E28" s="516" t="str">
        <f>UnitesArabEmirates!$F$14</f>
        <v>Vakson Building 2 Next to Metropolitan Hotel, Sheikh Zayed Road</v>
      </c>
      <c r="F28" s="515" t="str">
        <f>UnitesArabEmirates!$F$11</f>
        <v>UA02</v>
      </c>
      <c r="G28" s="520">
        <f>UnitesArabEmirates!$F$40</f>
        <v>46649</v>
      </c>
    </row>
    <row r="29" spans="2:17" ht="25" customHeight="1">
      <c r="B29" s="516" t="str">
        <f>UnitesArabEmirates!$H$4</f>
        <v>Nextcare</v>
      </c>
      <c r="C29" s="515" t="str">
        <f>UnitesArabEmirates!$H$17</f>
        <v>UAE</v>
      </c>
      <c r="D29" s="515" t="str">
        <f>UnitesArabEmirates!$H$15</f>
        <v>JLT, Dubai, UAE</v>
      </c>
      <c r="E29" s="516" t="str">
        <f>UnitesArabEmirates!$H$14</f>
        <v>B1 4207 AND 4208, Mazayya Business Avenue</v>
      </c>
      <c r="F29" s="515" t="str">
        <f>UnitesArabEmirates!$H$11</f>
        <v>UA04</v>
      </c>
      <c r="G29" s="520">
        <f>UnitesArabEmirates!$H$40</f>
        <v>46811</v>
      </c>
    </row>
    <row r="30" spans="2:17" ht="25" customHeight="1">
      <c r="B30" s="516" t="str">
        <f>Oman!$D$4</f>
        <v>Nextcare</v>
      </c>
      <c r="C30" s="515" t="str">
        <f>Oman!$D$17</f>
        <v>Sultanate of Oman</v>
      </c>
      <c r="D30" s="515" t="str">
        <f>Oman!$D$15</f>
        <v>Muscat</v>
      </c>
      <c r="E30" s="516" t="str">
        <f>Oman!$D$14</f>
        <v xml:space="preserve">Bldg. no. 1022, Way 1013, Block 210,  OLD EY  Building, Qurum PO Box 548, PC115 </v>
      </c>
      <c r="F30" s="515" t="str">
        <f>Oman!$D$11</f>
        <v>OM01</v>
      </c>
      <c r="G30" s="520">
        <f>Oman!$D$40</f>
        <v>46873</v>
      </c>
    </row>
    <row r="31" spans="2:17" ht="25" customHeight="1">
      <c r="B31" s="516" t="str">
        <f>Oman!$E$4</f>
        <v>Nextcare</v>
      </c>
      <c r="C31" s="515" t="str">
        <f>Oman!$E$17</f>
        <v>Sultanate of Oman</v>
      </c>
      <c r="D31" s="515" t="str">
        <f>Oman!$E$15</f>
        <v>Muscat</v>
      </c>
      <c r="E31" s="516" t="str">
        <f>Oman!$E$14</f>
        <v xml:space="preserve">Bldg. no. 1022, Way 1013, Block 210,  OLD EY  Building, Qurum PO Box 548, PC115 </v>
      </c>
      <c r="F31" s="515" t="str">
        <f>Oman!$E$11</f>
        <v>OM01</v>
      </c>
      <c r="G31" s="520">
        <f>Oman!$E$40</f>
        <v>46873</v>
      </c>
    </row>
    <row r="32" spans="2:17" ht="25" customHeight="1">
      <c r="B32" s="516" t="str">
        <f>UnitesArabEmirates!$D$4</f>
        <v>Nextcare</v>
      </c>
      <c r="C32" s="515" t="str">
        <f>UnitesArabEmirates!$D$17</f>
        <v>UAE</v>
      </c>
      <c r="D32" s="515" t="str">
        <f>UnitesArabEmirates!$D$15</f>
        <v>Dubai</v>
      </c>
      <c r="E32" s="516" t="str">
        <f>UnitesArabEmirates!$D$14</f>
        <v>Boulevard Limited Building, EIFFEL - 2 Sheikh Zayed Rd</v>
      </c>
      <c r="F32" s="531" t="str">
        <f>UnitesArabEmirates!$D$11</f>
        <v>UA01</v>
      </c>
      <c r="G32" s="520">
        <f>UnitesArabEmirates!$D$40</f>
        <v>47695</v>
      </c>
    </row>
    <row r="33" spans="2:7" ht="25" customHeight="1">
      <c r="B33" s="516" t="str">
        <f>Libya!$D$4</f>
        <v>Libya</v>
      </c>
      <c r="C33" s="515" t="str">
        <f>Libya!$D$17</f>
        <v>Lybia</v>
      </c>
      <c r="D33" s="515" t="str">
        <f>Libya!$D$15</f>
        <v>Tripoli</v>
      </c>
      <c r="E33" s="516" t="str">
        <f>Libya!$D$14</f>
        <v>0011 Madlien Office, 
Al Nofflieen, Taqsim Ben Zaglam</v>
      </c>
      <c r="F33" s="515" t="str">
        <f>Libya!$D$11</f>
        <v>LY01</v>
      </c>
      <c r="G33" s="520">
        <f>Libya!$D$40</f>
        <v>47768</v>
      </c>
    </row>
    <row r="34" spans="2:7" ht="25" customHeight="1">
      <c r="B34" s="516" t="str">
        <f>Lebanon!$E$4</f>
        <v>Nextcare</v>
      </c>
      <c r="C34" s="515" t="str">
        <f>Lebanon!$E$17</f>
        <v>Lebanon</v>
      </c>
      <c r="D34" s="515" t="str">
        <f>Lebanon!$E$15</f>
        <v>Beirut</v>
      </c>
      <c r="E34" s="516" t="str">
        <f>Lebanon!$E$14</f>
        <v>Mkaless office, Mkaless 691 Bldg, GF</v>
      </c>
      <c r="F34" s="515" t="str">
        <f>Lebanon!$E$11</f>
        <v>LE02</v>
      </c>
      <c r="G34" s="520">
        <f>Lebanon!$E$40</f>
        <v>48213</v>
      </c>
    </row>
    <row r="35" spans="2:7" ht="25" customHeight="1">
      <c r="B35" s="516" t="str">
        <f>Lebanon!$F$4</f>
        <v>Nextcare</v>
      </c>
      <c r="C35" s="515" t="str">
        <f>Lebanon!$F$17</f>
        <v>Lebanon</v>
      </c>
      <c r="D35" s="515" t="str">
        <f>Lebanon!$F$15</f>
        <v>Beirut</v>
      </c>
      <c r="E35" s="516" t="str">
        <f>Lebanon!$F$14</f>
        <v>Nextcare Bldg.,Father Naamtallah Kahale Street, Saloumi, Sin El Fil</v>
      </c>
      <c r="F35" s="515" t="str">
        <f>Lebanon!$F$11</f>
        <v>LE01</v>
      </c>
      <c r="G35" s="520">
        <f>Lebanon!$F$40</f>
        <v>48213</v>
      </c>
    </row>
    <row r="36" spans="2:7" ht="25" customHeight="1">
      <c r="B36" s="516" t="str">
        <f>Lebanon!$D$4</f>
        <v>Nextcare</v>
      </c>
      <c r="C36" s="515" t="str">
        <f>Lebanon!$D$17</f>
        <v>Lebanon</v>
      </c>
      <c r="D36" s="515" t="str">
        <f>Lebanon!$D$15</f>
        <v>Beirut</v>
      </c>
      <c r="E36" s="516" t="str">
        <f>Lebanon!$D$14</f>
        <v>Nextcare Bldg.,Father Naamtallah Kahale Street, Saloumi, Sin El Fil</v>
      </c>
      <c r="F36" s="515" t="str">
        <f>Lebanon!$D$11</f>
        <v>LE01</v>
      </c>
      <c r="G36" s="520">
        <f>Lebanon!$D$40</f>
        <v>48228</v>
      </c>
    </row>
    <row r="37" spans="2:7" ht="25" customHeight="1">
      <c r="B37" s="516" t="str">
        <f>Egypt!$D$4</f>
        <v>Nextcare</v>
      </c>
      <c r="C37" s="515" t="str">
        <f>Egypt!$D$17</f>
        <v>Egypt</v>
      </c>
      <c r="D37" s="515" t="str">
        <f>Egypt!$D$15</f>
        <v>New Cairo</v>
      </c>
      <c r="E37" s="516" t="str">
        <f>Egypt!$D$14</f>
        <v xml:space="preserve">Emerald Twin Plaza, Plot No. (6), 1st settlement, New Cairo, Cairo, Egypt
</v>
      </c>
      <c r="F37" s="515" t="str">
        <f>Egypt!$D$11</f>
        <v>EG01</v>
      </c>
      <c r="G37" s="520">
        <f>Egypt!$D$40</f>
        <v>48365</v>
      </c>
    </row>
    <row r="38" spans="2:7" ht="25" customHeight="1">
      <c r="B38" s="516" t="str">
        <f>Lebanon!$G$4</f>
        <v>Nextcare</v>
      </c>
      <c r="C38" s="515" t="str">
        <f>Lebanon!$G$17</f>
        <v>Lebanon</v>
      </c>
      <c r="D38" s="515" t="str">
        <f>Lebanon!$G$15</f>
        <v>Beirut</v>
      </c>
      <c r="E38" s="516" t="str">
        <f>Lebanon!$G$14</f>
        <v>Nextcare Bldg.,Father Naamtallah Kahale Street, Saloumi, Sin El Fil</v>
      </c>
      <c r="F38" s="515" t="str">
        <f>Lebanon!$G$11</f>
        <v>LE01</v>
      </c>
      <c r="G38" s="520">
        <f>Lebanon!$G$40</f>
        <v>48579</v>
      </c>
    </row>
    <row r="39" spans="2:7" ht="25" customHeight="1">
      <c r="B39" s="516" t="str">
        <f>Belgium!$D$4</f>
        <v>International Health</v>
      </c>
      <c r="C39" s="515" t="str">
        <f>Belgium!$D$17</f>
        <v>Belgium</v>
      </c>
      <c r="D39" s="515" t="str">
        <f>Belgium!$D$15</f>
        <v>Brussels</v>
      </c>
      <c r="E39" s="516" t="str">
        <f>Belgium!$D$14</f>
        <v>Allianz Tower Koning Boulevard du Roi Albert II, 32 (Albert II Laan)</v>
      </c>
      <c r="F39" s="515" t="str">
        <f>Belgium!$D$11</f>
        <v>BE01</v>
      </c>
      <c r="G39" s="520">
        <f>Belgium!$D$40</f>
        <v>47208</v>
      </c>
    </row>
    <row r="40" spans="2:7" ht="25" customHeight="1">
      <c r="B40" s="516" t="str">
        <f>Philippines!$D$4</f>
        <v>International Health</v>
      </c>
      <c r="C40" s="515" t="str">
        <f>Philippines!$D$17</f>
        <v>Philippines</v>
      </c>
      <c r="D40" s="515" t="str">
        <f>Philippines!$D$15</f>
        <v>Makati City (Manila)</v>
      </c>
      <c r="E40" s="516" t="str">
        <f>Philippines!$D$14</f>
        <v>9th floor, 
Allied Bank Center, 
6754 Ayala Avenue Corner
Legaspi Street, 
Makati City, 
Philippines</v>
      </c>
      <c r="F40" s="515" t="str">
        <f>Philippines!$D$11</f>
        <v>PH01</v>
      </c>
      <c r="G40" s="515" t="str">
        <f>Philippines!$D$40</f>
        <v>4/12/2026 (As per meeting 1/27/2026, PNB life will extend he contract up until this date. Initilayy, beyond 4/13/2026 , the contract will be named to AZ Partners PH</v>
      </c>
    </row>
    <row r="41" spans="2:7" ht="25" customHeight="1">
      <c r="B41" s="516">
        <f>Ireland!$G$4</f>
        <v>0</v>
      </c>
      <c r="C41" s="515" t="str">
        <f>Ireland!$G$17</f>
        <v>Ireland</v>
      </c>
      <c r="D41" s="515" t="str">
        <f>Ireland!$G$15</f>
        <v>Dublin</v>
      </c>
      <c r="E41" s="516" t="str">
        <f>Ireland!$G$14</f>
        <v>Building 12 B
Joyce Way, Park West Business Campus, Nangor Road,</v>
      </c>
      <c r="F41" s="515" t="str">
        <f>Ireland!$G$11</f>
        <v>IR04</v>
      </c>
      <c r="G41" s="520" t="str">
        <f>Ireland!$G$40</f>
        <v>N/A</v>
      </c>
    </row>
    <row r="42" spans="2:7" ht="25" customHeight="1">
      <c r="B42" s="516">
        <f>Ireland!$H$4</f>
        <v>0</v>
      </c>
      <c r="C42" s="515" t="str">
        <f>Ireland!$H$17</f>
        <v>Ireland</v>
      </c>
      <c r="D42" s="515" t="str">
        <f>Ireland!$H$15</f>
        <v>Dublin</v>
      </c>
      <c r="E42" s="516" t="str">
        <f>Ireland!$H$14</f>
        <v xml:space="preserve">Building 15
Joyce Way, Park West Business Campus, Nangor Road, </v>
      </c>
      <c r="F42" s="515" t="str">
        <f>Ireland!$H$11</f>
        <v>IR05</v>
      </c>
      <c r="G42" s="520" t="str">
        <f>Ireland!$H$40</f>
        <v>N/A</v>
      </c>
    </row>
    <row r="43" spans="2:7" ht="25" customHeight="1">
      <c r="B43" s="516">
        <f>Ireland!$E$4</f>
        <v>0</v>
      </c>
      <c r="C43" s="515" t="str">
        <f>Ireland!$E$17</f>
        <v>Ireland</v>
      </c>
      <c r="D43" s="515" t="str">
        <f>Ireland!$E$15</f>
        <v>Dublin</v>
      </c>
      <c r="E43" s="516" t="str">
        <f>Ireland!$E$14</f>
        <v xml:space="preserve">Building 11 B
Joyce Way, Park West Business Campus, Nangor Road, </v>
      </c>
      <c r="F43" s="515" t="str">
        <f>Ireland!$E$11</f>
        <v>IR02</v>
      </c>
      <c r="G43" s="520" t="str">
        <f>Ireland!$E$40</f>
        <v>N/A</v>
      </c>
    </row>
    <row r="44" spans="2:7" ht="25" customHeight="1">
      <c r="B44" s="516" t="str">
        <f>Ireland!$D$4</f>
        <v>International Health</v>
      </c>
      <c r="C44" s="515" t="str">
        <f>Ireland!$D$17</f>
        <v>Ireland</v>
      </c>
      <c r="D44" s="515" t="str">
        <f>Ireland!$D$15</f>
        <v>Dublin</v>
      </c>
      <c r="E44" s="516" t="str">
        <f>Ireland!$D$14</f>
        <v xml:space="preserve">Building 11 A
Joyce Way, Park West Business Campus, Nangor Road,
</v>
      </c>
      <c r="F44" s="515" t="str">
        <f>Ireland!$D$11</f>
        <v>IR01</v>
      </c>
      <c r="G44" s="520" t="str">
        <f>Ireland!$D$40</f>
        <v>N/A</v>
      </c>
    </row>
    <row r="45" spans="2:7" ht="25" customHeight="1">
      <c r="B45" s="516">
        <f>Ireland!$F$4</f>
        <v>0</v>
      </c>
      <c r="C45" s="515" t="str">
        <f>Ireland!$F$17</f>
        <v>Ireland</v>
      </c>
      <c r="D45" s="515" t="str">
        <f>Ireland!$F$15</f>
        <v>Dublin</v>
      </c>
      <c r="E45" s="516" t="str">
        <f>Ireland!$F$14</f>
        <v xml:space="preserve">Building 12 A
Joyce Way, Park West Business Campus, Nangor Road, </v>
      </c>
      <c r="F45" s="515" t="str">
        <f>Ireland!$F$11</f>
        <v>IR03</v>
      </c>
      <c r="G45" s="520" t="str">
        <f>Ireland!$F$40</f>
        <v>N/A</v>
      </c>
    </row>
    <row r="46" spans="2:7" ht="25" customHeight="1">
      <c r="B46" s="516">
        <f>Ireland!$I$4</f>
        <v>0</v>
      </c>
      <c r="C46" s="515" t="str">
        <f>Ireland!$I$17</f>
        <v>Ireland</v>
      </c>
      <c r="D46" s="515" t="str">
        <f>Ireland!$I$15</f>
        <v>Dublin</v>
      </c>
      <c r="E46" s="516" t="str">
        <f>Ireland!$I$14</f>
        <v xml:space="preserve">Building 11 B
Joyce Way, Park West Business Campus, Nangor Road, </v>
      </c>
      <c r="F46" s="515" t="str">
        <f>Ireland!$I$11</f>
        <v>IR02</v>
      </c>
      <c r="G46" s="520" t="str">
        <f>Ireland!$I$40</f>
        <v>open end</v>
      </c>
    </row>
    <row r="47" spans="2:7" ht="25" customHeight="1">
      <c r="B47" s="516">
        <f>Ireland!$J$4</f>
        <v>0</v>
      </c>
      <c r="C47" s="515" t="str">
        <f>Ireland!$J$17</f>
        <v>Ireland</v>
      </c>
      <c r="D47" s="515" t="str">
        <f>Ireland!$J$15</f>
        <v>Dublin</v>
      </c>
      <c r="E47" s="516" t="str">
        <f>Ireland!$J$14</f>
        <v xml:space="preserve">Building 11 B
Joyce Way, Park West Business Campus, Nangor Road, </v>
      </c>
      <c r="F47" s="515" t="str">
        <f>Ireland!$J$11</f>
        <v>IR02</v>
      </c>
      <c r="G47" s="520" t="str">
        <f>Ireland!$J$40</f>
        <v>open end</v>
      </c>
    </row>
    <row r="48" spans="2:7" ht="25" customHeight="1">
      <c r="B48" s="516">
        <f>Ireland!$K$4</f>
        <v>0</v>
      </c>
      <c r="C48" s="515" t="str">
        <f>Ireland!$K$17</f>
        <v>Ireland</v>
      </c>
      <c r="D48" s="515" t="str">
        <f>Ireland!$K$15</f>
        <v>Dublin</v>
      </c>
      <c r="E48" s="516" t="str">
        <f>Ireland!$K$14</f>
        <v xml:space="preserve">Building 11 B
Joyce Way, Park West Business Campus, Nangor Road, </v>
      </c>
      <c r="F48" s="515" t="str">
        <f>Ireland!$K$11</f>
        <v>IR02</v>
      </c>
      <c r="G48" s="520" t="str">
        <f>Ireland!$K$40</f>
        <v>open end</v>
      </c>
    </row>
    <row r="49" spans="2:7" ht="14">
      <c r="B49" s="516" t="str">
        <f>Tunisia!$G$4</f>
        <v>Nextcare</v>
      </c>
      <c r="C49" s="515" t="str">
        <f>Tunisia!$D$17</f>
        <v>Tunisia</v>
      </c>
      <c r="D49" s="515" t="str">
        <f>Tunisia!$D$15</f>
        <v>Tunis</v>
      </c>
      <c r="E49" s="516" t="str">
        <f>Tunisia!$D$14</f>
        <v xml:space="preserve">3 Rue du Docteur Burnet, </v>
      </c>
      <c r="F49" s="515" t="str">
        <f>Tunisia!$D$11</f>
        <v>TU01</v>
      </c>
      <c r="G49" s="520" t="str">
        <f>Tunisia!$D$40</f>
        <v>Undetermined (Automatically Renewed)</v>
      </c>
    </row>
    <row r="50" spans="2:7" ht="28">
      <c r="B50" s="516" t="str">
        <f>Bahrain!$D$4</f>
        <v>Nextcare</v>
      </c>
      <c r="C50" s="515" t="str">
        <f>Bahrain!$E$17</f>
        <v>Kingdom of Bahrain</v>
      </c>
      <c r="D50" s="515" t="str">
        <f>Bahrain!$E$15</f>
        <v>Manama</v>
      </c>
      <c r="E50" s="516" t="str">
        <f>Bahrain!$E$14</f>
        <v>Exhibition Tower, Building No. 614, Road No. 1011, Block No. 410, Sanabis</v>
      </c>
      <c r="F50" s="515" t="str">
        <f>Bahrain!$E$11</f>
        <v>BH01</v>
      </c>
      <c r="G50" s="520" t="e">
        <f>Bahrain!#REF!</f>
        <v>#REF!</v>
      </c>
    </row>
  </sheetData>
  <pageMargins left="0.7" right="0.7" top="0.75" bottom="0.75" header="0.3" footer="0.3"/>
  <tableParts count="3">
    <tablePart r:id="rId1"/>
    <tablePart r:id="rId2"/>
    <tablePart r:id="rId3"/>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4405-629D-42CF-9B4E-0FDD0AB80395}">
  <sheetPr>
    <tabColor theme="8" tint="0.39997558519241921"/>
  </sheetPr>
  <dimension ref="B2:H11"/>
  <sheetViews>
    <sheetView topLeftCell="E1" zoomScaleNormal="100" workbookViewId="0">
      <selection activeCell="F17" sqref="F17"/>
    </sheetView>
  </sheetViews>
  <sheetFormatPr baseColWidth="10" defaultColWidth="11.5" defaultRowHeight="13"/>
  <cols>
    <col min="2" max="3" width="17.5" customWidth="1"/>
    <col min="4" max="4" width="16.83203125" customWidth="1"/>
    <col min="5" max="5" width="15.83203125" customWidth="1"/>
    <col min="6" max="6" width="55.33203125" customWidth="1"/>
    <col min="7" max="7" width="15" customWidth="1"/>
    <col min="8" max="8" width="67.6640625" customWidth="1"/>
  </cols>
  <sheetData>
    <row r="2" spans="2:8">
      <c r="B2" s="547" t="s">
        <v>294</v>
      </c>
      <c r="C2" s="548" t="s">
        <v>293</v>
      </c>
      <c r="D2" s="548" t="s">
        <v>1471</v>
      </c>
      <c r="E2" s="547" t="s">
        <v>295</v>
      </c>
      <c r="F2" s="547" t="s">
        <v>1472</v>
      </c>
      <c r="G2" s="547" t="s">
        <v>1473</v>
      </c>
      <c r="H2" s="547" t="s">
        <v>685</v>
      </c>
    </row>
    <row r="3" spans="2:8">
      <c r="B3" t="s">
        <v>207</v>
      </c>
      <c r="C3" t="str">
        <f>Brazil!D4</f>
        <v>BU Brazil</v>
      </c>
      <c r="D3" t="str">
        <f>Brazil!D11</f>
        <v>BR01</v>
      </c>
      <c r="E3" t="str">
        <f>Brazil!D15</f>
        <v>São Bernardo do Campo</v>
      </c>
      <c r="F3" s="549" t="str">
        <f>Brazil!D14</f>
        <v>Rua José Versolato, 101</v>
      </c>
      <c r="G3" s="546">
        <f>Brazil!D40</f>
        <v>46234</v>
      </c>
      <c r="H3" s="549" t="s">
        <v>1474</v>
      </c>
    </row>
    <row r="4" spans="2:8">
      <c r="B4" t="s">
        <v>207</v>
      </c>
      <c r="C4" t="str">
        <f>Brazil!E4</f>
        <v>BU Brazil</v>
      </c>
      <c r="D4" t="str">
        <f>Brazil!E11</f>
        <v>BR01</v>
      </c>
      <c r="E4" t="str">
        <f>Brazil!E15</f>
        <v xml:space="preserve">São Bernardo do Campo </v>
      </c>
      <c r="F4" t="str">
        <f>Brazil!E14</f>
        <v>Rua José Versolato, 101 (2nd contract)</v>
      </c>
      <c r="G4" s="544">
        <f>Brazil!E40</f>
        <v>46387</v>
      </c>
      <c r="H4" t="s">
        <v>1474</v>
      </c>
    </row>
    <row r="5" spans="2:8">
      <c r="B5" t="s">
        <v>221</v>
      </c>
      <c r="C5" t="str">
        <f>Mexico!D4</f>
        <v>BU Mexico</v>
      </c>
      <c r="D5" t="str">
        <f>Mexico!F11</f>
        <v>MX03</v>
      </c>
      <c r="E5" t="str">
        <f>Mexico!F15</f>
        <v>Leon</v>
      </c>
      <c r="F5" t="str">
        <f>Mexico!F14</f>
        <v>Nodus Busines Center, Plaza Stadium, Boulevard Adolfo Lopez Mateos, # 1702, Col. Parque Manzanares, CP 37510 floor 4, León Guanajuato</v>
      </c>
      <c r="G5" s="470">
        <f>Mexico!F40</f>
        <v>46387</v>
      </c>
    </row>
    <row r="6" spans="2:8">
      <c r="B6" t="s">
        <v>221</v>
      </c>
      <c r="C6" t="str">
        <f>Mexico!D4</f>
        <v>BU Mexico</v>
      </c>
      <c r="D6" t="str">
        <f>Mexico!E11</f>
        <v>MX02</v>
      </c>
      <c r="E6" t="str">
        <f>Mexico!E15</f>
        <v>Querétaro</v>
      </c>
      <c r="F6" t="str">
        <f>Mexico!E14</f>
        <v>Avenida Universidad No. 370 (Business center)  Col. La piedad CP. Delegación Municipal Centro Histórico. Santiago de Querétaro, Querétaro. PLAZA UBIKA</v>
      </c>
      <c r="G6" s="470">
        <f>Mexico!E40</f>
        <v>46461</v>
      </c>
      <c r="H6" t="s">
        <v>1475</v>
      </c>
    </row>
    <row r="7" spans="2:8" ht="14">
      <c r="B7" t="s">
        <v>1476</v>
      </c>
      <c r="C7" t="str">
        <f>Colombia!D4</f>
        <v xml:space="preserve">BU Colombia </v>
      </c>
      <c r="D7" t="str">
        <f>Colombia!D11</f>
        <v>CO01</v>
      </c>
      <c r="E7" t="str">
        <f>Colombia!D15</f>
        <v xml:space="preserve">Bogota </v>
      </c>
      <c r="F7" t="str">
        <f>Colombia!D14</f>
        <v>72b Street # 6-44</v>
      </c>
      <c r="G7" s="470">
        <f>Colombia!D40</f>
        <v>46477</v>
      </c>
      <c r="H7" s="545" t="s">
        <v>1477</v>
      </c>
    </row>
    <row r="8" spans="2:8" ht="14">
      <c r="B8" t="s">
        <v>221</v>
      </c>
      <c r="C8" t="str">
        <f>Mexico!D4</f>
        <v>BU Mexico</v>
      </c>
      <c r="D8" t="str">
        <f>Mexico!D11</f>
        <v>MX01</v>
      </c>
      <c r="E8" t="str">
        <f>Mexico!D15</f>
        <v>Ciudad de Mexico</v>
      </c>
      <c r="F8" t="str">
        <f>Mexico!D14</f>
        <v>Av. Insurgentes Sur 1602, Crédito Constructor, Benito Juárez, 03940 Ciudad de México, CDMX, México CITIBUILDING</v>
      </c>
      <c r="G8" s="470">
        <f>Mexico!D40</f>
        <v>47603</v>
      </c>
      <c r="H8" s="545" t="s">
        <v>1478</v>
      </c>
    </row>
    <row r="9" spans="2:8">
      <c r="B9" t="s">
        <v>213</v>
      </c>
      <c r="C9" t="str">
        <f>Canada!D4</f>
        <v>BU Canada</v>
      </c>
      <c r="D9" t="str">
        <f>Canada!D11</f>
        <v>CA01</v>
      </c>
      <c r="E9" t="str">
        <f>Canada!D15</f>
        <v>Cambridge</v>
      </c>
      <c r="F9" t="str">
        <f>Canada!D14</f>
        <v>700 Jamieson Pkwy. Cambridge</v>
      </c>
      <c r="G9" s="470">
        <f>Canada!D40</f>
        <v>49058</v>
      </c>
    </row>
    <row r="10" spans="2:8">
      <c r="B10" t="s">
        <v>229</v>
      </c>
      <c r="C10" t="str">
        <f>US!D4</f>
        <v>BU USA</v>
      </c>
      <c r="D10" t="str">
        <f>US!D11</f>
        <v>US01</v>
      </c>
      <c r="E10" t="str">
        <f>US!D15</f>
        <v>Richmond, VA</v>
      </c>
      <c r="F10" t="str">
        <f>US!D14</f>
        <v>9950 Mayland Drive</v>
      </c>
      <c r="G10" s="470">
        <f>US!D40</f>
        <v>49095</v>
      </c>
    </row>
    <row r="11" spans="2:8">
      <c r="B11" t="s">
        <v>229</v>
      </c>
      <c r="C11" t="str">
        <f>US!D4</f>
        <v>BU USA</v>
      </c>
      <c r="D11" t="str">
        <f>US!E11</f>
        <v>US02</v>
      </c>
      <c r="E11" t="str">
        <f>US!E15</f>
        <v>Lakeland, FL</v>
      </c>
      <c r="F11" t="str">
        <f>US!E14</f>
        <v>3111 West Pipken Road</v>
      </c>
      <c r="G11" s="470" t="str">
        <f>US!E40</f>
        <v>Can be cacelled on a monthly basis</v>
      </c>
    </row>
  </sheetData>
  <pageMargins left="0.7" right="0.7" top="0.75" bottom="0.75" header="0.3" footer="0.3"/>
  <headerFooter>
    <oddHeader>&amp;C&amp;"Calibri"&amp;10&amp;K000000 Internal&amp;1#_x000D_</oddHeader>
  </headerFooter>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3E4E7-0265-4D91-9AAA-F44BD64CF1B5}">
  <sheetPr>
    <tabColor rgb="FFFFC000"/>
  </sheetPr>
  <dimension ref="A2:H40"/>
  <sheetViews>
    <sheetView zoomScale="70" zoomScaleNormal="70" workbookViewId="0">
      <selection activeCell="G3" sqref="G3"/>
    </sheetView>
  </sheetViews>
  <sheetFormatPr baseColWidth="10" defaultColWidth="11.5" defaultRowHeight="13"/>
  <cols>
    <col min="1" max="1" width="3.5" customWidth="1"/>
    <col min="3" max="3" width="15.6640625" customWidth="1"/>
    <col min="4" max="4" width="15.83203125" customWidth="1"/>
    <col min="5" max="5" width="12.83203125" customWidth="1"/>
    <col min="6" max="6" width="58.83203125" customWidth="1"/>
    <col min="8" max="8" width="66" customWidth="1"/>
  </cols>
  <sheetData>
    <row r="2" spans="1:8">
      <c r="A2" s="547"/>
      <c r="B2" s="547" t="s">
        <v>294</v>
      </c>
      <c r="C2" s="548" t="s">
        <v>293</v>
      </c>
      <c r="D2" s="548" t="s">
        <v>1471</v>
      </c>
      <c r="E2" s="547" t="s">
        <v>295</v>
      </c>
      <c r="F2" s="547" t="s">
        <v>1472</v>
      </c>
      <c r="G2" s="547" t="s">
        <v>1473</v>
      </c>
      <c r="H2" s="547" t="s">
        <v>685</v>
      </c>
    </row>
    <row r="3" spans="1:8">
      <c r="B3" s="549" t="s">
        <v>202</v>
      </c>
      <c r="C3" s="549" t="s">
        <v>202</v>
      </c>
      <c r="D3" s="549" t="s">
        <v>1130</v>
      </c>
      <c r="E3" s="549" t="s">
        <v>204</v>
      </c>
      <c r="F3" s="549" t="s">
        <v>203</v>
      </c>
      <c r="G3" s="550">
        <v>45870</v>
      </c>
      <c r="H3" s="551" t="s">
        <v>1479</v>
      </c>
    </row>
    <row r="4" spans="1:8">
      <c r="B4" s="552" t="s">
        <v>280</v>
      </c>
      <c r="C4" s="552" t="s">
        <v>256</v>
      </c>
      <c r="D4" s="552" t="s">
        <v>1339</v>
      </c>
      <c r="E4" s="552" t="s">
        <v>282</v>
      </c>
      <c r="F4" s="552" t="s">
        <v>1480</v>
      </c>
      <c r="G4" s="553">
        <v>45960</v>
      </c>
      <c r="H4" s="554" t="s">
        <v>1481</v>
      </c>
    </row>
    <row r="5" spans="1:8">
      <c r="B5" s="555" t="s">
        <v>1482</v>
      </c>
      <c r="C5" s="555" t="s">
        <v>256</v>
      </c>
      <c r="D5" s="555" t="s">
        <v>1228</v>
      </c>
      <c r="E5" s="555" t="s">
        <v>267</v>
      </c>
      <c r="F5" s="555" t="s">
        <v>266</v>
      </c>
      <c r="G5" s="556">
        <v>45998</v>
      </c>
      <c r="H5" t="s">
        <v>1483</v>
      </c>
    </row>
    <row r="6" spans="1:8">
      <c r="B6" s="559" t="s">
        <v>193</v>
      </c>
      <c r="C6" s="559" t="s">
        <v>192</v>
      </c>
      <c r="D6" s="559" t="s">
        <v>1306</v>
      </c>
      <c r="E6" s="559" t="s">
        <v>195</v>
      </c>
      <c r="F6" s="559" t="s">
        <v>194</v>
      </c>
      <c r="G6" s="560">
        <v>46022</v>
      </c>
      <c r="H6" s="559" t="s">
        <v>1484</v>
      </c>
    </row>
    <row r="7" spans="1:8">
      <c r="B7" s="552" t="s">
        <v>280</v>
      </c>
      <c r="C7" s="552" t="s">
        <v>256</v>
      </c>
      <c r="D7" s="552" t="s">
        <v>1339</v>
      </c>
      <c r="E7" s="552" t="s">
        <v>282</v>
      </c>
      <c r="F7" s="552" t="s">
        <v>1480</v>
      </c>
      <c r="G7" s="553">
        <v>46022</v>
      </c>
      <c r="H7" s="557" t="s">
        <v>1485</v>
      </c>
    </row>
    <row r="8" spans="1:8">
      <c r="B8" t="s">
        <v>270</v>
      </c>
      <c r="C8" t="s">
        <v>256</v>
      </c>
      <c r="D8" t="s">
        <v>1055</v>
      </c>
      <c r="E8" t="s">
        <v>272</v>
      </c>
      <c r="F8" t="s">
        <v>273</v>
      </c>
      <c r="G8" s="470">
        <v>46022</v>
      </c>
      <c r="H8" t="s">
        <v>1483</v>
      </c>
    </row>
    <row r="9" spans="1:8">
      <c r="B9" s="552" t="s">
        <v>1482</v>
      </c>
      <c r="C9" s="552" t="s">
        <v>256</v>
      </c>
      <c r="D9" s="552" t="s">
        <v>1227</v>
      </c>
      <c r="E9" s="552" t="s">
        <v>269</v>
      </c>
      <c r="F9" s="552" t="s">
        <v>268</v>
      </c>
      <c r="G9" s="553">
        <v>46022</v>
      </c>
      <c r="H9" s="558" t="s">
        <v>1486</v>
      </c>
    </row>
    <row r="10" spans="1:8">
      <c r="B10" s="1" t="s">
        <v>197</v>
      </c>
      <c r="C10" s="1" t="s">
        <v>197</v>
      </c>
      <c r="D10" s="1" t="s">
        <v>1015</v>
      </c>
      <c r="E10" s="1" t="s">
        <v>199</v>
      </c>
      <c r="F10" s="1" t="s">
        <v>198</v>
      </c>
      <c r="G10" s="544">
        <v>46081</v>
      </c>
      <c r="H10" s="1" t="s">
        <v>1487</v>
      </c>
    </row>
    <row r="11" spans="1:8">
      <c r="B11" s="561" t="s">
        <v>280</v>
      </c>
      <c r="C11" s="561" t="s">
        <v>256</v>
      </c>
      <c r="D11" s="561" t="s">
        <v>1339</v>
      </c>
      <c r="E11" s="561" t="s">
        <v>282</v>
      </c>
      <c r="F11" s="561" t="s">
        <v>1488</v>
      </c>
      <c r="G11" s="562">
        <v>46127</v>
      </c>
      <c r="H11" s="563" t="s">
        <v>1485</v>
      </c>
    </row>
    <row r="12" spans="1:8">
      <c r="B12" s="555" t="s">
        <v>1489</v>
      </c>
      <c r="C12" s="555" t="s">
        <v>241</v>
      </c>
      <c r="D12" s="555" t="s">
        <v>1199</v>
      </c>
      <c r="E12" s="555" t="s">
        <v>251</v>
      </c>
      <c r="F12" s="555" t="s">
        <v>250</v>
      </c>
      <c r="G12" s="556">
        <v>46173</v>
      </c>
      <c r="H12" t="s">
        <v>1490</v>
      </c>
    </row>
    <row r="13" spans="1:8">
      <c r="B13" s="1" t="s">
        <v>1489</v>
      </c>
      <c r="C13" s="1" t="s">
        <v>256</v>
      </c>
      <c r="D13" s="1" t="s">
        <v>1199</v>
      </c>
      <c r="E13" s="1" t="s">
        <v>276</v>
      </c>
      <c r="F13" s="1" t="s">
        <v>275</v>
      </c>
      <c r="G13" s="544">
        <v>46173</v>
      </c>
      <c r="H13" t="s">
        <v>1490</v>
      </c>
    </row>
    <row r="14" spans="1:8">
      <c r="B14" s="1" t="s">
        <v>193</v>
      </c>
      <c r="C14" s="1" t="s">
        <v>192</v>
      </c>
      <c r="D14" s="1" t="s">
        <v>1307</v>
      </c>
      <c r="E14" s="1" t="s">
        <v>195</v>
      </c>
      <c r="F14" s="1" t="s">
        <v>196</v>
      </c>
      <c r="G14" s="544">
        <v>46248</v>
      </c>
      <c r="H14" s="564" t="s">
        <v>1491</v>
      </c>
    </row>
    <row r="15" spans="1:8">
      <c r="B15" s="555" t="s">
        <v>1492</v>
      </c>
      <c r="C15" s="555" t="s">
        <v>256</v>
      </c>
      <c r="D15" s="555" t="s">
        <v>1372</v>
      </c>
      <c r="E15" s="555" t="s">
        <v>289</v>
      </c>
      <c r="F15" s="555" t="s">
        <v>288</v>
      </c>
      <c r="G15" s="556">
        <v>46295</v>
      </c>
      <c r="H15" s="564" t="s">
        <v>1491</v>
      </c>
    </row>
    <row r="16" spans="1:8">
      <c r="B16" t="s">
        <v>257</v>
      </c>
      <c r="C16" t="s">
        <v>256</v>
      </c>
      <c r="D16" t="s">
        <v>622</v>
      </c>
      <c r="E16" t="s">
        <v>261</v>
      </c>
      <c r="F16" t="s">
        <v>260</v>
      </c>
      <c r="G16" s="470">
        <v>46325</v>
      </c>
      <c r="H16" s="564" t="s">
        <v>1491</v>
      </c>
    </row>
    <row r="17" spans="2:8">
      <c r="B17" t="s">
        <v>172</v>
      </c>
      <c r="C17" t="s">
        <v>171</v>
      </c>
      <c r="D17" t="s">
        <v>881</v>
      </c>
      <c r="E17" t="s">
        <v>174</v>
      </c>
      <c r="F17" t="s">
        <v>173</v>
      </c>
      <c r="G17" s="470">
        <v>46326</v>
      </c>
      <c r="H17" s="564" t="s">
        <v>1491</v>
      </c>
    </row>
    <row r="18" spans="2:8">
      <c r="B18" t="s">
        <v>257</v>
      </c>
      <c r="C18" t="s">
        <v>256</v>
      </c>
      <c r="D18" t="s">
        <v>621</v>
      </c>
      <c r="E18" t="s">
        <v>259</v>
      </c>
      <c r="F18" t="s">
        <v>258</v>
      </c>
      <c r="G18" s="470">
        <v>46356</v>
      </c>
      <c r="H18" s="564" t="s">
        <v>1491</v>
      </c>
    </row>
    <row r="19" spans="2:8">
      <c r="B19" t="s">
        <v>160</v>
      </c>
      <c r="C19" t="s">
        <v>159</v>
      </c>
      <c r="D19" t="s">
        <v>559</v>
      </c>
      <c r="E19" t="s">
        <v>164</v>
      </c>
      <c r="F19" t="s">
        <v>163</v>
      </c>
      <c r="G19" s="560">
        <v>46396</v>
      </c>
      <c r="H19" t="s">
        <v>1493</v>
      </c>
    </row>
    <row r="20" spans="2:8">
      <c r="B20" t="s">
        <v>1494</v>
      </c>
      <c r="C20" t="s">
        <v>167</v>
      </c>
      <c r="D20" t="s">
        <v>862</v>
      </c>
      <c r="E20" t="s">
        <v>170</v>
      </c>
      <c r="F20" t="s">
        <v>169</v>
      </c>
      <c r="G20" s="470">
        <v>46491</v>
      </c>
    </row>
    <row r="21" spans="2:8">
      <c r="B21" t="s">
        <v>1495</v>
      </c>
      <c r="C21" t="s">
        <v>256</v>
      </c>
      <c r="D21" t="s">
        <v>471</v>
      </c>
      <c r="E21" t="s">
        <v>264</v>
      </c>
      <c r="F21" t="s">
        <v>263</v>
      </c>
      <c r="G21" s="470">
        <v>46538</v>
      </c>
    </row>
    <row r="22" spans="2:8">
      <c r="B22" t="s">
        <v>160</v>
      </c>
      <c r="C22" t="s">
        <v>159</v>
      </c>
      <c r="D22" t="s">
        <v>561</v>
      </c>
      <c r="E22" t="s">
        <v>166</v>
      </c>
      <c r="F22" t="s">
        <v>165</v>
      </c>
      <c r="G22" s="560">
        <v>46644</v>
      </c>
      <c r="H22" t="s">
        <v>1496</v>
      </c>
    </row>
    <row r="23" spans="2:8">
      <c r="B23" t="s">
        <v>1492</v>
      </c>
      <c r="C23" t="s">
        <v>256</v>
      </c>
      <c r="D23" t="s">
        <v>1371</v>
      </c>
      <c r="E23" t="s">
        <v>287</v>
      </c>
      <c r="F23" t="s">
        <v>290</v>
      </c>
      <c r="G23" s="470">
        <v>46649</v>
      </c>
    </row>
    <row r="24" spans="2:8">
      <c r="B24" t="s">
        <v>197</v>
      </c>
      <c r="C24" t="s">
        <v>197</v>
      </c>
      <c r="D24" t="s">
        <v>1014</v>
      </c>
      <c r="E24" t="s">
        <v>201</v>
      </c>
      <c r="F24" t="s">
        <v>200</v>
      </c>
      <c r="G24" s="560">
        <v>46660</v>
      </c>
      <c r="H24" t="s">
        <v>1497</v>
      </c>
    </row>
    <row r="25" spans="2:8">
      <c r="B25" t="s">
        <v>185</v>
      </c>
      <c r="C25" t="s">
        <v>184</v>
      </c>
      <c r="D25" t="s">
        <v>1084</v>
      </c>
      <c r="E25" t="s">
        <v>187</v>
      </c>
      <c r="F25" t="s">
        <v>186</v>
      </c>
      <c r="G25" s="470">
        <v>46752</v>
      </c>
    </row>
    <row r="26" spans="2:8">
      <c r="B26" t="s">
        <v>190</v>
      </c>
      <c r="C26" t="s">
        <v>189</v>
      </c>
      <c r="D26" t="s">
        <v>1242</v>
      </c>
      <c r="E26" t="s">
        <v>190</v>
      </c>
      <c r="F26" t="s">
        <v>191</v>
      </c>
      <c r="G26" s="470">
        <v>46770</v>
      </c>
    </row>
    <row r="27" spans="2:8">
      <c r="B27" t="s">
        <v>172</v>
      </c>
      <c r="C27" t="s">
        <v>171</v>
      </c>
      <c r="D27" t="s">
        <v>882</v>
      </c>
      <c r="E27" t="s">
        <v>174</v>
      </c>
      <c r="F27" t="s">
        <v>179</v>
      </c>
      <c r="G27" s="470">
        <v>46796</v>
      </c>
    </row>
    <row r="28" spans="2:8">
      <c r="B28" t="s">
        <v>1492</v>
      </c>
      <c r="C28" t="s">
        <v>256</v>
      </c>
      <c r="D28" t="s">
        <v>1373</v>
      </c>
      <c r="E28" t="s">
        <v>285</v>
      </c>
      <c r="F28" t="s">
        <v>284</v>
      </c>
      <c r="G28" s="470">
        <v>46811</v>
      </c>
    </row>
    <row r="29" spans="2:8">
      <c r="B29" t="s">
        <v>1498</v>
      </c>
      <c r="C29" t="s">
        <v>256</v>
      </c>
      <c r="D29" t="s">
        <v>1142</v>
      </c>
      <c r="E29" t="s">
        <v>279</v>
      </c>
      <c r="F29" t="s">
        <v>278</v>
      </c>
      <c r="G29" s="470">
        <v>46873</v>
      </c>
    </row>
    <row r="30" spans="2:8">
      <c r="B30" t="s">
        <v>172</v>
      </c>
      <c r="C30" t="s">
        <v>171</v>
      </c>
      <c r="D30" t="s">
        <v>883</v>
      </c>
      <c r="E30" t="s">
        <v>176</v>
      </c>
      <c r="F30" t="s">
        <v>175</v>
      </c>
      <c r="G30" s="470">
        <v>46918</v>
      </c>
    </row>
    <row r="31" spans="2:8">
      <c r="B31" t="s">
        <v>160</v>
      </c>
      <c r="C31" t="s">
        <v>159</v>
      </c>
      <c r="D31" t="s">
        <v>560</v>
      </c>
      <c r="E31" t="s">
        <v>162</v>
      </c>
      <c r="F31" t="s">
        <v>161</v>
      </c>
      <c r="G31" s="560">
        <v>46934</v>
      </c>
      <c r="H31" t="s">
        <v>1499</v>
      </c>
    </row>
    <row r="32" spans="2:8">
      <c r="B32" t="s">
        <v>155</v>
      </c>
      <c r="C32" t="s">
        <v>154</v>
      </c>
      <c r="D32" t="s">
        <v>347</v>
      </c>
      <c r="E32" t="s">
        <v>157</v>
      </c>
      <c r="F32" t="s">
        <v>158</v>
      </c>
      <c r="G32" s="470">
        <v>47361</v>
      </c>
    </row>
    <row r="33" spans="2:7">
      <c r="B33" t="s">
        <v>172</v>
      </c>
      <c r="C33" t="s">
        <v>171</v>
      </c>
      <c r="D33" t="s">
        <v>884</v>
      </c>
      <c r="E33" t="s">
        <v>178</v>
      </c>
      <c r="F33" t="s">
        <v>177</v>
      </c>
      <c r="G33" s="470">
        <v>47514</v>
      </c>
    </row>
    <row r="34" spans="2:7">
      <c r="B34" t="s">
        <v>1492</v>
      </c>
      <c r="C34" t="s">
        <v>256</v>
      </c>
      <c r="D34" t="s">
        <v>1370</v>
      </c>
      <c r="E34" t="s">
        <v>287</v>
      </c>
      <c r="F34" t="s">
        <v>286</v>
      </c>
      <c r="G34" s="470">
        <v>47695</v>
      </c>
    </row>
    <row r="35" spans="2:7">
      <c r="B35" t="s">
        <v>252</v>
      </c>
      <c r="C35" t="s">
        <v>252</v>
      </c>
      <c r="D35" t="s">
        <v>1076</v>
      </c>
      <c r="E35" t="s">
        <v>255</v>
      </c>
      <c r="F35" t="s">
        <v>254</v>
      </c>
      <c r="G35" s="470">
        <v>47768</v>
      </c>
    </row>
    <row r="36" spans="2:7">
      <c r="B36" t="s">
        <v>181</v>
      </c>
      <c r="C36" t="s">
        <v>180</v>
      </c>
      <c r="D36" t="s">
        <v>921</v>
      </c>
      <c r="E36" t="s">
        <v>183</v>
      </c>
      <c r="F36" t="s">
        <v>182</v>
      </c>
      <c r="G36" s="470">
        <v>47968</v>
      </c>
    </row>
    <row r="37" spans="2:7">
      <c r="B37" t="s">
        <v>193</v>
      </c>
      <c r="C37" t="s">
        <v>192</v>
      </c>
      <c r="D37" t="s">
        <v>1306</v>
      </c>
      <c r="E37" t="s">
        <v>195</v>
      </c>
      <c r="F37" t="s">
        <v>194</v>
      </c>
      <c r="G37" s="470">
        <v>48060</v>
      </c>
    </row>
    <row r="38" spans="2:7">
      <c r="B38" t="s">
        <v>270</v>
      </c>
      <c r="C38" t="s">
        <v>256</v>
      </c>
      <c r="D38" t="s">
        <v>1056</v>
      </c>
      <c r="E38" t="s">
        <v>272</v>
      </c>
      <c r="F38" t="s">
        <v>271</v>
      </c>
      <c r="G38" s="470">
        <v>48213</v>
      </c>
    </row>
    <row r="39" spans="2:7">
      <c r="B39" t="s">
        <v>257</v>
      </c>
      <c r="C39" t="s">
        <v>256</v>
      </c>
      <c r="D39" t="s">
        <v>621</v>
      </c>
      <c r="E39" t="s">
        <v>259</v>
      </c>
      <c r="F39" t="s">
        <v>258</v>
      </c>
      <c r="G39" s="470">
        <v>48365</v>
      </c>
    </row>
    <row r="40" spans="2:7">
      <c r="B40" t="s">
        <v>246</v>
      </c>
      <c r="C40" t="s">
        <v>241</v>
      </c>
      <c r="D40" t="s">
        <v>1153</v>
      </c>
      <c r="E40" t="s">
        <v>248</v>
      </c>
      <c r="F40" t="s">
        <v>247</v>
      </c>
      <c r="G40" s="470" t="s">
        <v>1500</v>
      </c>
    </row>
  </sheetData>
  <pageMargins left="0.7" right="0.7" top="0.75" bottom="0.75" header="0.3" footer="0.3"/>
  <pageSetup paperSize="9" orientation="portrait" horizontalDpi="90" verticalDpi="90" r:id="rId1"/>
  <headerFooter>
    <oddHeader>&amp;C&amp;"Calibri"&amp;10&amp;K000000 Internal&amp;1#_x000D_</oddHeader>
  </headerFooter>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92E48-43BD-485F-B675-53D744EA840E}">
  <sheetPr>
    <tabColor rgb="FF0070C0"/>
  </sheetPr>
  <dimension ref="B2:I71"/>
  <sheetViews>
    <sheetView zoomScaleNormal="100" workbookViewId="0">
      <selection activeCell="B3" sqref="B3:H6"/>
    </sheetView>
  </sheetViews>
  <sheetFormatPr baseColWidth="10" defaultColWidth="11.5" defaultRowHeight="13"/>
  <cols>
    <col min="2" max="2" width="16" customWidth="1"/>
    <col min="3" max="3" width="20.83203125" customWidth="1"/>
    <col min="4" max="4" width="16.5" customWidth="1"/>
    <col min="5" max="5" width="27.1640625" customWidth="1"/>
    <col min="6" max="6" width="50.5" customWidth="1"/>
    <col min="7" max="7" width="17.5" style="110" customWidth="1"/>
    <col min="8" max="8" width="48.6640625" customWidth="1"/>
  </cols>
  <sheetData>
    <row r="2" spans="2:9">
      <c r="B2" t="s">
        <v>294</v>
      </c>
      <c r="C2" s="470" t="s">
        <v>293</v>
      </c>
      <c r="D2" s="470" t="s">
        <v>1471</v>
      </c>
      <c r="E2" t="s">
        <v>295</v>
      </c>
      <c r="F2" t="s">
        <v>1472</v>
      </c>
      <c r="G2" s="110" t="s">
        <v>1473</v>
      </c>
      <c r="H2" t="s">
        <v>685</v>
      </c>
      <c r="I2" t="s">
        <v>1501</v>
      </c>
    </row>
    <row r="3" spans="2:9">
      <c r="B3" t="s">
        <v>108</v>
      </c>
      <c r="C3" s="551" t="s">
        <v>107</v>
      </c>
      <c r="D3" s="565" t="s">
        <v>1253</v>
      </c>
      <c r="E3" s="551" t="s">
        <v>110</v>
      </c>
      <c r="F3" s="551" t="s">
        <v>109</v>
      </c>
      <c r="G3" s="566">
        <v>46036</v>
      </c>
    </row>
    <row r="4" spans="2:9">
      <c r="B4" t="s">
        <v>145</v>
      </c>
      <c r="C4" s="551" t="s">
        <v>145</v>
      </c>
      <c r="D4" s="567" t="s">
        <v>1194</v>
      </c>
      <c r="E4" t="s">
        <v>1502</v>
      </c>
      <c r="F4" t="s">
        <v>1503</v>
      </c>
      <c r="G4" s="566">
        <v>46053</v>
      </c>
    </row>
    <row r="5" spans="2:9">
      <c r="B5" t="s">
        <v>4</v>
      </c>
      <c r="C5" s="551" t="s">
        <v>65</v>
      </c>
      <c r="D5" s="551" t="s">
        <v>727</v>
      </c>
      <c r="E5" s="551" t="s">
        <v>85</v>
      </c>
      <c r="F5" s="551" t="s">
        <v>84</v>
      </c>
      <c r="G5" s="566">
        <v>46112</v>
      </c>
    </row>
    <row r="6" spans="2:9">
      <c r="B6" t="s">
        <v>108</v>
      </c>
      <c r="C6" t="s">
        <v>133</v>
      </c>
      <c r="D6" t="s">
        <v>1255</v>
      </c>
      <c r="E6" t="s">
        <v>139</v>
      </c>
      <c r="F6" t="s">
        <v>138</v>
      </c>
      <c r="G6" s="111">
        <v>46116</v>
      </c>
      <c r="H6" t="s">
        <v>1467</v>
      </c>
    </row>
    <row r="7" spans="2:9">
      <c r="B7" t="s">
        <v>4</v>
      </c>
      <c r="C7" s="551" t="s">
        <v>130</v>
      </c>
      <c r="D7" s="551" t="s">
        <v>744</v>
      </c>
      <c r="E7" s="551" t="s">
        <v>6</v>
      </c>
      <c r="F7" s="551" t="s">
        <v>132</v>
      </c>
      <c r="G7" s="566">
        <v>46142</v>
      </c>
      <c r="H7" t="s">
        <v>1468</v>
      </c>
    </row>
    <row r="8" spans="2:9">
      <c r="B8" t="s">
        <v>4</v>
      </c>
      <c r="C8" s="551" t="s">
        <v>39</v>
      </c>
      <c r="D8" s="551" t="s">
        <v>719</v>
      </c>
      <c r="E8" s="551" t="s">
        <v>41</v>
      </c>
      <c r="F8" s="551" t="s">
        <v>40</v>
      </c>
      <c r="G8" s="566">
        <v>46157</v>
      </c>
    </row>
    <row r="9" spans="2:9">
      <c r="B9" t="s">
        <v>29</v>
      </c>
      <c r="C9" t="s">
        <v>28</v>
      </c>
      <c r="D9" t="s">
        <v>650</v>
      </c>
      <c r="E9" t="s">
        <v>34</v>
      </c>
      <c r="F9" t="s">
        <v>33</v>
      </c>
      <c r="G9" s="111">
        <v>46295</v>
      </c>
    </row>
    <row r="10" spans="2:9">
      <c r="B10" t="s">
        <v>108</v>
      </c>
      <c r="C10" t="s">
        <v>133</v>
      </c>
      <c r="D10" t="s">
        <v>1256</v>
      </c>
      <c r="E10" t="s">
        <v>135</v>
      </c>
      <c r="F10" t="s">
        <v>134</v>
      </c>
      <c r="G10" s="111">
        <v>46310</v>
      </c>
      <c r="H10" t="s">
        <v>1467</v>
      </c>
    </row>
    <row r="11" spans="2:9">
      <c r="B11" t="s">
        <v>4</v>
      </c>
      <c r="C11" s="551" t="s">
        <v>62</v>
      </c>
      <c r="D11" s="551" t="s">
        <v>732</v>
      </c>
      <c r="E11" s="551" t="s">
        <v>64</v>
      </c>
      <c r="F11" s="551" t="s">
        <v>63</v>
      </c>
      <c r="G11" s="566">
        <v>46326</v>
      </c>
    </row>
    <row r="12" spans="2:9">
      <c r="B12" t="s">
        <v>108</v>
      </c>
      <c r="C12" t="s">
        <v>133</v>
      </c>
      <c r="D12" t="s">
        <v>1257</v>
      </c>
      <c r="E12" t="s">
        <v>137</v>
      </c>
      <c r="F12" t="s">
        <v>136</v>
      </c>
      <c r="G12" s="111">
        <v>46341</v>
      </c>
      <c r="H12" t="s">
        <v>1467</v>
      </c>
    </row>
    <row r="13" spans="2:9">
      <c r="B13" s="559" t="s">
        <v>29</v>
      </c>
      <c r="C13" s="559" t="s">
        <v>28</v>
      </c>
      <c r="D13" s="559" t="s">
        <v>649</v>
      </c>
      <c r="E13" s="559" t="s">
        <v>31</v>
      </c>
      <c r="F13" s="559" t="s">
        <v>30</v>
      </c>
      <c r="G13" s="568">
        <v>46356</v>
      </c>
      <c r="H13" s="559" t="s">
        <v>1469</v>
      </c>
    </row>
    <row r="14" spans="2:9">
      <c r="B14" t="s">
        <v>4</v>
      </c>
      <c r="C14" t="s">
        <v>59</v>
      </c>
      <c r="D14" t="s">
        <v>734</v>
      </c>
      <c r="E14" t="s">
        <v>61</v>
      </c>
      <c r="F14" t="s">
        <v>60</v>
      </c>
      <c r="G14" s="111">
        <v>46477</v>
      </c>
    </row>
    <row r="15" spans="2:9">
      <c r="B15" t="s">
        <v>16</v>
      </c>
      <c r="C15" t="s">
        <v>9</v>
      </c>
      <c r="D15" t="s">
        <v>870</v>
      </c>
      <c r="E15" t="s">
        <v>18</v>
      </c>
      <c r="F15" t="s">
        <v>17</v>
      </c>
      <c r="G15" s="111">
        <v>46477</v>
      </c>
    </row>
    <row r="16" spans="2:9">
      <c r="B16" t="s">
        <v>116</v>
      </c>
      <c r="C16" t="s">
        <v>115</v>
      </c>
      <c r="D16" t="s">
        <v>1351</v>
      </c>
      <c r="E16" t="s">
        <v>120</v>
      </c>
      <c r="F16" t="s">
        <v>119</v>
      </c>
      <c r="G16" s="111">
        <v>46539</v>
      </c>
    </row>
    <row r="17" spans="2:7">
      <c r="B17" t="s">
        <v>116</v>
      </c>
      <c r="C17" t="s">
        <v>115</v>
      </c>
      <c r="D17" t="s">
        <v>1352</v>
      </c>
      <c r="E17" t="s">
        <v>118</v>
      </c>
      <c r="F17" t="s">
        <v>117</v>
      </c>
      <c r="G17" s="111">
        <v>46539</v>
      </c>
    </row>
    <row r="18" spans="2:7">
      <c r="B18" t="s">
        <v>23</v>
      </c>
      <c r="C18" t="s">
        <v>22</v>
      </c>
      <c r="D18" t="s">
        <v>596</v>
      </c>
      <c r="E18" t="s">
        <v>27</v>
      </c>
      <c r="F18" t="s">
        <v>26</v>
      </c>
      <c r="G18" s="111">
        <v>46599</v>
      </c>
    </row>
    <row r="19" spans="2:7">
      <c r="B19" t="s">
        <v>1504</v>
      </c>
      <c r="C19" t="s">
        <v>121</v>
      </c>
      <c r="D19" t="s">
        <v>1405</v>
      </c>
      <c r="E19" t="s">
        <v>129</v>
      </c>
      <c r="F19" t="s">
        <v>128</v>
      </c>
      <c r="G19" s="111">
        <v>46709</v>
      </c>
    </row>
    <row r="20" spans="2:7">
      <c r="B20" t="s">
        <v>148</v>
      </c>
      <c r="C20" t="s">
        <v>148</v>
      </c>
      <c r="D20" t="s">
        <v>1173</v>
      </c>
      <c r="E20" t="s">
        <v>150</v>
      </c>
      <c r="F20" t="s">
        <v>149</v>
      </c>
      <c r="G20" s="111">
        <v>46721</v>
      </c>
    </row>
    <row r="21" spans="2:7">
      <c r="B21" t="s">
        <v>89</v>
      </c>
      <c r="C21" t="s">
        <v>88</v>
      </c>
      <c r="D21" t="s">
        <v>847</v>
      </c>
      <c r="E21" t="s">
        <v>91</v>
      </c>
      <c r="F21" t="s">
        <v>90</v>
      </c>
      <c r="G21" s="111">
        <v>46752</v>
      </c>
    </row>
    <row r="22" spans="2:7">
      <c r="B22" t="s">
        <v>89</v>
      </c>
      <c r="C22" t="s">
        <v>88</v>
      </c>
      <c r="D22" t="s">
        <v>849</v>
      </c>
      <c r="E22" t="s">
        <v>93</v>
      </c>
      <c r="F22" t="s">
        <v>92</v>
      </c>
      <c r="G22" s="111">
        <v>46752</v>
      </c>
    </row>
    <row r="23" spans="2:7">
      <c r="B23" t="s">
        <v>108</v>
      </c>
      <c r="C23" t="s">
        <v>133</v>
      </c>
      <c r="D23" t="s">
        <v>1254</v>
      </c>
      <c r="E23" t="s">
        <v>141</v>
      </c>
      <c r="F23" t="s">
        <v>140</v>
      </c>
      <c r="G23" s="111">
        <v>46752</v>
      </c>
    </row>
    <row r="24" spans="2:7">
      <c r="B24" t="s">
        <v>142</v>
      </c>
      <c r="C24" t="s">
        <v>142</v>
      </c>
      <c r="D24" t="s">
        <v>1122</v>
      </c>
      <c r="E24" t="s">
        <v>144</v>
      </c>
      <c r="F24" t="s">
        <v>143</v>
      </c>
      <c r="G24" s="111">
        <v>46873</v>
      </c>
    </row>
    <row r="25" spans="2:7">
      <c r="B25" t="s">
        <v>29</v>
      </c>
      <c r="C25" t="s">
        <v>28</v>
      </c>
      <c r="D25" t="s">
        <v>651</v>
      </c>
      <c r="E25" t="s">
        <v>36</v>
      </c>
      <c r="F25" t="s">
        <v>35</v>
      </c>
      <c r="G25" s="111">
        <v>47026</v>
      </c>
    </row>
    <row r="26" spans="2:7">
      <c r="B26" t="s">
        <v>29</v>
      </c>
      <c r="C26" t="s">
        <v>104</v>
      </c>
      <c r="D26" t="s">
        <v>1045</v>
      </c>
      <c r="E26" t="s">
        <v>106</v>
      </c>
      <c r="F26" t="s">
        <v>105</v>
      </c>
      <c r="G26" s="111">
        <v>47118</v>
      </c>
    </row>
    <row r="27" spans="2:7">
      <c r="B27" t="s">
        <v>4</v>
      </c>
      <c r="C27" t="s">
        <v>39</v>
      </c>
      <c r="D27" t="s">
        <v>731</v>
      </c>
      <c r="E27" t="s">
        <v>50</v>
      </c>
      <c r="F27" t="s">
        <v>49</v>
      </c>
      <c r="G27" s="111">
        <v>47149</v>
      </c>
    </row>
    <row r="28" spans="2:7">
      <c r="B28" t="s">
        <v>29</v>
      </c>
      <c r="C28" t="s">
        <v>28</v>
      </c>
      <c r="D28" t="s">
        <v>648</v>
      </c>
      <c r="E28" t="s">
        <v>38</v>
      </c>
      <c r="F28" t="s">
        <v>37</v>
      </c>
      <c r="G28" s="111">
        <v>47177</v>
      </c>
    </row>
    <row r="29" spans="2:7">
      <c r="B29" t="s">
        <v>4</v>
      </c>
      <c r="C29" t="s">
        <v>4</v>
      </c>
      <c r="E29" t="s">
        <v>766</v>
      </c>
      <c r="F29" t="s">
        <v>765</v>
      </c>
      <c r="G29" s="111">
        <v>47269</v>
      </c>
    </row>
    <row r="30" spans="2:7">
      <c r="B30" t="s">
        <v>4</v>
      </c>
      <c r="C30" t="s">
        <v>39</v>
      </c>
      <c r="D30" t="s">
        <v>726</v>
      </c>
      <c r="E30" t="s">
        <v>52</v>
      </c>
      <c r="F30" t="s">
        <v>51</v>
      </c>
      <c r="G30" s="111">
        <v>47452</v>
      </c>
    </row>
    <row r="31" spans="2:7">
      <c r="B31" t="s">
        <v>148</v>
      </c>
      <c r="C31" t="s">
        <v>148</v>
      </c>
      <c r="D31" t="s">
        <v>1174</v>
      </c>
      <c r="E31" t="s">
        <v>152</v>
      </c>
      <c r="F31" t="s">
        <v>151</v>
      </c>
      <c r="G31" s="111">
        <v>47483</v>
      </c>
    </row>
    <row r="32" spans="2:7">
      <c r="B32" t="s">
        <v>19</v>
      </c>
      <c r="C32" t="s">
        <v>9</v>
      </c>
      <c r="D32" t="s">
        <v>1212</v>
      </c>
      <c r="E32" t="s">
        <v>21</v>
      </c>
      <c r="F32" t="s">
        <v>20</v>
      </c>
      <c r="G32" s="111">
        <v>47483</v>
      </c>
    </row>
    <row r="33" spans="2:8">
      <c r="B33" t="s">
        <v>112</v>
      </c>
      <c r="C33" t="s">
        <v>111</v>
      </c>
      <c r="D33" t="s">
        <v>1292</v>
      </c>
      <c r="E33" t="s">
        <v>114</v>
      </c>
      <c r="F33" t="s">
        <v>113</v>
      </c>
      <c r="G33" s="111">
        <v>47483</v>
      </c>
    </row>
    <row r="34" spans="2:8">
      <c r="B34" t="s">
        <v>10</v>
      </c>
      <c r="C34" t="s">
        <v>9</v>
      </c>
      <c r="D34" t="s">
        <v>444</v>
      </c>
      <c r="E34" t="s">
        <v>12</v>
      </c>
      <c r="F34" t="s">
        <v>11</v>
      </c>
      <c r="G34" s="111">
        <v>47635</v>
      </c>
    </row>
    <row r="35" spans="2:8">
      <c r="B35" t="s">
        <v>97</v>
      </c>
      <c r="C35" t="s">
        <v>96</v>
      </c>
      <c r="D35" t="s">
        <v>985</v>
      </c>
      <c r="E35" t="s">
        <v>103</v>
      </c>
      <c r="F35" t="s">
        <v>102</v>
      </c>
      <c r="G35" s="111">
        <v>47848</v>
      </c>
    </row>
    <row r="36" spans="2:8">
      <c r="B36" t="s">
        <v>13</v>
      </c>
      <c r="C36" t="s">
        <v>9</v>
      </c>
      <c r="D36" t="s">
        <v>505</v>
      </c>
      <c r="E36" t="s">
        <v>15</v>
      </c>
      <c r="F36" s="470" t="s">
        <v>14</v>
      </c>
      <c r="G36" s="111">
        <v>48029</v>
      </c>
    </row>
    <row r="37" spans="2:8">
      <c r="B37" t="s">
        <v>1504</v>
      </c>
      <c r="C37" t="s">
        <v>121</v>
      </c>
      <c r="D37" t="s">
        <v>1404</v>
      </c>
      <c r="E37" t="s">
        <v>127</v>
      </c>
      <c r="F37" t="s">
        <v>126</v>
      </c>
      <c r="G37" s="111">
        <v>48165</v>
      </c>
    </row>
    <row r="38" spans="2:8">
      <c r="B38" t="s">
        <v>29</v>
      </c>
      <c r="C38" t="s">
        <v>104</v>
      </c>
      <c r="D38" t="s">
        <v>1045</v>
      </c>
      <c r="E38" t="s">
        <v>106</v>
      </c>
      <c r="F38" t="s">
        <v>105</v>
      </c>
      <c r="G38" s="111">
        <v>48273</v>
      </c>
    </row>
    <row r="39" spans="2:8">
      <c r="B39" t="s">
        <v>29</v>
      </c>
      <c r="C39" t="s">
        <v>104</v>
      </c>
      <c r="D39" t="s">
        <v>1045</v>
      </c>
      <c r="E39" t="s">
        <v>106</v>
      </c>
      <c r="F39" t="s">
        <v>105</v>
      </c>
      <c r="G39" s="111">
        <v>48518</v>
      </c>
    </row>
    <row r="40" spans="2:8">
      <c r="B40" t="s">
        <v>4</v>
      </c>
      <c r="C40" t="s">
        <v>3</v>
      </c>
      <c r="D40" t="s">
        <v>742</v>
      </c>
      <c r="E40" t="s">
        <v>6</v>
      </c>
      <c r="F40" t="s">
        <v>5</v>
      </c>
      <c r="G40" s="111">
        <v>48913</v>
      </c>
    </row>
    <row r="41" spans="2:8">
      <c r="B41" t="s">
        <v>97</v>
      </c>
      <c r="C41" t="s">
        <v>96</v>
      </c>
      <c r="D41" t="s">
        <v>986</v>
      </c>
      <c r="E41" t="s">
        <v>99</v>
      </c>
      <c r="F41" t="s">
        <v>98</v>
      </c>
      <c r="G41" s="111">
        <v>49003</v>
      </c>
    </row>
    <row r="42" spans="2:8">
      <c r="B42" t="s">
        <v>29</v>
      </c>
      <c r="C42" t="s">
        <v>28</v>
      </c>
      <c r="D42" t="s">
        <v>647</v>
      </c>
      <c r="E42" t="s">
        <v>31</v>
      </c>
      <c r="F42" t="s">
        <v>32</v>
      </c>
      <c r="G42" s="111">
        <v>49064</v>
      </c>
    </row>
    <row r="43" spans="2:8">
      <c r="B43" t="s">
        <v>29</v>
      </c>
      <c r="C43" t="s">
        <v>130</v>
      </c>
      <c r="D43" t="s">
        <v>647</v>
      </c>
      <c r="E43" t="s">
        <v>31</v>
      </c>
      <c r="F43" t="s">
        <v>131</v>
      </c>
      <c r="G43" s="111">
        <v>49064</v>
      </c>
    </row>
    <row r="44" spans="2:8">
      <c r="B44" t="s">
        <v>242</v>
      </c>
      <c r="C44" t="s">
        <v>241</v>
      </c>
      <c r="D44" t="s">
        <v>493</v>
      </c>
      <c r="E44" t="s">
        <v>244</v>
      </c>
      <c r="F44" t="s">
        <v>1505</v>
      </c>
      <c r="G44" s="111">
        <v>50495</v>
      </c>
    </row>
    <row r="45" spans="2:8">
      <c r="B45" t="s">
        <v>97</v>
      </c>
      <c r="C45" t="s">
        <v>96</v>
      </c>
      <c r="D45" t="s">
        <v>984</v>
      </c>
      <c r="E45" t="s">
        <v>101</v>
      </c>
      <c r="F45" t="s">
        <v>100</v>
      </c>
      <c r="G45" s="111">
        <v>50585</v>
      </c>
    </row>
    <row r="46" spans="2:8">
      <c r="B46" t="s">
        <v>23</v>
      </c>
      <c r="C46" t="s">
        <v>22</v>
      </c>
      <c r="D46" t="s">
        <v>597</v>
      </c>
      <c r="E46" t="s">
        <v>25</v>
      </c>
      <c r="F46" t="s">
        <v>24</v>
      </c>
      <c r="G46" s="111" t="s">
        <v>615</v>
      </c>
    </row>
    <row r="47" spans="2:8">
      <c r="B47" t="s">
        <v>4</v>
      </c>
      <c r="C47" t="s">
        <v>3</v>
      </c>
      <c r="D47" t="s">
        <v>743</v>
      </c>
      <c r="E47" t="s">
        <v>8</v>
      </c>
      <c r="F47" t="s">
        <v>7</v>
      </c>
      <c r="G47" s="111" t="s">
        <v>830</v>
      </c>
    </row>
    <row r="48" spans="2:8">
      <c r="B48" t="s">
        <v>89</v>
      </c>
      <c r="C48" t="s">
        <v>88</v>
      </c>
      <c r="D48" t="s">
        <v>848</v>
      </c>
      <c r="E48" t="s">
        <v>91</v>
      </c>
      <c r="F48" t="s">
        <v>94</v>
      </c>
      <c r="G48" s="111" t="s">
        <v>830</v>
      </c>
      <c r="H48" t="s">
        <v>1506</v>
      </c>
    </row>
    <row r="49" spans="2:8">
      <c r="B49" t="s">
        <v>89</v>
      </c>
      <c r="C49" t="s">
        <v>88</v>
      </c>
      <c r="D49" t="s">
        <v>850</v>
      </c>
      <c r="E49" t="s">
        <v>91</v>
      </c>
      <c r="F49" t="s">
        <v>95</v>
      </c>
      <c r="G49" s="111" t="s">
        <v>830</v>
      </c>
      <c r="H49" t="s">
        <v>1506</v>
      </c>
    </row>
    <row r="50" spans="2:8">
      <c r="B50" t="s">
        <v>235</v>
      </c>
      <c r="C50" t="s">
        <v>241</v>
      </c>
      <c r="D50" t="s">
        <v>936</v>
      </c>
      <c r="E50" t="s">
        <v>237</v>
      </c>
      <c r="F50" t="s">
        <v>245</v>
      </c>
      <c r="G50" s="111" t="s">
        <v>948</v>
      </c>
    </row>
    <row r="51" spans="2:8">
      <c r="B51" t="s">
        <v>235</v>
      </c>
      <c r="C51" t="s">
        <v>241</v>
      </c>
      <c r="D51" t="s">
        <v>937</v>
      </c>
      <c r="E51" t="s">
        <v>237</v>
      </c>
      <c r="F51" t="s">
        <v>236</v>
      </c>
      <c r="G51" s="111" t="s">
        <v>948</v>
      </c>
    </row>
    <row r="52" spans="2:8">
      <c r="B52" t="s">
        <v>235</v>
      </c>
      <c r="C52" t="s">
        <v>241</v>
      </c>
      <c r="D52" t="s">
        <v>938</v>
      </c>
      <c r="E52" t="s">
        <v>237</v>
      </c>
      <c r="F52" t="s">
        <v>238</v>
      </c>
      <c r="G52" s="111" t="s">
        <v>948</v>
      </c>
    </row>
    <row r="53" spans="2:8">
      <c r="B53" t="s">
        <v>235</v>
      </c>
      <c r="C53" t="s">
        <v>241</v>
      </c>
      <c r="D53" t="s">
        <v>939</v>
      </c>
      <c r="E53" t="s">
        <v>237</v>
      </c>
      <c r="F53" t="s">
        <v>239</v>
      </c>
      <c r="G53" s="111" t="s">
        <v>948</v>
      </c>
    </row>
    <row r="54" spans="2:8">
      <c r="B54" t="s">
        <v>235</v>
      </c>
      <c r="C54" t="s">
        <v>241</v>
      </c>
      <c r="D54" t="s">
        <v>940</v>
      </c>
      <c r="E54" t="s">
        <v>237</v>
      </c>
      <c r="F54" t="s">
        <v>240</v>
      </c>
      <c r="G54" s="111" t="s">
        <v>948</v>
      </c>
    </row>
    <row r="55" spans="2:8">
      <c r="B55" t="s">
        <v>4</v>
      </c>
      <c r="C55" t="s">
        <v>39</v>
      </c>
      <c r="D55" t="s">
        <v>721</v>
      </c>
      <c r="E55" t="s">
        <v>43</v>
      </c>
      <c r="F55" t="s">
        <v>42</v>
      </c>
      <c r="G55" s="566" t="s">
        <v>818</v>
      </c>
    </row>
    <row r="56" spans="2:8">
      <c r="B56" t="s">
        <v>4</v>
      </c>
      <c r="C56" t="s">
        <v>39</v>
      </c>
      <c r="D56" t="s">
        <v>722</v>
      </c>
      <c r="E56" t="s">
        <v>45</v>
      </c>
      <c r="F56" t="s">
        <v>44</v>
      </c>
      <c r="G56" s="566" t="s">
        <v>818</v>
      </c>
    </row>
    <row r="57" spans="2:8">
      <c r="B57" t="s">
        <v>4</v>
      </c>
      <c r="C57" t="s">
        <v>39</v>
      </c>
      <c r="D57" t="s">
        <v>723</v>
      </c>
      <c r="E57" t="s">
        <v>48</v>
      </c>
      <c r="F57" t="s">
        <v>47</v>
      </c>
      <c r="G57" s="566" t="s">
        <v>818</v>
      </c>
    </row>
    <row r="58" spans="2:8">
      <c r="B58" t="s">
        <v>4</v>
      </c>
      <c r="C58" t="s">
        <v>39</v>
      </c>
      <c r="D58" t="s">
        <v>738</v>
      </c>
      <c r="E58" t="s">
        <v>8</v>
      </c>
      <c r="F58" t="s">
        <v>46</v>
      </c>
      <c r="G58" s="566" t="s">
        <v>818</v>
      </c>
    </row>
    <row r="59" spans="2:8">
      <c r="B59" t="s">
        <v>4</v>
      </c>
      <c r="C59" t="s">
        <v>56</v>
      </c>
      <c r="D59" t="s">
        <v>741</v>
      </c>
      <c r="E59" t="s">
        <v>58</v>
      </c>
      <c r="F59" t="s">
        <v>57</v>
      </c>
      <c r="G59" s="566" t="s">
        <v>818</v>
      </c>
    </row>
    <row r="60" spans="2:8">
      <c r="B60" t="s">
        <v>4</v>
      </c>
      <c r="C60" t="s">
        <v>65</v>
      </c>
      <c r="D60" t="s">
        <v>720</v>
      </c>
      <c r="E60" t="s">
        <v>69</v>
      </c>
      <c r="F60" t="s">
        <v>68</v>
      </c>
      <c r="G60" s="566" t="s">
        <v>818</v>
      </c>
    </row>
    <row r="61" spans="2:8">
      <c r="B61" t="s">
        <v>4</v>
      </c>
      <c r="C61" t="s">
        <v>65</v>
      </c>
      <c r="D61" t="s">
        <v>724</v>
      </c>
      <c r="E61" t="s">
        <v>48</v>
      </c>
      <c r="F61" t="s">
        <v>83</v>
      </c>
      <c r="G61" s="566" t="s">
        <v>818</v>
      </c>
    </row>
    <row r="62" spans="2:8">
      <c r="B62" t="s">
        <v>4</v>
      </c>
      <c r="C62" t="s">
        <v>65</v>
      </c>
      <c r="D62" t="s">
        <v>725</v>
      </c>
      <c r="E62" t="s">
        <v>67</v>
      </c>
      <c r="F62" t="s">
        <v>66</v>
      </c>
      <c r="G62" s="566" t="s">
        <v>818</v>
      </c>
    </row>
    <row r="63" spans="2:8">
      <c r="B63" t="s">
        <v>4</v>
      </c>
      <c r="C63" t="s">
        <v>65</v>
      </c>
      <c r="D63" t="s">
        <v>728</v>
      </c>
      <c r="E63" t="s">
        <v>80</v>
      </c>
      <c r="F63" t="s">
        <v>79</v>
      </c>
      <c r="G63" s="566" t="s">
        <v>818</v>
      </c>
    </row>
    <row r="64" spans="2:8">
      <c r="B64" t="s">
        <v>4</v>
      </c>
      <c r="C64" t="s">
        <v>65</v>
      </c>
      <c r="D64" t="s">
        <v>729</v>
      </c>
      <c r="E64" t="s">
        <v>76</v>
      </c>
      <c r="F64" t="s">
        <v>75</v>
      </c>
      <c r="G64" s="566" t="s">
        <v>818</v>
      </c>
    </row>
    <row r="65" spans="2:7">
      <c r="B65" t="s">
        <v>4</v>
      </c>
      <c r="C65" t="s">
        <v>65</v>
      </c>
      <c r="D65" t="s">
        <v>730</v>
      </c>
      <c r="E65" t="s">
        <v>73</v>
      </c>
      <c r="F65" t="s">
        <v>72</v>
      </c>
      <c r="G65" s="566" t="s">
        <v>818</v>
      </c>
    </row>
    <row r="66" spans="2:7">
      <c r="B66" t="s">
        <v>4</v>
      </c>
      <c r="C66" t="s">
        <v>53</v>
      </c>
      <c r="D66" t="s">
        <v>736</v>
      </c>
      <c r="E66" t="s">
        <v>55</v>
      </c>
      <c r="F66" t="s">
        <v>54</v>
      </c>
      <c r="G66" s="566"/>
    </row>
    <row r="67" spans="2:7">
      <c r="B67" t="s">
        <v>4</v>
      </c>
      <c r="C67" t="s">
        <v>65</v>
      </c>
      <c r="D67" t="s">
        <v>733</v>
      </c>
      <c r="E67" t="s">
        <v>64</v>
      </c>
      <c r="F67" t="s">
        <v>74</v>
      </c>
      <c r="G67" s="566"/>
    </row>
    <row r="68" spans="2:7">
      <c r="B68" t="s">
        <v>4</v>
      </c>
      <c r="C68" t="s">
        <v>65</v>
      </c>
      <c r="D68" t="s">
        <v>735</v>
      </c>
      <c r="E68" t="s">
        <v>82</v>
      </c>
      <c r="F68" t="s">
        <v>81</v>
      </c>
      <c r="G68" s="566"/>
    </row>
    <row r="69" spans="2:7">
      <c r="B69" t="s">
        <v>4</v>
      </c>
      <c r="C69" t="s">
        <v>65</v>
      </c>
      <c r="D69" t="s">
        <v>737</v>
      </c>
      <c r="E69" t="s">
        <v>87</v>
      </c>
      <c r="F69" t="s">
        <v>86</v>
      </c>
      <c r="G69" s="566"/>
    </row>
    <row r="70" spans="2:7">
      <c r="B70" t="s">
        <v>4</v>
      </c>
      <c r="C70" t="s">
        <v>65</v>
      </c>
      <c r="D70" t="s">
        <v>739</v>
      </c>
      <c r="E70" t="s">
        <v>71</v>
      </c>
      <c r="F70" t="s">
        <v>70</v>
      </c>
      <c r="G70" s="566"/>
    </row>
    <row r="71" spans="2:7">
      <c r="B71" t="s">
        <v>4</v>
      </c>
      <c r="C71" t="s">
        <v>65</v>
      </c>
      <c r="D71" t="s">
        <v>740</v>
      </c>
      <c r="E71" t="s">
        <v>78</v>
      </c>
      <c r="F71" t="s">
        <v>77</v>
      </c>
      <c r="G71" s="566"/>
    </row>
  </sheetData>
  <pageMargins left="0.7" right="0.7" top="0.75" bottom="0.75" header="0.3" footer="0.3"/>
  <headerFooter>
    <oddHeader>&amp;C&amp;"Calibri"&amp;10&amp;K000000 Internal&amp;1#_x000D_</oddHead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1D149ACB9E4F094AA465F1E6A02CA61C" ma:contentTypeVersion="37" ma:contentTypeDescription="Create a new document." ma:contentTypeScope="" ma:versionID="a97f8c96f1297abc7c164aac5276b857">
  <xsd:schema xmlns:xsd="http://www.w3.org/2001/XMLSchema" xmlns:xs="http://www.w3.org/2001/XMLSchema" xmlns:p="http://schemas.microsoft.com/office/2006/metadata/properties" xmlns:ns2="a1a945ac-6c97-4bb7-b096-f9bc23755846" xmlns:ns3="93d33464-bec4-4539-885f-8f699f0fe842" targetNamespace="http://schemas.microsoft.com/office/2006/metadata/properties" ma:root="true" ma:fieldsID="afa88f86247699e27a78718c8107a7d8" ns2:_="" ns3:_="">
    <xsd:import namespace="a1a945ac-6c97-4bb7-b096-f9bc23755846"/>
    <xsd:import namespace="93d33464-bec4-4539-885f-8f699f0fe842"/>
    <xsd:element name="properties">
      <xsd:complexType>
        <xsd:sequence>
          <xsd:element name="documentManagement">
            <xsd:complexType>
              <xsd:all>
                <xsd:element ref="ns2:_dlc_DocId" minOccurs="0"/>
                <xsd:element ref="ns2:_dlc_DocIdUrl" minOccurs="0"/>
                <xsd:element ref="ns2:_dlc_DocIdPersistId" minOccurs="0"/>
                <xsd:element ref="ns2:DossierOwner" minOccurs="0"/>
                <xsd:element ref="ns2:DossierStatus" minOccurs="0"/>
                <xsd:element ref="ns2:oe3010d37df742b190bbdb589fd21d91" minOccurs="0"/>
                <xsd:element ref="ns2:TaxCatchAll" minOccurs="0"/>
                <xsd:element ref="ns2:TaxCatchAllLabel" minOccurs="0"/>
                <xsd:element ref="ns2:MailPreviewData" minOccurs="0"/>
                <xsd:element ref="ns3:MediaServiceMetadata" minOccurs="0"/>
                <xsd:element ref="ns3:MediaServiceFastMetadata" minOccurs="0"/>
                <xsd:element ref="ns3:MediaServiceObjectDetectorVersions" minOccurs="0"/>
                <xsd:element ref="ns2:SharedWithUsers" minOccurs="0"/>
                <xsd:element ref="ns2:SharedWithDetail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2:ContractExpirationDate" minOccurs="0"/>
                <xsd:element ref="ns3:MediaLengthInSeconds" minOccurs="0"/>
                <xsd:element ref="ns3:MediaServiceSearchProperties" minOccurs="0"/>
                <xsd:element ref="ns2:f15f53c930c342bd86584810d13be2db" minOccurs="0"/>
                <xsd:element ref="ns2:Contract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a945ac-6c97-4bb7-b096-f9bc2375584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DossierOwner" ma:index="11"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2"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oe3010d37df742b190bbdb589fd21d91" ma:index="13" nillable="true" ma:taxonomy="true" ma:internalName="oe3010d37df742b190bbdb589fd21d91" ma:taxonomyFieldName="Document_Class" ma:displayName="Document Class" ma:readOnly="false" ma:fieldId="{8e3010d3-7df7-42b1-90bb-db589fd21d91}" ma:sspId="10820af1-e82f-496e-bbcb-d9502914b7b2" ma:termSetId="a67119d1-3e8b-4ed1-9430-a720adf27f7a" ma:anchorId="4ca63634-ddc1-4f7c-82e0-4eef54120db1" ma:open="false" ma:isKeyword="false">
      <xsd:complexType>
        <xsd:sequence>
          <xsd:element ref="pc:Terms" minOccurs="0" maxOccurs="1"/>
        </xsd:sequence>
      </xsd:complexType>
    </xsd:element>
    <xsd:element name="TaxCatchAll" ma:index="14" nillable="true" ma:displayName="Taxonomy Catch All Column" ma:hidden="true" ma:list="{701637ed-b8b3-487b-a65d-620127462ddb}" ma:internalName="TaxCatchAll" ma:showField="CatchAllData" ma:web="a1a945ac-6c97-4bb7-b096-f9bc23755846">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701637ed-b8b3-487b-a65d-620127462ddb}" ma:internalName="TaxCatchAllLabel" ma:readOnly="true" ma:showField="CatchAllDataLabel" ma:web="a1a945ac-6c97-4bb7-b096-f9bc23755846">
      <xsd:complexType>
        <xsd:complexContent>
          <xsd:extension base="dms:MultiChoiceLookup">
            <xsd:sequence>
              <xsd:element name="Value" type="dms:Lookup" maxOccurs="unbounded" minOccurs="0" nillable="true"/>
            </xsd:sequence>
          </xsd:extension>
        </xsd:complexContent>
      </xsd:complexType>
    </xsd:element>
    <xsd:element name="MailPreviewData" ma:index="17" nillable="true" ma:displayName="Mail Preview" ma:description="File preview for harmonie" ma:hidden="true" ma:internalName="MailPreviewData" ma:readOnly="false">
      <xsd:simpleType>
        <xsd:restriction base="dms:Note"/>
      </xsd:simple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ContractExpirationDate" ma:index="30"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f15f53c930c342bd86584810d13be2db" ma:index="33" nillable="true" ma:taxonomy="true" ma:internalName="f15f53c930c342bd86584810d13be2db" ma:taxonomyFieldName="Contract_Type" ma:displayName="Contract Type" ma:readOnly="false" ma:fieldId="{f15f53c9-30c3-42bd-8658-4810d13be2db}" ma:sspId="10820af1-e82f-496e-bbcb-d9502914b7b2" ma:termSetId="70805c8f-f58a-429f-b5cb-62c5b6dc5528" ma:anchorId="00000000-0000-0000-0000-000000000000" ma:open="false" ma:isKeyword="false">
      <xsd:complexType>
        <xsd:sequence>
          <xsd:element ref="pc:Terms" minOccurs="0" maxOccurs="1"/>
        </xsd:sequence>
      </xsd:complexType>
    </xsd:element>
    <xsd:element name="ContractDate" ma:index="35" nillable="true" ma:displayName="Contract Date" ma:description="Date when the contract has been closed." ma:format="DateOnly" ma:hidden="true" ma:internalName="ContractDate" ma:readOnly="fals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93d33464-bec4-4539-885f-8f699f0fe842"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DateTaken" ma:index="25" nillable="true" ma:displayName="MediaServiceDateTaken" ma:hidden="true" ma:indexed="true" ma:internalName="MediaServiceDateTaken"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ServiceLocation" ma:index="29" nillable="true" ma:displayName="Location" ma:indexed="true" ma:internalName="MediaServiceLocatio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MediaServiceSearchProperties" ma:index="3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ossierStatus xmlns="a1a945ac-6c97-4bb7-b096-f9bc23755846">Open</DossierStatus>
    <MailPreviewData xmlns="a1a945ac-6c97-4bb7-b096-f9bc23755846" xsi:nil="true"/>
    <ContractExpirationDate xmlns="a1a945ac-6c97-4bb7-b096-f9bc23755846" xsi:nil="true"/>
    <TaxCatchAll xmlns="a1a945ac-6c97-4bb7-b096-f9bc23755846">
      <Value>390</Value>
    </TaxCatchAll>
    <DossierOwner xmlns="a1a945ac-6c97-4bb7-b096-f9bc23755846">
      <UserInfo>
        <DisplayName>BOMMELAER, Marinette (Allianz Partners);#13;#Gerhards, Gerd (Allianz Partners)</DisplayName>
        <AccountId>12</AccountId>
        <AccountType/>
      </UserInfo>
    </DossierOwner>
    <oe3010d37df742b190bbdb589fd21d91 xmlns="a1a945ac-6c97-4bb7-b096-f9bc23755846">
      <Terms xmlns="http://schemas.microsoft.com/office/infopath/2007/PartnerControls">
        <TermInfo xmlns="http://schemas.microsoft.com/office/infopath/2007/PartnerControls">
          <TermName xmlns="http://schemas.microsoft.com/office/infopath/2007/PartnerControls">Retention for other business reasons</TermName>
          <TermId xmlns="http://schemas.microsoft.com/office/infopath/2007/PartnerControls">47571490-813a-497a-89cb-d23539d0261c</TermId>
        </TermInfo>
      </Terms>
    </oe3010d37df742b190bbdb589fd21d91>
    <f15f53c930c342bd86584810d13be2db xmlns="a1a945ac-6c97-4bb7-b096-f9bc23755846">
      <Terms xmlns="http://schemas.microsoft.com/office/infopath/2007/PartnerControls"/>
    </f15f53c930c342bd86584810d13be2db>
    <ContractDate xmlns="a1a945ac-6c97-4bb7-b096-f9bc23755846" xsi:nil="true"/>
    <lcf76f155ced4ddcb4097134ff3c332f xmlns="93d33464-bec4-4539-885f-8f699f0fe842">
      <Terms xmlns="http://schemas.microsoft.com/office/infopath/2007/PartnerControls"/>
    </lcf76f155ced4ddcb4097134ff3c332f>
    <_dlc_DocId xmlns="a1a945ac-6c97-4bb7-b096-f9bc23755846">HTFPDNHMP5QJ-1455982574-36115</_dlc_DocId>
    <_dlc_DocIdUrl xmlns="a1a945ac-6c97-4bb7-b096-f9bc23755846">
      <Url>https://allianzms.sharepoint.com/teams/FR0055-5614407/_layouts/15/DocIdRedir.aspx?ID=HTFPDNHMP5QJ-1455982574-36115</Url>
      <Description>HTFPDNHMP5QJ-1455982574-36115</Description>
    </_dlc_DocIdUrl>
  </documentManagement>
</p:properties>
</file>

<file path=customXml/itemProps1.xml><?xml version="1.0" encoding="utf-8"?>
<ds:datastoreItem xmlns:ds="http://schemas.openxmlformats.org/officeDocument/2006/customXml" ds:itemID="{70D49BD8-325F-4416-BFA0-5F5E33230B6E}">
  <ds:schemaRefs>
    <ds:schemaRef ds:uri="http://schemas.microsoft.com/sharepoint/events"/>
  </ds:schemaRefs>
</ds:datastoreItem>
</file>

<file path=customXml/itemProps2.xml><?xml version="1.0" encoding="utf-8"?>
<ds:datastoreItem xmlns:ds="http://schemas.openxmlformats.org/officeDocument/2006/customXml" ds:itemID="{C6CE8058-92D2-4965-B6BE-7A4DE70E1A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a945ac-6c97-4bb7-b096-f9bc23755846"/>
    <ds:schemaRef ds:uri="93d33464-bec4-4539-885f-8f699f0fe8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E39928-23C0-487A-898A-CDD8BF79508B}">
  <ds:schemaRefs>
    <ds:schemaRef ds:uri="http://schemas.microsoft.com/sharepoint/v3/contenttype/forms"/>
  </ds:schemaRefs>
</ds:datastoreItem>
</file>

<file path=customXml/itemProps4.xml><?xml version="1.0" encoding="utf-8"?>
<ds:datastoreItem xmlns:ds="http://schemas.openxmlformats.org/officeDocument/2006/customXml" ds:itemID="{A82B5DBB-E4D4-443C-AE3F-73F1C2E75FCE}">
  <ds:schemaRefs>
    <ds:schemaRef ds:uri="http://schemas.microsoft.com/office/2006/metadata/properties"/>
    <ds:schemaRef ds:uri="http://schemas.microsoft.com/office/infopath/2007/PartnerControls"/>
    <ds:schemaRef ds:uri="a1a945ac-6c97-4bb7-b096-f9bc23755846"/>
    <ds:schemaRef ds:uri="93d33464-bec4-4539-885f-8f699f0fe84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53</vt:i4>
      </vt:variant>
      <vt:variant>
        <vt:lpstr>Named Ranges</vt:lpstr>
      </vt:variant>
      <vt:variant>
        <vt:i4>1</vt:i4>
      </vt:variant>
    </vt:vector>
  </HeadingPairs>
  <TitlesOfParts>
    <vt:vector size="54" baseType="lpstr">
      <vt:lpstr>End dates</vt:lpstr>
      <vt:lpstr>DataCube</vt:lpstr>
      <vt:lpstr>Details--&gt;&gt;&gt;</vt:lpstr>
      <vt:lpstr>Australia</vt:lpstr>
      <vt:lpstr>Austria</vt:lpstr>
      <vt:lpstr>Bahrain</vt:lpstr>
      <vt:lpstr>Belgium</vt:lpstr>
      <vt:lpstr>Bulgaria</vt:lpstr>
      <vt:lpstr>Brazil</vt:lpstr>
      <vt:lpstr>Canada</vt:lpstr>
      <vt:lpstr>Colombia</vt:lpstr>
      <vt:lpstr>China</vt:lpstr>
      <vt:lpstr>CzechRepublic</vt:lpstr>
      <vt:lpstr>Egypt</vt:lpstr>
      <vt:lpstr>France</vt:lpstr>
      <vt:lpstr>Germany</vt:lpstr>
      <vt:lpstr>Greece</vt:lpstr>
      <vt:lpstr>Hongkong</vt:lpstr>
      <vt:lpstr>Hungary</vt:lpstr>
      <vt:lpstr>India</vt:lpstr>
      <vt:lpstr>Indonesia</vt:lpstr>
      <vt:lpstr>Ireland</vt:lpstr>
      <vt:lpstr>Italy</vt:lpstr>
      <vt:lpstr>Japan</vt:lpstr>
      <vt:lpstr>LaReunion</vt:lpstr>
      <vt:lpstr>Lebanon</vt:lpstr>
      <vt:lpstr>Libya</vt:lpstr>
      <vt:lpstr>Malaysia</vt:lpstr>
      <vt:lpstr>Mexico</vt:lpstr>
      <vt:lpstr>Netherlands</vt:lpstr>
      <vt:lpstr>NewZealand</vt:lpstr>
      <vt:lpstr>Oman</vt:lpstr>
      <vt:lpstr>Philippines</vt:lpstr>
      <vt:lpstr>Poland</vt:lpstr>
      <vt:lpstr>Portugal</vt:lpstr>
      <vt:lpstr>Qatar</vt:lpstr>
      <vt:lpstr>Romania</vt:lpstr>
      <vt:lpstr>SaudiArabia</vt:lpstr>
      <vt:lpstr>Singapore</vt:lpstr>
      <vt:lpstr>Spain</vt:lpstr>
      <vt:lpstr>Switzerland</vt:lpstr>
      <vt:lpstr>Thailand</vt:lpstr>
      <vt:lpstr>Tunisia</vt:lpstr>
      <vt:lpstr>Turkey</vt:lpstr>
      <vt:lpstr>UnitesArabEmirates</vt:lpstr>
      <vt:lpstr>UK</vt:lpstr>
      <vt:lpstr>US</vt:lpstr>
      <vt:lpstr>Template</vt:lpstr>
      <vt:lpstr>Lease end</vt:lpstr>
      <vt:lpstr>Lease end réunion</vt:lpstr>
      <vt:lpstr>Lease end Americas</vt:lpstr>
      <vt:lpstr>Lease end MEA APAC</vt:lpstr>
      <vt:lpstr>Lease end Europe</vt:lpstr>
      <vt:lpstr>Template!Print_Area</vt:lpstr>
    </vt:vector>
  </TitlesOfParts>
  <Manager/>
  <Company>Allianz</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BOMMELAER, Marinette (Allianz Partners)</dc:creator>
  <cp:keywords/>
  <dc:description/>
  <cp:lastModifiedBy>Microsoft Office User</cp:lastModifiedBy>
  <cp:revision/>
  <dcterms:created xsi:type="dcterms:W3CDTF">2025-08-06T08:57:09Z</dcterms:created>
  <dcterms:modified xsi:type="dcterms:W3CDTF">2026-03-09T16:32:12Z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0x0101001D149ACB9E4F094AA465F1E6A02CA61C</vt:lpwstr>
  </property>
  <property fmtid="{D5CDD505-2E9C-101B-9397-08002B2CF9AE}" pid="3" name="MSIP_Label_863bc15e-e7bf-41c1-bdb3-03882d8a2e2c_Enabled">
    <vt:lpwstr>true</vt:lpwstr>
  </property>
  <property fmtid="{D5CDD505-2E9C-101B-9397-08002B2CF9AE}" pid="4" name="MSIP_Label_863bc15e-e7bf-41c1-bdb3-03882d8a2e2c_SetDate">
    <vt:lpwstr>2025-08-06T09:56:31Z</vt:lpwstr>
  </property>
  <property fmtid="{D5CDD505-2E9C-101B-9397-08002B2CF9AE}" pid="5" name="MSIP_Label_863bc15e-e7bf-41c1-bdb3-03882d8a2e2c_Method">
    <vt:lpwstr>Privileged</vt:lpwstr>
  </property>
  <property fmtid="{D5CDD505-2E9C-101B-9397-08002B2CF9AE}" pid="6" name="MSIP_Label_863bc15e-e7bf-41c1-bdb3-03882d8a2e2c_Name">
    <vt:lpwstr>863bc15e-e7bf-41c1-bdb3-03882d8a2e2c</vt:lpwstr>
  </property>
  <property fmtid="{D5CDD505-2E9C-101B-9397-08002B2CF9AE}" pid="7" name="MSIP_Label_863bc15e-e7bf-41c1-bdb3-03882d8a2e2c_SiteId">
    <vt:lpwstr>6e06e42d-6925-47c6-b9e7-9581c7ca302a</vt:lpwstr>
  </property>
  <property fmtid="{D5CDD505-2E9C-101B-9397-08002B2CF9AE}" pid="8" name="MSIP_Label_863bc15e-e7bf-41c1-bdb3-03882d8a2e2c_ActionId">
    <vt:lpwstr>722cc78f-c21c-4adf-93da-feb5d35f7e50</vt:lpwstr>
  </property>
  <property fmtid="{D5CDD505-2E9C-101B-9397-08002B2CF9AE}" pid="9" name="MSIP_Label_863bc15e-e7bf-41c1-bdb3-03882d8a2e2c_ContentBits">
    <vt:lpwstr>1</vt:lpwstr>
  </property>
  <property fmtid="{D5CDD505-2E9C-101B-9397-08002B2CF9AE}" pid="10" name="kbc662ed515440e19dc085080510887d">
    <vt:lpwstr/>
  </property>
  <property fmtid="{D5CDD505-2E9C-101B-9397-08002B2CF9AE}" pid="11" name="DossierDepartment">
    <vt:lpwstr/>
  </property>
  <property fmtid="{D5CDD505-2E9C-101B-9397-08002B2CF9AE}" pid="12" name="AllianzContractingParties">
    <vt:lpwstr/>
  </property>
  <property fmtid="{D5CDD505-2E9C-101B-9397-08002B2CF9AE}" pid="13" name="k6b04836198b4a0ab5d2935cd7227e6c">
    <vt:lpwstr/>
  </property>
  <property fmtid="{D5CDD505-2E9C-101B-9397-08002B2CF9AE}" pid="14" name="MediaServiceImageTags">
    <vt:lpwstr/>
  </property>
  <property fmtid="{D5CDD505-2E9C-101B-9397-08002B2CF9AE}" pid="15" name="Document_Class">
    <vt:lpwstr>390;#Retention for other business reasons|47571490-813a-497a-89cb-d23539d0261c</vt:lpwstr>
  </property>
  <property fmtid="{D5CDD505-2E9C-101B-9397-08002B2CF9AE}" pid="16" name="_dlc_DocIdItemGuid">
    <vt:lpwstr>9bb370c9-fc88-4bb3-aebb-070d4a32dfac</vt:lpwstr>
  </property>
  <property fmtid="{D5CDD505-2E9C-101B-9397-08002B2CF9AE}" pid="17" name="_docset_NoMedatataSyncRequired">
    <vt:lpwstr>False</vt:lpwstr>
  </property>
  <property fmtid="{D5CDD505-2E9C-101B-9397-08002B2CF9AE}" pid="18" name="Contract_Type">
    <vt:lpwstr/>
  </property>
</Properties>
</file>